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CE\Desktop\INMEDIATOS\"/>
    </mc:Choice>
  </mc:AlternateContent>
  <bookViews>
    <workbookView xWindow="0" yWindow="0" windowWidth="23955" windowHeight="9570" activeTab="5"/>
  </bookViews>
  <sheets>
    <sheet name="BLANCO" sheetId="33" r:id="rId1"/>
    <sheet name="LOGISTICA" sheetId="38" r:id="rId2"/>
    <sheet name="BIOTECNOLOGIA" sheetId="37" r:id="rId3"/>
    <sheet name="PGA" sheetId="36" r:id="rId4"/>
    <sheet name="PROGRAMACIÓN" sheetId="34" r:id="rId5"/>
    <sheet name="MECATRÓNICA" sheetId="24" r:id="rId6"/>
    <sheet name="CORREOS" sheetId="22" r:id="rId7"/>
    <sheet name="CATALOGO" sheetId="32" r:id="rId8"/>
  </sheets>
  <definedNames>
    <definedName name="_xlnm._FilterDatabase" localSheetId="2" hidden="1">BIOTECNOLOGIA!$A$1:$AV$88</definedName>
    <definedName name="_xlnm._FilterDatabase" localSheetId="0" hidden="1">BLANCO!$A$1:$AW$89</definedName>
    <definedName name="_xlnm._FilterDatabase" localSheetId="7" hidden="1">CATALOGO!$A$1:$A$107</definedName>
    <definedName name="_xlnm._FilterDatabase" localSheetId="6" hidden="1">CORREOS!$A$1:$F$496</definedName>
    <definedName name="_xlnm._FilterDatabase" localSheetId="1" hidden="1">LOGISTICA!$A$1:$AV$93</definedName>
    <definedName name="_xlnm._FilterDatabase" localSheetId="5" hidden="1">MECATRÓNICA!$A$1:$AV$149</definedName>
    <definedName name="_xlnm._FilterDatabase" localSheetId="3" hidden="1">PGA!$A$1:$AV$85</definedName>
    <definedName name="_xlnm._FilterDatabase" localSheetId="4" hidden="1">PROGRAMACIÓN!$A$1:$AV$85</definedName>
    <definedName name="_xlnm.Print_Area" localSheetId="2">BIOTECNOLOGIA!$A$1:$AV$224</definedName>
    <definedName name="_xlnm.Print_Area" localSheetId="0">BLANCO!$A$1:$AW$237</definedName>
    <definedName name="_xlnm.Print_Area" localSheetId="1">LOGISTICA!$A$1:$AV$236</definedName>
    <definedName name="_xlnm.Print_Area" localSheetId="5">MECATRÓNICA!$A$1:$AV$232</definedName>
    <definedName name="_xlnm.Print_Area" localSheetId="3">PGA!$A$1:$AV$232</definedName>
    <definedName name="_xlnm.Print_Area" localSheetId="4">PROGRAMACIÓN!$A$1:$AV$231</definedName>
  </definedNames>
  <calcPr calcId="162913"/>
</workbook>
</file>

<file path=xl/calcChain.xml><?xml version="1.0" encoding="utf-8"?>
<calcChain xmlns="http://schemas.openxmlformats.org/spreadsheetml/2006/main">
  <c r="O81" i="24" l="1"/>
  <c r="N81" i="24"/>
  <c r="M81" i="24"/>
  <c r="O59" i="24"/>
  <c r="N59" i="24"/>
  <c r="M59" i="24"/>
  <c r="O67" i="24"/>
  <c r="M67" i="24"/>
  <c r="N67" i="24"/>
  <c r="O17" i="37" l="1"/>
  <c r="M17" i="37"/>
  <c r="N17" i="37" l="1"/>
  <c r="O35" i="36"/>
  <c r="M35" i="36"/>
  <c r="N35" i="36" l="1"/>
  <c r="O68" i="38"/>
  <c r="M68" i="38"/>
  <c r="N68" i="38" l="1"/>
  <c r="J141" i="37"/>
  <c r="O86" i="24" l="1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2" i="24"/>
  <c r="O123" i="24"/>
  <c r="O124" i="24"/>
  <c r="O125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M86" i="24"/>
  <c r="M87" i="24"/>
  <c r="N87" i="24" s="1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N108" i="24" s="1"/>
  <c r="M109" i="24"/>
  <c r="M110" i="24"/>
  <c r="M111" i="24"/>
  <c r="M112" i="24"/>
  <c r="M113" i="24"/>
  <c r="M114" i="24"/>
  <c r="M115" i="24"/>
  <c r="M116" i="24"/>
  <c r="M117" i="24"/>
  <c r="M118" i="24"/>
  <c r="M119" i="24"/>
  <c r="M120" i="24"/>
  <c r="M122" i="24"/>
  <c r="M123" i="24"/>
  <c r="M124" i="24"/>
  <c r="M125" i="24"/>
  <c r="M127" i="24"/>
  <c r="M128" i="24"/>
  <c r="M129" i="24"/>
  <c r="N129" i="24" s="1"/>
  <c r="M130" i="24"/>
  <c r="N130" i="24" s="1"/>
  <c r="M131" i="24"/>
  <c r="M132" i="24"/>
  <c r="M133" i="24"/>
  <c r="M134" i="24"/>
  <c r="M135" i="24"/>
  <c r="M136" i="24"/>
  <c r="M137" i="24"/>
  <c r="M138" i="24"/>
  <c r="M139" i="24"/>
  <c r="M140" i="24"/>
  <c r="M141" i="24"/>
  <c r="M142" i="24"/>
  <c r="M143" i="24"/>
  <c r="M144" i="24"/>
  <c r="M145" i="24"/>
  <c r="M146" i="24"/>
  <c r="M147" i="24"/>
  <c r="M148" i="24"/>
  <c r="M149" i="24"/>
  <c r="N149" i="24" s="1"/>
  <c r="N132" i="24" l="1"/>
  <c r="N110" i="24"/>
  <c r="N90" i="24"/>
  <c r="N131" i="24"/>
  <c r="N109" i="24"/>
  <c r="N89" i="24"/>
  <c r="N111" i="24"/>
  <c r="N106" i="24"/>
  <c r="N92" i="24"/>
  <c r="N91" i="24"/>
  <c r="N147" i="24"/>
  <c r="N105" i="24"/>
  <c r="N146" i="24"/>
  <c r="N127" i="24"/>
  <c r="N118" i="24"/>
  <c r="N117" i="24"/>
  <c r="N115" i="24"/>
  <c r="N114" i="24"/>
  <c r="N113" i="24"/>
  <c r="N138" i="24"/>
  <c r="N116" i="24"/>
  <c r="N145" i="24"/>
  <c r="N125" i="24"/>
  <c r="N86" i="24"/>
  <c r="N139" i="24"/>
  <c r="N98" i="24"/>
  <c r="N97" i="24"/>
  <c r="N136" i="24"/>
  <c r="N96" i="24"/>
  <c r="N107" i="24"/>
  <c r="N135" i="24"/>
  <c r="N95" i="24"/>
  <c r="N134" i="24"/>
  <c r="N94" i="24"/>
  <c r="N104" i="24"/>
  <c r="N124" i="24"/>
  <c r="N143" i="24"/>
  <c r="N140" i="24"/>
  <c r="N137" i="24"/>
  <c r="N100" i="24"/>
  <c r="N133" i="24"/>
  <c r="N112" i="24"/>
  <c r="N93" i="24"/>
  <c r="N122" i="24"/>
  <c r="N141" i="24"/>
  <c r="N144" i="24"/>
  <c r="N102" i="24"/>
  <c r="N142" i="24"/>
  <c r="N99" i="24"/>
  <c r="N103" i="24"/>
  <c r="N123" i="24"/>
  <c r="N101" i="24"/>
  <c r="N120" i="24"/>
  <c r="N119" i="24"/>
  <c r="N148" i="24"/>
  <c r="N128" i="24"/>
  <c r="N88" i="24"/>
  <c r="O84" i="34" l="1"/>
  <c r="O85" i="34"/>
  <c r="M84" i="34"/>
  <c r="M85" i="34"/>
  <c r="O91" i="38"/>
  <c r="O92" i="38"/>
  <c r="O93" i="38"/>
  <c r="M91" i="38"/>
  <c r="M92" i="38"/>
  <c r="M93" i="38"/>
  <c r="N85" i="34" l="1"/>
  <c r="N84" i="34"/>
  <c r="N92" i="38"/>
  <c r="N93" i="38"/>
  <c r="N91" i="38"/>
  <c r="O90" i="38"/>
  <c r="M90" i="38"/>
  <c r="O89" i="38"/>
  <c r="M89" i="38"/>
  <c r="O88" i="38"/>
  <c r="M88" i="38"/>
  <c r="O87" i="38"/>
  <c r="M87" i="38"/>
  <c r="N87" i="38" s="1"/>
  <c r="O86" i="38"/>
  <c r="M86" i="38"/>
  <c r="N86" i="38" s="1"/>
  <c r="O85" i="38"/>
  <c r="M85" i="38"/>
  <c r="N85" i="38" s="1"/>
  <c r="O84" i="38"/>
  <c r="M84" i="38"/>
  <c r="N84" i="38" s="1"/>
  <c r="O83" i="38"/>
  <c r="M83" i="38"/>
  <c r="O82" i="38"/>
  <c r="M82" i="38"/>
  <c r="O81" i="38"/>
  <c r="M81" i="38"/>
  <c r="O80" i="38"/>
  <c r="M80" i="38"/>
  <c r="O79" i="38"/>
  <c r="M79" i="38"/>
  <c r="O78" i="38"/>
  <c r="M78" i="38"/>
  <c r="O77" i="38"/>
  <c r="M77" i="38"/>
  <c r="N77" i="38" s="1"/>
  <c r="O76" i="38"/>
  <c r="M76" i="38"/>
  <c r="N76" i="38" s="1"/>
  <c r="O75" i="38"/>
  <c r="M75" i="38"/>
  <c r="N75" i="38" s="1"/>
  <c r="O74" i="38"/>
  <c r="M74" i="38"/>
  <c r="O73" i="38"/>
  <c r="M73" i="38"/>
  <c r="O72" i="38"/>
  <c r="M72" i="38"/>
  <c r="O71" i="38"/>
  <c r="M71" i="38"/>
  <c r="O70" i="38"/>
  <c r="M70" i="38"/>
  <c r="O69" i="38"/>
  <c r="M69" i="38"/>
  <c r="O67" i="38"/>
  <c r="M67" i="38"/>
  <c r="O66" i="38"/>
  <c r="M66" i="38"/>
  <c r="N66" i="38" s="1"/>
  <c r="O65" i="38"/>
  <c r="M65" i="38"/>
  <c r="N65" i="38" s="1"/>
  <c r="O64" i="38"/>
  <c r="M64" i="38"/>
  <c r="N64" i="38" s="1"/>
  <c r="O19" i="38"/>
  <c r="M19" i="38"/>
  <c r="N19" i="38" s="1"/>
  <c r="O63" i="38"/>
  <c r="M63" i="38"/>
  <c r="O62" i="38"/>
  <c r="M62" i="38"/>
  <c r="O61" i="38"/>
  <c r="M61" i="38"/>
  <c r="O60" i="38"/>
  <c r="M60" i="38"/>
  <c r="O59" i="38"/>
  <c r="M59" i="38"/>
  <c r="O58" i="38"/>
  <c r="M58" i="38"/>
  <c r="O57" i="38"/>
  <c r="M57" i="38"/>
  <c r="N57" i="38" s="1"/>
  <c r="O56" i="38"/>
  <c r="M56" i="38"/>
  <c r="N56" i="38" s="1"/>
  <c r="O55" i="38"/>
  <c r="M55" i="38"/>
  <c r="O54" i="38"/>
  <c r="M54" i="38"/>
  <c r="N54" i="38" s="1"/>
  <c r="O53" i="38"/>
  <c r="M53" i="38"/>
  <c r="O52" i="38"/>
  <c r="M52" i="38"/>
  <c r="O51" i="38"/>
  <c r="M51" i="38"/>
  <c r="O50" i="38"/>
  <c r="M50" i="38"/>
  <c r="O49" i="38"/>
  <c r="M49" i="38"/>
  <c r="O48" i="38"/>
  <c r="M48" i="38"/>
  <c r="O47" i="38"/>
  <c r="M47" i="38"/>
  <c r="N47" i="38" s="1"/>
  <c r="O46" i="38"/>
  <c r="M46" i="38"/>
  <c r="N46" i="38" s="1"/>
  <c r="O45" i="38"/>
  <c r="M45" i="38"/>
  <c r="O44" i="38"/>
  <c r="M44" i="38"/>
  <c r="N44" i="38" s="1"/>
  <c r="O43" i="38"/>
  <c r="M43" i="38"/>
  <c r="O42" i="38"/>
  <c r="M42" i="38"/>
  <c r="O41" i="38"/>
  <c r="M41" i="38"/>
  <c r="O40" i="38"/>
  <c r="M40" i="38"/>
  <c r="O39" i="38"/>
  <c r="M39" i="38"/>
  <c r="O38" i="38"/>
  <c r="M38" i="38"/>
  <c r="O37" i="38"/>
  <c r="M37" i="38"/>
  <c r="N37" i="38" s="1"/>
  <c r="O36" i="38"/>
  <c r="M36" i="38"/>
  <c r="N36" i="38" s="1"/>
  <c r="O35" i="38"/>
  <c r="M35" i="38"/>
  <c r="N35" i="38" s="1"/>
  <c r="O34" i="38"/>
  <c r="M34" i="38"/>
  <c r="O33" i="38"/>
  <c r="M33" i="38"/>
  <c r="O32" i="38"/>
  <c r="M32" i="38"/>
  <c r="O31" i="38"/>
  <c r="M31" i="38"/>
  <c r="O30" i="38"/>
  <c r="M30" i="38"/>
  <c r="O29" i="38"/>
  <c r="M29" i="38"/>
  <c r="O28" i="38"/>
  <c r="M28" i="38"/>
  <c r="O27" i="38"/>
  <c r="M27" i="38"/>
  <c r="O26" i="38"/>
  <c r="M26" i="38"/>
  <c r="N26" i="38" s="1"/>
  <c r="O25" i="38"/>
  <c r="M25" i="38"/>
  <c r="O24" i="38"/>
  <c r="M24" i="38"/>
  <c r="N24" i="38" s="1"/>
  <c r="O23" i="38"/>
  <c r="M23" i="38"/>
  <c r="O22" i="38"/>
  <c r="M22" i="38"/>
  <c r="O21" i="38"/>
  <c r="M21" i="38"/>
  <c r="O20" i="38"/>
  <c r="M20" i="38"/>
  <c r="O18" i="38"/>
  <c r="M18" i="38"/>
  <c r="O17" i="38"/>
  <c r="M17" i="38"/>
  <c r="O16" i="38"/>
  <c r="M16" i="38"/>
  <c r="O15" i="38"/>
  <c r="M15" i="38"/>
  <c r="N15" i="38" s="1"/>
  <c r="O14" i="38"/>
  <c r="M14" i="38"/>
  <c r="O13" i="38"/>
  <c r="M13" i="38"/>
  <c r="N13" i="38" s="1"/>
  <c r="O12" i="38"/>
  <c r="M12" i="38"/>
  <c r="O11" i="38"/>
  <c r="M11" i="38"/>
  <c r="O10" i="38"/>
  <c r="M10" i="38"/>
  <c r="O9" i="38"/>
  <c r="M9" i="38"/>
  <c r="O8" i="38"/>
  <c r="M8" i="38"/>
  <c r="O7" i="38"/>
  <c r="M7" i="38"/>
  <c r="O6" i="38"/>
  <c r="M6" i="38"/>
  <c r="N6" i="38" s="1"/>
  <c r="O5" i="38"/>
  <c r="M5" i="38"/>
  <c r="N5" i="38" s="1"/>
  <c r="O4" i="38"/>
  <c r="M4" i="38"/>
  <c r="O3" i="38"/>
  <c r="M3" i="38"/>
  <c r="N3" i="38" s="1"/>
  <c r="O2" i="38"/>
  <c r="M2" i="38"/>
  <c r="O76" i="37"/>
  <c r="M76" i="37"/>
  <c r="O75" i="37"/>
  <c r="M75" i="37"/>
  <c r="O33" i="37"/>
  <c r="M33" i="37"/>
  <c r="O74" i="37"/>
  <c r="M74" i="37"/>
  <c r="O73" i="37"/>
  <c r="M73" i="37"/>
  <c r="O72" i="37"/>
  <c r="M72" i="37"/>
  <c r="O71" i="37"/>
  <c r="M71" i="37"/>
  <c r="N71" i="37" s="1"/>
  <c r="O70" i="37"/>
  <c r="M70" i="37"/>
  <c r="O68" i="37"/>
  <c r="M68" i="37"/>
  <c r="O67" i="37"/>
  <c r="M67" i="37"/>
  <c r="O66" i="37"/>
  <c r="M66" i="37"/>
  <c r="O65" i="37"/>
  <c r="M65" i="37"/>
  <c r="O64" i="37"/>
  <c r="M64" i="37"/>
  <c r="O63" i="37"/>
  <c r="M63" i="37"/>
  <c r="O62" i="37"/>
  <c r="M62" i="37"/>
  <c r="O61" i="37"/>
  <c r="M61" i="37"/>
  <c r="N61" i="37" s="1"/>
  <c r="O60" i="37"/>
  <c r="M60" i="37"/>
  <c r="O59" i="37"/>
  <c r="M59" i="37"/>
  <c r="N59" i="37" s="1"/>
  <c r="O58" i="37"/>
  <c r="M58" i="37"/>
  <c r="O57" i="37"/>
  <c r="M57" i="37"/>
  <c r="O56" i="37"/>
  <c r="M56" i="37"/>
  <c r="O55" i="37"/>
  <c r="M55" i="37"/>
  <c r="O54" i="37"/>
  <c r="M54" i="37"/>
  <c r="O53" i="37"/>
  <c r="M53" i="37"/>
  <c r="O52" i="37"/>
  <c r="M52" i="37"/>
  <c r="O50" i="37"/>
  <c r="M50" i="37"/>
  <c r="O49" i="37"/>
  <c r="M49" i="37"/>
  <c r="O48" i="37"/>
  <c r="M48" i="37"/>
  <c r="N48" i="37" s="1"/>
  <c r="O47" i="37"/>
  <c r="M47" i="37"/>
  <c r="N47" i="37" s="1"/>
  <c r="O46" i="37"/>
  <c r="M46" i="37"/>
  <c r="O45" i="37"/>
  <c r="M45" i="37"/>
  <c r="O44" i="37"/>
  <c r="M44" i="37"/>
  <c r="O43" i="37"/>
  <c r="M43" i="37"/>
  <c r="O42" i="37"/>
  <c r="M42" i="37"/>
  <c r="O41" i="37"/>
  <c r="M41" i="37"/>
  <c r="O40" i="37"/>
  <c r="M40" i="37"/>
  <c r="O39" i="37"/>
  <c r="M39" i="37"/>
  <c r="O38" i="37"/>
  <c r="M38" i="37"/>
  <c r="N38" i="37" s="1"/>
  <c r="O37" i="37"/>
  <c r="M37" i="37"/>
  <c r="N37" i="37" s="1"/>
  <c r="O36" i="37"/>
  <c r="M36" i="37"/>
  <c r="O35" i="37"/>
  <c r="M35" i="37"/>
  <c r="O34" i="37"/>
  <c r="M34" i="37"/>
  <c r="O32" i="37"/>
  <c r="M32" i="37"/>
  <c r="O31" i="37"/>
  <c r="M31" i="37"/>
  <c r="O30" i="37"/>
  <c r="M30" i="37"/>
  <c r="O29" i="37"/>
  <c r="M29" i="37"/>
  <c r="O28" i="37"/>
  <c r="M28" i="37"/>
  <c r="N28" i="37" s="1"/>
  <c r="O27" i="37"/>
  <c r="M27" i="37"/>
  <c r="N27" i="37" s="1"/>
  <c r="O26" i="37"/>
  <c r="M26" i="37"/>
  <c r="N26" i="37" s="1"/>
  <c r="O25" i="37"/>
  <c r="M25" i="37"/>
  <c r="O24" i="37"/>
  <c r="M24" i="37"/>
  <c r="O23" i="37"/>
  <c r="M23" i="37"/>
  <c r="O22" i="37"/>
  <c r="M22" i="37"/>
  <c r="O21" i="37"/>
  <c r="M21" i="37"/>
  <c r="O20" i="37"/>
  <c r="M20" i="37"/>
  <c r="O19" i="37"/>
  <c r="M19" i="37"/>
  <c r="N19" i="37" s="1"/>
  <c r="O18" i="37"/>
  <c r="M18" i="37"/>
  <c r="N18" i="37" s="1"/>
  <c r="O16" i="37"/>
  <c r="M16" i="37"/>
  <c r="N16" i="37" s="1"/>
  <c r="O15" i="37"/>
  <c r="M15" i="37"/>
  <c r="N15" i="37" s="1"/>
  <c r="O14" i="37"/>
  <c r="M14" i="37"/>
  <c r="O13" i="37"/>
  <c r="M13" i="37"/>
  <c r="O12" i="37"/>
  <c r="M12" i="37"/>
  <c r="O11" i="37"/>
  <c r="M11" i="37"/>
  <c r="O10" i="37"/>
  <c r="M10" i="37"/>
  <c r="O9" i="37"/>
  <c r="M9" i="37"/>
  <c r="O8" i="37"/>
  <c r="M8" i="37"/>
  <c r="N8" i="37" s="1"/>
  <c r="O7" i="37"/>
  <c r="M7" i="37"/>
  <c r="O6" i="37"/>
  <c r="M6" i="37"/>
  <c r="N6" i="37" s="1"/>
  <c r="O5" i="37"/>
  <c r="M5" i="37"/>
  <c r="O4" i="37"/>
  <c r="M4" i="37"/>
  <c r="O3" i="37"/>
  <c r="M3" i="37"/>
  <c r="O2" i="37"/>
  <c r="M2" i="37"/>
  <c r="O85" i="36"/>
  <c r="M85" i="36"/>
  <c r="O84" i="36"/>
  <c r="M84" i="36"/>
  <c r="O83" i="36"/>
  <c r="M83" i="36"/>
  <c r="O82" i="36"/>
  <c r="M82" i="36"/>
  <c r="O81" i="36"/>
  <c r="M81" i="36"/>
  <c r="O80" i="36"/>
  <c r="M80" i="36"/>
  <c r="O79" i="36"/>
  <c r="M79" i="36"/>
  <c r="O78" i="36"/>
  <c r="M78" i="36"/>
  <c r="O77" i="36"/>
  <c r="M77" i="36"/>
  <c r="O76" i="36"/>
  <c r="M76" i="36"/>
  <c r="O75" i="36"/>
  <c r="M75" i="36"/>
  <c r="O74" i="36"/>
  <c r="M74" i="36"/>
  <c r="O73" i="36"/>
  <c r="M73" i="36"/>
  <c r="O72" i="36"/>
  <c r="M72" i="36"/>
  <c r="O71" i="36"/>
  <c r="M71" i="36"/>
  <c r="O70" i="36"/>
  <c r="M70" i="36"/>
  <c r="O69" i="36"/>
  <c r="M69" i="36"/>
  <c r="O68" i="36"/>
  <c r="M68" i="36"/>
  <c r="O67" i="36"/>
  <c r="M67" i="36"/>
  <c r="O66" i="36"/>
  <c r="M66" i="36"/>
  <c r="O65" i="36"/>
  <c r="M65" i="36"/>
  <c r="O64" i="36"/>
  <c r="M64" i="36"/>
  <c r="O63" i="36"/>
  <c r="M63" i="36"/>
  <c r="O62" i="36"/>
  <c r="M62" i="36"/>
  <c r="O61" i="36"/>
  <c r="M61" i="36"/>
  <c r="O60" i="36"/>
  <c r="M60" i="36"/>
  <c r="O59" i="36"/>
  <c r="M59" i="36"/>
  <c r="O58" i="36"/>
  <c r="M58" i="36"/>
  <c r="O57" i="36"/>
  <c r="M57" i="36"/>
  <c r="O56" i="36"/>
  <c r="M56" i="36"/>
  <c r="N56" i="36" s="1"/>
  <c r="O55" i="36"/>
  <c r="M55" i="36"/>
  <c r="O54" i="36"/>
  <c r="M54" i="36"/>
  <c r="O53" i="36"/>
  <c r="M53" i="36"/>
  <c r="O52" i="36"/>
  <c r="M52" i="36"/>
  <c r="O51" i="36"/>
  <c r="M51" i="36"/>
  <c r="O50" i="36"/>
  <c r="M50" i="36"/>
  <c r="O49" i="36"/>
  <c r="M49" i="36"/>
  <c r="O48" i="36"/>
  <c r="M48" i="36"/>
  <c r="O46" i="36"/>
  <c r="M46" i="36"/>
  <c r="O45" i="36"/>
  <c r="M45" i="36"/>
  <c r="N45" i="36" s="1"/>
  <c r="O44" i="36"/>
  <c r="M44" i="36"/>
  <c r="O43" i="36"/>
  <c r="M43" i="36"/>
  <c r="O42" i="36"/>
  <c r="M42" i="36"/>
  <c r="O41" i="36"/>
  <c r="M41" i="36"/>
  <c r="O40" i="36"/>
  <c r="M40" i="36"/>
  <c r="O39" i="36"/>
  <c r="M39" i="36"/>
  <c r="O38" i="36"/>
  <c r="M38" i="36"/>
  <c r="O37" i="36"/>
  <c r="M37" i="36"/>
  <c r="O36" i="36"/>
  <c r="M36" i="36"/>
  <c r="O34" i="36"/>
  <c r="M34" i="36"/>
  <c r="N34" i="36" s="1"/>
  <c r="O33" i="36"/>
  <c r="M33" i="36"/>
  <c r="O32" i="36"/>
  <c r="M32" i="36"/>
  <c r="O31" i="36"/>
  <c r="M31" i="36"/>
  <c r="O30" i="36"/>
  <c r="M30" i="36"/>
  <c r="O29" i="36"/>
  <c r="M29" i="36"/>
  <c r="O28" i="36"/>
  <c r="M28" i="36"/>
  <c r="O27" i="36"/>
  <c r="M27" i="36"/>
  <c r="O26" i="36"/>
  <c r="M26" i="36"/>
  <c r="O25" i="36"/>
  <c r="M25" i="36"/>
  <c r="O24" i="36"/>
  <c r="M24" i="36"/>
  <c r="N24" i="36" s="1"/>
  <c r="O23" i="36"/>
  <c r="M23" i="36"/>
  <c r="O22" i="36"/>
  <c r="M22" i="36"/>
  <c r="O21" i="36"/>
  <c r="M21" i="36"/>
  <c r="O20" i="36"/>
  <c r="M20" i="36"/>
  <c r="O19" i="36"/>
  <c r="M19" i="36"/>
  <c r="O18" i="36"/>
  <c r="M18" i="36"/>
  <c r="O17" i="36"/>
  <c r="M17" i="36"/>
  <c r="O16" i="36"/>
  <c r="M16" i="36"/>
  <c r="O15" i="36"/>
  <c r="M15" i="36"/>
  <c r="O14" i="36"/>
  <c r="M14" i="36"/>
  <c r="N14" i="36" s="1"/>
  <c r="O13" i="36"/>
  <c r="M13" i="36"/>
  <c r="O12" i="36"/>
  <c r="M12" i="36"/>
  <c r="O11" i="36"/>
  <c r="M11" i="36"/>
  <c r="O10" i="36"/>
  <c r="M10" i="36"/>
  <c r="O9" i="36"/>
  <c r="M9" i="36"/>
  <c r="O8" i="36"/>
  <c r="M8" i="36"/>
  <c r="O7" i="36"/>
  <c r="M7" i="36"/>
  <c r="O6" i="36"/>
  <c r="M6" i="36"/>
  <c r="O5" i="36"/>
  <c r="M5" i="36"/>
  <c r="O4" i="36"/>
  <c r="M4" i="36"/>
  <c r="O3" i="36"/>
  <c r="M3" i="36"/>
  <c r="O2" i="36"/>
  <c r="M2" i="36"/>
  <c r="O83" i="34"/>
  <c r="M83" i="34"/>
  <c r="O82" i="34"/>
  <c r="M82" i="34"/>
  <c r="N82" i="34" s="1"/>
  <c r="O81" i="34"/>
  <c r="M81" i="34"/>
  <c r="O80" i="34"/>
  <c r="M80" i="34"/>
  <c r="O79" i="34"/>
  <c r="M79" i="34"/>
  <c r="N79" i="34" s="1"/>
  <c r="O78" i="34"/>
  <c r="M78" i="34"/>
  <c r="O77" i="34"/>
  <c r="M77" i="34"/>
  <c r="O76" i="34"/>
  <c r="M76" i="34"/>
  <c r="O75" i="34"/>
  <c r="M75" i="34"/>
  <c r="O74" i="34"/>
  <c r="M74" i="34"/>
  <c r="O73" i="34"/>
  <c r="M73" i="34"/>
  <c r="O72" i="34"/>
  <c r="M72" i="34"/>
  <c r="N72" i="34" s="1"/>
  <c r="O71" i="34"/>
  <c r="M71" i="34"/>
  <c r="O70" i="34"/>
  <c r="M70" i="34"/>
  <c r="O69" i="34"/>
  <c r="M69" i="34"/>
  <c r="O68" i="34"/>
  <c r="M68" i="34"/>
  <c r="O67" i="34"/>
  <c r="M67" i="34"/>
  <c r="O66" i="34"/>
  <c r="M66" i="34"/>
  <c r="O65" i="34"/>
  <c r="M65" i="34"/>
  <c r="O63" i="34"/>
  <c r="M63" i="34"/>
  <c r="O62" i="34"/>
  <c r="M62" i="34"/>
  <c r="O61" i="34"/>
  <c r="M61" i="34"/>
  <c r="N61" i="34" s="1"/>
  <c r="O60" i="34"/>
  <c r="M60" i="34"/>
  <c r="O59" i="34"/>
  <c r="M59" i="34"/>
  <c r="O58" i="34"/>
  <c r="M58" i="34"/>
  <c r="N58" i="34" s="1"/>
  <c r="O57" i="34"/>
  <c r="M57" i="34"/>
  <c r="O56" i="34"/>
  <c r="M56" i="34"/>
  <c r="O55" i="34"/>
  <c r="M55" i="34"/>
  <c r="O54" i="34"/>
  <c r="M54" i="34"/>
  <c r="O53" i="34"/>
  <c r="M53" i="34"/>
  <c r="O52" i="34"/>
  <c r="M52" i="34"/>
  <c r="O51" i="34"/>
  <c r="M51" i="34"/>
  <c r="O50" i="34"/>
  <c r="M50" i="34"/>
  <c r="O49" i="34"/>
  <c r="M49" i="34"/>
  <c r="O48" i="34"/>
  <c r="M48" i="34"/>
  <c r="N48" i="34" s="1"/>
  <c r="O47" i="34"/>
  <c r="M47" i="34"/>
  <c r="O46" i="34"/>
  <c r="M46" i="34"/>
  <c r="O45" i="34"/>
  <c r="M45" i="34"/>
  <c r="O44" i="34"/>
  <c r="M44" i="34"/>
  <c r="O43" i="34"/>
  <c r="M43" i="34"/>
  <c r="O42" i="34"/>
  <c r="M42" i="34"/>
  <c r="O41" i="34"/>
  <c r="M41" i="34"/>
  <c r="O40" i="34"/>
  <c r="M40" i="34"/>
  <c r="N40" i="34" s="1"/>
  <c r="O39" i="34"/>
  <c r="M39" i="34"/>
  <c r="O38" i="34"/>
  <c r="M38" i="34"/>
  <c r="O37" i="34"/>
  <c r="M37" i="34"/>
  <c r="O36" i="34"/>
  <c r="M36" i="34"/>
  <c r="O35" i="34"/>
  <c r="M35" i="34"/>
  <c r="O34" i="34"/>
  <c r="M34" i="34"/>
  <c r="O33" i="34"/>
  <c r="M33" i="34"/>
  <c r="O32" i="34"/>
  <c r="M32" i="34"/>
  <c r="O31" i="34"/>
  <c r="M31" i="34"/>
  <c r="O30" i="34"/>
  <c r="M30" i="34"/>
  <c r="O29" i="34"/>
  <c r="M29" i="34"/>
  <c r="O28" i="34"/>
  <c r="M28" i="34"/>
  <c r="N28" i="34" s="1"/>
  <c r="O27" i="34"/>
  <c r="M27" i="34"/>
  <c r="O26" i="34"/>
  <c r="M26" i="34"/>
  <c r="O25" i="34"/>
  <c r="M25" i="34"/>
  <c r="O24" i="34"/>
  <c r="M24" i="34"/>
  <c r="O23" i="34"/>
  <c r="M23" i="34"/>
  <c r="O22" i="34"/>
  <c r="M22" i="34"/>
  <c r="O21" i="34"/>
  <c r="M21" i="34"/>
  <c r="O20" i="34"/>
  <c r="M20" i="34"/>
  <c r="O19" i="34"/>
  <c r="M19" i="34"/>
  <c r="O18" i="34"/>
  <c r="M18" i="34"/>
  <c r="N18" i="34" s="1"/>
  <c r="O17" i="34"/>
  <c r="M17" i="34"/>
  <c r="O16" i="34"/>
  <c r="M16" i="34"/>
  <c r="O15" i="34"/>
  <c r="M15" i="34"/>
  <c r="O14" i="34"/>
  <c r="M14" i="34"/>
  <c r="O13" i="34"/>
  <c r="M13" i="34"/>
  <c r="O12" i="34"/>
  <c r="M12" i="34"/>
  <c r="O11" i="34"/>
  <c r="M11" i="34"/>
  <c r="O10" i="34"/>
  <c r="M10" i="34"/>
  <c r="O9" i="34"/>
  <c r="M9" i="34"/>
  <c r="O8" i="34"/>
  <c r="M8" i="34"/>
  <c r="O7" i="34"/>
  <c r="M7" i="34"/>
  <c r="O6" i="34"/>
  <c r="M6" i="34"/>
  <c r="O5" i="34"/>
  <c r="M5" i="34"/>
  <c r="O4" i="34"/>
  <c r="M4" i="34"/>
  <c r="O3" i="34"/>
  <c r="M3" i="34"/>
  <c r="O2" i="34"/>
  <c r="M2" i="34"/>
  <c r="O89" i="33"/>
  <c r="N89" i="33"/>
  <c r="M89" i="33"/>
  <c r="O88" i="33"/>
  <c r="M88" i="33"/>
  <c r="N88" i="33" s="1"/>
  <c r="O87" i="33"/>
  <c r="M87" i="33"/>
  <c r="N87" i="33" s="1"/>
  <c r="O86" i="33"/>
  <c r="M86" i="33"/>
  <c r="N86" i="33" s="1"/>
  <c r="O85" i="33"/>
  <c r="M85" i="33"/>
  <c r="N85" i="33" s="1"/>
  <c r="O84" i="33"/>
  <c r="M84" i="33"/>
  <c r="N84" i="33" s="1"/>
  <c r="O83" i="33"/>
  <c r="N83" i="33"/>
  <c r="M83" i="33"/>
  <c r="O82" i="33"/>
  <c r="M82" i="33"/>
  <c r="N82" i="33" s="1"/>
  <c r="O81" i="33"/>
  <c r="M81" i="33"/>
  <c r="N81" i="33" s="1"/>
  <c r="O80" i="33"/>
  <c r="M80" i="33"/>
  <c r="N80" i="33" s="1"/>
  <c r="O79" i="33"/>
  <c r="M79" i="33"/>
  <c r="N79" i="33" s="1"/>
  <c r="O78" i="33"/>
  <c r="M78" i="33"/>
  <c r="N78" i="33" s="1"/>
  <c r="O77" i="33"/>
  <c r="M77" i="33"/>
  <c r="N77" i="33" s="1"/>
  <c r="O76" i="33"/>
  <c r="M76" i="33"/>
  <c r="N76" i="33" s="1"/>
  <c r="O75" i="33"/>
  <c r="M75" i="33"/>
  <c r="N75" i="33" s="1"/>
  <c r="O74" i="33"/>
  <c r="M74" i="33"/>
  <c r="N74" i="33" s="1"/>
  <c r="O73" i="33"/>
  <c r="N73" i="33"/>
  <c r="M73" i="33"/>
  <c r="O72" i="33"/>
  <c r="M72" i="33"/>
  <c r="N72" i="33" s="1"/>
  <c r="O71" i="33"/>
  <c r="M71" i="33"/>
  <c r="N71" i="33" s="1"/>
  <c r="O70" i="33"/>
  <c r="M70" i="33"/>
  <c r="N70" i="33" s="1"/>
  <c r="O69" i="33"/>
  <c r="N69" i="33"/>
  <c r="M69" i="33"/>
  <c r="O68" i="33"/>
  <c r="M68" i="33"/>
  <c r="N68" i="33" s="1"/>
  <c r="O67" i="33"/>
  <c r="M67" i="33"/>
  <c r="N67" i="33" s="1"/>
  <c r="O66" i="33"/>
  <c r="M66" i="33"/>
  <c r="N66" i="33" s="1"/>
  <c r="O65" i="33"/>
  <c r="M65" i="33"/>
  <c r="N65" i="33" s="1"/>
  <c r="O64" i="33"/>
  <c r="M64" i="33"/>
  <c r="N64" i="33" s="1"/>
  <c r="O63" i="33"/>
  <c r="N63" i="33"/>
  <c r="M63" i="33"/>
  <c r="O62" i="33"/>
  <c r="M62" i="33"/>
  <c r="N62" i="33" s="1"/>
  <c r="O61" i="33"/>
  <c r="M61" i="33"/>
  <c r="N61" i="33" s="1"/>
  <c r="O60" i="33"/>
  <c r="M60" i="33"/>
  <c r="N60" i="33" s="1"/>
  <c r="O59" i="33"/>
  <c r="M59" i="33"/>
  <c r="N59" i="33" s="1"/>
  <c r="O58" i="33"/>
  <c r="M58" i="33"/>
  <c r="N58" i="33" s="1"/>
  <c r="O57" i="33"/>
  <c r="M57" i="33"/>
  <c r="N57" i="33" s="1"/>
  <c r="O56" i="33"/>
  <c r="M56" i="33"/>
  <c r="N56" i="33" s="1"/>
  <c r="O55" i="33"/>
  <c r="M55" i="33"/>
  <c r="N55" i="33" s="1"/>
  <c r="O54" i="33"/>
  <c r="M54" i="33"/>
  <c r="N54" i="33" s="1"/>
  <c r="O53" i="33"/>
  <c r="N53" i="33"/>
  <c r="M53" i="33"/>
  <c r="O52" i="33"/>
  <c r="M52" i="33"/>
  <c r="N52" i="33" s="1"/>
  <c r="O51" i="33"/>
  <c r="M51" i="33"/>
  <c r="N51" i="33" s="1"/>
  <c r="O50" i="33"/>
  <c r="M50" i="33"/>
  <c r="N50" i="33" s="1"/>
  <c r="O49" i="33"/>
  <c r="N49" i="33"/>
  <c r="M49" i="33"/>
  <c r="O48" i="33"/>
  <c r="M48" i="33"/>
  <c r="N48" i="33" s="1"/>
  <c r="O47" i="33"/>
  <c r="M47" i="33"/>
  <c r="N47" i="33" s="1"/>
  <c r="O46" i="33"/>
  <c r="M46" i="33"/>
  <c r="N46" i="33" s="1"/>
  <c r="O45" i="33"/>
  <c r="M45" i="33"/>
  <c r="N45" i="33" s="1"/>
  <c r="O44" i="33"/>
  <c r="M44" i="33"/>
  <c r="N44" i="33" s="1"/>
  <c r="O43" i="33"/>
  <c r="N43" i="33"/>
  <c r="M43" i="33"/>
  <c r="O42" i="33"/>
  <c r="M42" i="33"/>
  <c r="N42" i="33" s="1"/>
  <c r="O41" i="33"/>
  <c r="M41" i="33"/>
  <c r="N41" i="33" s="1"/>
  <c r="O40" i="33"/>
  <c r="M40" i="33"/>
  <c r="N40" i="33" s="1"/>
  <c r="O39" i="33"/>
  <c r="M39" i="33"/>
  <c r="N39" i="33" s="1"/>
  <c r="O38" i="33"/>
  <c r="M38" i="33"/>
  <c r="N38" i="33" s="1"/>
  <c r="O37" i="33"/>
  <c r="M37" i="33"/>
  <c r="N37" i="33" s="1"/>
  <c r="O36" i="33"/>
  <c r="M36" i="33"/>
  <c r="N36" i="33" s="1"/>
  <c r="O35" i="33"/>
  <c r="N35" i="33"/>
  <c r="M35" i="33"/>
  <c r="O34" i="33"/>
  <c r="M34" i="33"/>
  <c r="N34" i="33" s="1"/>
  <c r="O33" i="33"/>
  <c r="N33" i="33"/>
  <c r="M33" i="33"/>
  <c r="O32" i="33"/>
  <c r="M32" i="33"/>
  <c r="N32" i="33" s="1"/>
  <c r="O31" i="33"/>
  <c r="M31" i="33"/>
  <c r="N31" i="33" s="1"/>
  <c r="O30" i="33"/>
  <c r="M30" i="33"/>
  <c r="N30" i="33" s="1"/>
  <c r="O29" i="33"/>
  <c r="N29" i="33"/>
  <c r="M29" i="33"/>
  <c r="O28" i="33"/>
  <c r="M28" i="33"/>
  <c r="N28" i="33" s="1"/>
  <c r="O27" i="33"/>
  <c r="M27" i="33"/>
  <c r="N27" i="33" s="1"/>
  <c r="O26" i="33"/>
  <c r="M26" i="33"/>
  <c r="N26" i="33" s="1"/>
  <c r="O25" i="33"/>
  <c r="M25" i="33"/>
  <c r="N25" i="33" s="1"/>
  <c r="O24" i="33"/>
  <c r="M24" i="33"/>
  <c r="N24" i="33" s="1"/>
  <c r="O23" i="33"/>
  <c r="N23" i="33"/>
  <c r="M23" i="33"/>
  <c r="O22" i="33"/>
  <c r="M22" i="33"/>
  <c r="N22" i="33" s="1"/>
  <c r="O21" i="33"/>
  <c r="M21" i="33"/>
  <c r="N21" i="33" s="1"/>
  <c r="O20" i="33"/>
  <c r="M20" i="33"/>
  <c r="N20" i="33" s="1"/>
  <c r="O19" i="33"/>
  <c r="M19" i="33"/>
  <c r="N19" i="33" s="1"/>
  <c r="O18" i="33"/>
  <c r="M18" i="33"/>
  <c r="N18" i="33" s="1"/>
  <c r="O17" i="33"/>
  <c r="M17" i="33"/>
  <c r="N17" i="33" s="1"/>
  <c r="O16" i="33"/>
  <c r="M16" i="33"/>
  <c r="N16" i="33" s="1"/>
  <c r="O15" i="33"/>
  <c r="M15" i="33"/>
  <c r="N15" i="33" s="1"/>
  <c r="O14" i="33"/>
  <c r="M14" i="33"/>
  <c r="N14" i="33" s="1"/>
  <c r="O13" i="33"/>
  <c r="M13" i="33"/>
  <c r="N13" i="33" s="1"/>
  <c r="O12" i="33"/>
  <c r="M12" i="33"/>
  <c r="N12" i="33" s="1"/>
  <c r="O11" i="33"/>
  <c r="M11" i="33"/>
  <c r="N11" i="33" s="1"/>
  <c r="O10" i="33"/>
  <c r="M10" i="33"/>
  <c r="N10" i="33" s="1"/>
  <c r="O9" i="33"/>
  <c r="N9" i="33"/>
  <c r="M9" i="33"/>
  <c r="O8" i="33"/>
  <c r="M8" i="33"/>
  <c r="N8" i="33" s="1"/>
  <c r="O7" i="33"/>
  <c r="M7" i="33"/>
  <c r="N7" i="33" s="1"/>
  <c r="O6" i="33"/>
  <c r="M6" i="33"/>
  <c r="N6" i="33" s="1"/>
  <c r="O5" i="33"/>
  <c r="M5" i="33"/>
  <c r="N5" i="33" s="1"/>
  <c r="O4" i="33"/>
  <c r="M4" i="33"/>
  <c r="N4" i="33" s="1"/>
  <c r="O3" i="33"/>
  <c r="N3" i="33"/>
  <c r="M3" i="33"/>
  <c r="O2" i="33"/>
  <c r="M2" i="33"/>
  <c r="N2" i="33" s="1"/>
  <c r="N83" i="36" l="1"/>
  <c r="N9" i="34"/>
  <c r="N19" i="34"/>
  <c r="N29" i="34"/>
  <c r="N39" i="34"/>
  <c r="N59" i="34"/>
  <c r="N7" i="37"/>
  <c r="N74" i="38"/>
  <c r="N14" i="38"/>
  <c r="N4" i="38"/>
  <c r="N66" i="36"/>
  <c r="N69" i="34"/>
  <c r="N34" i="34"/>
  <c r="N44" i="34"/>
  <c r="N75" i="34"/>
  <c r="N66" i="37"/>
  <c r="N76" i="37"/>
  <c r="N73" i="37"/>
  <c r="N65" i="37"/>
  <c r="N75" i="37"/>
  <c r="N34" i="38"/>
  <c r="N11" i="38"/>
  <c r="N22" i="38"/>
  <c r="N32" i="38"/>
  <c r="N42" i="38"/>
  <c r="N52" i="38"/>
  <c r="N62" i="38"/>
  <c r="N72" i="38"/>
  <c r="N82" i="38"/>
  <c r="N8" i="38"/>
  <c r="N18" i="38"/>
  <c r="N29" i="38"/>
  <c r="N39" i="38"/>
  <c r="N49" i="38"/>
  <c r="N69" i="38"/>
  <c r="N79" i="38"/>
  <c r="N89" i="38"/>
  <c r="N7" i="38"/>
  <c r="N17" i="38"/>
  <c r="N28" i="38"/>
  <c r="N38" i="38"/>
  <c r="N48" i="38"/>
  <c r="N58" i="38"/>
  <c r="N67" i="38"/>
  <c r="N78" i="38"/>
  <c r="N88" i="38"/>
  <c r="N10" i="38"/>
  <c r="N21" i="38"/>
  <c r="N31" i="38"/>
  <c r="N41" i="38"/>
  <c r="N51" i="38"/>
  <c r="N61" i="38"/>
  <c r="N71" i="38"/>
  <c r="N9" i="38"/>
  <c r="N50" i="38"/>
  <c r="N60" i="38"/>
  <c r="N70" i="38"/>
  <c r="N2" i="34"/>
  <c r="N22" i="34"/>
  <c r="N52" i="34"/>
  <c r="N62" i="34"/>
  <c r="N83" i="34"/>
  <c r="N55" i="34"/>
  <c r="N68" i="34"/>
  <c r="N78" i="34"/>
  <c r="N81" i="36"/>
  <c r="N73" i="34"/>
  <c r="N5" i="36"/>
  <c r="N15" i="36"/>
  <c r="N25" i="36"/>
  <c r="N36" i="36"/>
  <c r="N46" i="36"/>
  <c r="N57" i="36"/>
  <c r="N67" i="36"/>
  <c r="N77" i="36"/>
  <c r="N82" i="36"/>
  <c r="N2" i="36"/>
  <c r="N74" i="36"/>
  <c r="N85" i="36"/>
  <c r="N4" i="36"/>
  <c r="N6" i="36"/>
  <c r="N26" i="36"/>
  <c r="N48" i="36"/>
  <c r="N68" i="36"/>
  <c r="N54" i="36"/>
  <c r="N64" i="36"/>
  <c r="N3" i="36"/>
  <c r="N13" i="36"/>
  <c r="N23" i="36"/>
  <c r="N33" i="36"/>
  <c r="N44" i="36"/>
  <c r="N55" i="36"/>
  <c r="N65" i="36"/>
  <c r="N7" i="36"/>
  <c r="N17" i="36"/>
  <c r="N27" i="36"/>
  <c r="N38" i="36"/>
  <c r="N49" i="36"/>
  <c r="N78" i="36"/>
  <c r="N62" i="37"/>
  <c r="N31" i="37"/>
  <c r="N42" i="37"/>
  <c r="N53" i="37"/>
  <c r="N14" i="37"/>
  <c r="N25" i="37"/>
  <c r="N36" i="37"/>
  <c r="N46" i="37"/>
  <c r="N67" i="37"/>
  <c r="N2" i="38"/>
  <c r="N12" i="38"/>
  <c r="N63" i="38"/>
  <c r="N80" i="38"/>
  <c r="N90" i="38"/>
  <c r="N59" i="38"/>
  <c r="N10" i="34"/>
  <c r="N53" i="34"/>
  <c r="N49" i="34"/>
  <c r="N11" i="34"/>
  <c r="N21" i="34"/>
  <c r="N31" i="34"/>
  <c r="N41" i="34"/>
  <c r="N81" i="34"/>
  <c r="N56" i="34"/>
  <c r="N66" i="34"/>
  <c r="N76" i="34"/>
  <c r="N37" i="34"/>
  <c r="N25" i="34"/>
  <c r="N35" i="34"/>
  <c r="N38" i="34"/>
  <c r="N47" i="34"/>
  <c r="N57" i="34"/>
  <c r="N67" i="34"/>
  <c r="N77" i="34"/>
  <c r="N16" i="34"/>
  <c r="N26" i="34"/>
  <c r="N3" i="34"/>
  <c r="N23" i="34"/>
  <c r="N42" i="34"/>
  <c r="N80" i="34"/>
  <c r="N8" i="34"/>
  <c r="N17" i="34"/>
  <c r="N27" i="34"/>
  <c r="N36" i="34"/>
  <c r="N45" i="34"/>
  <c r="N54" i="34"/>
  <c r="N63" i="34"/>
  <c r="N74" i="34"/>
  <c r="N12" i="34"/>
  <c r="N4" i="34"/>
  <c r="N20" i="34"/>
  <c r="N5" i="34"/>
  <c r="N13" i="34"/>
  <c r="N6" i="34"/>
  <c r="N14" i="34"/>
  <c r="N24" i="34"/>
  <c r="N33" i="34"/>
  <c r="N43" i="34"/>
  <c r="N51" i="34"/>
  <c r="N60" i="34"/>
  <c r="N71" i="34"/>
  <c r="N8" i="36"/>
  <c r="N18" i="36"/>
  <c r="N28" i="36"/>
  <c r="N39" i="36"/>
  <c r="N50" i="36"/>
  <c r="N60" i="36"/>
  <c r="N70" i="36"/>
  <c r="N79" i="36"/>
  <c r="N9" i="36"/>
  <c r="N19" i="36"/>
  <c r="N29" i="36"/>
  <c r="N51" i="36"/>
  <c r="N71" i="36"/>
  <c r="N10" i="36"/>
  <c r="N20" i="36"/>
  <c r="N30" i="36"/>
  <c r="N41" i="36"/>
  <c r="N52" i="36"/>
  <c r="N62" i="36"/>
  <c r="N72" i="36"/>
  <c r="N40" i="36"/>
  <c r="N53" i="36"/>
  <c r="N63" i="36"/>
  <c r="N73" i="36"/>
  <c r="N80" i="36"/>
  <c r="N30" i="34"/>
  <c r="N46" i="34"/>
  <c r="N65" i="34"/>
  <c r="N70" i="34"/>
  <c r="N32" i="34"/>
  <c r="N7" i="34"/>
  <c r="N15" i="34"/>
  <c r="N50" i="34"/>
  <c r="N59" i="36"/>
  <c r="N69" i="36"/>
  <c r="N84" i="36"/>
  <c r="N11" i="36"/>
  <c r="N21" i="36"/>
  <c r="N31" i="36"/>
  <c r="N42" i="36"/>
  <c r="N32" i="36"/>
  <c r="N43" i="36"/>
  <c r="N20" i="38"/>
  <c r="N30" i="38"/>
  <c r="N40" i="38"/>
  <c r="N23" i="38"/>
  <c r="N33" i="38"/>
  <c r="N43" i="38"/>
  <c r="N41" i="37"/>
  <c r="N52" i="37"/>
  <c r="N72" i="37"/>
  <c r="N33" i="37"/>
  <c r="N5" i="37"/>
  <c r="N11" i="37"/>
  <c r="N22" i="37"/>
  <c r="N43" i="37"/>
  <c r="N54" i="37"/>
  <c r="N63" i="37"/>
  <c r="N2" i="37"/>
  <c r="N12" i="37"/>
  <c r="N34" i="37"/>
  <c r="N44" i="37"/>
  <c r="N55" i="37"/>
  <c r="N64" i="37"/>
  <c r="N3" i="37"/>
  <c r="N24" i="37"/>
  <c r="N35" i="37"/>
  <c r="N45" i="37"/>
  <c r="N56" i="37"/>
  <c r="N49" i="37"/>
  <c r="N70" i="37"/>
  <c r="N9" i="37"/>
  <c r="N20" i="37"/>
  <c r="N39" i="37"/>
  <c r="N32" i="37"/>
  <c r="N10" i="37"/>
  <c r="N30" i="37"/>
  <c r="N40" i="37"/>
  <c r="N25" i="38"/>
  <c r="N53" i="38"/>
  <c r="N81" i="38"/>
  <c r="N16" i="38"/>
  <c r="N45" i="38"/>
  <c r="N73" i="38"/>
  <c r="N27" i="38"/>
  <c r="N55" i="38"/>
  <c r="N83" i="38"/>
  <c r="N75" i="36"/>
  <c r="N16" i="36"/>
  <c r="N37" i="36"/>
  <c r="N76" i="36"/>
  <c r="N12" i="36"/>
  <c r="N58" i="36"/>
  <c r="N22" i="36"/>
  <c r="N61" i="36"/>
  <c r="N21" i="37"/>
  <c r="N29" i="37"/>
  <c r="N57" i="37"/>
  <c r="N74" i="37"/>
  <c r="N58" i="37"/>
  <c r="N4" i="37"/>
  <c r="N13" i="37"/>
  <c r="N60" i="37"/>
  <c r="N68" i="37"/>
  <c r="N23" i="37"/>
  <c r="N50" i="37"/>
  <c r="O3" i="24" l="1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60" i="24"/>
  <c r="O61" i="24"/>
  <c r="O62" i="24"/>
  <c r="O63" i="24"/>
  <c r="O64" i="24"/>
  <c r="O65" i="24"/>
  <c r="O66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39" i="24"/>
  <c r="O82" i="24"/>
  <c r="O83" i="24"/>
  <c r="O84" i="24"/>
  <c r="O85" i="24"/>
  <c r="O2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60" i="24"/>
  <c r="M61" i="24"/>
  <c r="M62" i="24"/>
  <c r="M63" i="24"/>
  <c r="M64" i="24"/>
  <c r="M65" i="24"/>
  <c r="M66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39" i="24"/>
  <c r="M82" i="24"/>
  <c r="M83" i="24"/>
  <c r="M84" i="24"/>
  <c r="M85" i="24"/>
  <c r="M2" i="24"/>
  <c r="N35" i="24" l="1"/>
  <c r="N16" i="24"/>
  <c r="N74" i="24"/>
  <c r="N76" i="24"/>
  <c r="N36" i="24"/>
  <c r="N55" i="24"/>
  <c r="N54" i="24"/>
  <c r="N75" i="24"/>
  <c r="N3" i="24"/>
  <c r="N50" i="24"/>
  <c r="N31" i="24"/>
  <c r="N12" i="24"/>
  <c r="N49" i="24"/>
  <c r="N30" i="24"/>
  <c r="N11" i="24"/>
  <c r="N70" i="24"/>
  <c r="N48" i="24"/>
  <c r="N69" i="24"/>
  <c r="N47" i="24"/>
  <c r="N29" i="24"/>
  <c r="N10" i="24"/>
  <c r="N2" i="24"/>
  <c r="N28" i="24"/>
  <c r="N65" i="24"/>
  <c r="N44" i="24"/>
  <c r="N26" i="24"/>
  <c r="N53" i="24"/>
  <c r="N68" i="24"/>
  <c r="N83" i="24"/>
  <c r="N64" i="24"/>
  <c r="N43" i="24"/>
  <c r="N25" i="24"/>
  <c r="N37" i="24"/>
  <c r="N46" i="24"/>
  <c r="N82" i="24"/>
  <c r="N42" i="24"/>
  <c r="N24" i="24"/>
  <c r="N73" i="24"/>
  <c r="N45" i="24"/>
  <c r="N62" i="24"/>
  <c r="N41" i="24"/>
  <c r="N23" i="24"/>
  <c r="N5" i="24"/>
  <c r="N17" i="24"/>
  <c r="N80" i="24"/>
  <c r="N61" i="24"/>
  <c r="N84" i="24"/>
  <c r="N60" i="24"/>
  <c r="N85" i="24"/>
  <c r="N9" i="24"/>
  <c r="N66" i="24"/>
  <c r="N39" i="24"/>
  <c r="N79" i="24"/>
  <c r="N22" i="24"/>
  <c r="N40" i="24"/>
  <c r="N21" i="24"/>
  <c r="N77" i="24"/>
  <c r="N20" i="24"/>
  <c r="N78" i="24"/>
  <c r="N57" i="24"/>
  <c r="N38" i="24"/>
  <c r="N19" i="24"/>
  <c r="N56" i="24"/>
  <c r="N18" i="24"/>
  <c r="N58" i="24"/>
  <c r="N27" i="24"/>
  <c r="N4" i="24"/>
  <c r="N15" i="24"/>
  <c r="N8" i="24"/>
  <c r="N72" i="24"/>
  <c r="N52" i="24"/>
  <c r="N33" i="24"/>
  <c r="N14" i="24"/>
  <c r="N7" i="24"/>
  <c r="N71" i="24"/>
  <c r="N51" i="24"/>
  <c r="N32" i="24"/>
  <c r="N13" i="24"/>
  <c r="N6" i="24"/>
  <c r="N34" i="24"/>
  <c r="N63" i="24"/>
</calcChain>
</file>

<file path=xl/sharedStrings.xml><?xml version="1.0" encoding="utf-8"?>
<sst xmlns="http://schemas.openxmlformats.org/spreadsheetml/2006/main" count="7131" uniqueCount="908">
  <si>
    <t>No. CONSECUTIVO</t>
  </si>
  <si>
    <t>SEXO</t>
  </si>
  <si>
    <t>NOMBRE DEL ALUMNO</t>
  </si>
  <si>
    <t>ESPECIALIDAD</t>
  </si>
  <si>
    <t>NUMERO DE  CONTROL</t>
  </si>
  <si>
    <t>INSTITUCIÓN PRESTATARIA</t>
  </si>
  <si>
    <t>TURNO</t>
  </si>
  <si>
    <t>VESPERTINO</t>
  </si>
  <si>
    <t>FOLIO</t>
  </si>
  <si>
    <t>MATUTINO</t>
  </si>
  <si>
    <t>ACTIVIDAD 1</t>
  </si>
  <si>
    <t>ACTIVIDAD 2</t>
  </si>
  <si>
    <t>ACTIVIDAD 3</t>
  </si>
  <si>
    <t>Actvidades de apoyo en general</t>
  </si>
  <si>
    <t>Asistencia adminisitrativa</t>
  </si>
  <si>
    <t xml:space="preserve">Atención al usuario de </t>
  </si>
  <si>
    <t>BM</t>
  </si>
  <si>
    <t>AV</t>
  </si>
  <si>
    <t>BV</t>
  </si>
  <si>
    <t>AMANC A.C. Querétaro, Qro.</t>
  </si>
  <si>
    <t>Sec. Tec. No. 26 "Constituyentes de Querétaro" Qro.</t>
  </si>
  <si>
    <t>Participación como</t>
  </si>
  <si>
    <t>Jefe de Grupo</t>
  </si>
  <si>
    <t>001</t>
  </si>
  <si>
    <t>005</t>
  </si>
  <si>
    <t>002</t>
  </si>
  <si>
    <t>003</t>
  </si>
  <si>
    <t>004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</si>
  <si>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</si>
  <si>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</si>
  <si>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</si>
  <si>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</si>
  <si>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</si>
  <si>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</si>
  <si>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</si>
  <si>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</si>
  <si>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</si>
  <si>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</si>
  <si>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</si>
  <si>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</si>
  <si>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</si>
  <si>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</si>
  <si>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</si>
  <si>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</si>
  <si>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</si>
  <si>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</si>
  <si>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</si>
  <si>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</si>
  <si>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</si>
  <si>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</si>
  <si>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</si>
  <si>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</si>
  <si>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</si>
  <si>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</si>
  <si>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</si>
  <si>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</si>
  <si>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</si>
  <si>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</si>
  <si>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</si>
  <si>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</si>
  <si>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</si>
  <si>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</si>
  <si>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</si>
  <si>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</si>
  <si>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</si>
  <si>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</si>
  <si>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</si>
  <si>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</si>
  <si>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</si>
  <si>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</si>
  <si>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</si>
  <si>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</si>
  <si>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</si>
  <si>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</si>
  <si>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</si>
  <si>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</si>
  <si>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</si>
  <si>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</si>
  <si>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</si>
  <si>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</si>
  <si>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</si>
  <si>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</si>
  <si>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</si>
  <si>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</si>
  <si>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</si>
  <si>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</si>
  <si>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</si>
  <si>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</si>
  <si>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</si>
  <si>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</si>
  <si>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</si>
  <si>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</si>
  <si>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</si>
  <si>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</si>
  <si>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</si>
  <si>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</si>
  <si>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</si>
  <si>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</si>
  <si>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</si>
  <si>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</si>
  <si>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</si>
  <si>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</si>
  <si>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</si>
  <si>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</si>
  <si>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</si>
  <si>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</si>
  <si>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</si>
  <si>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</si>
  <si>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</si>
  <si>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</si>
  <si>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</si>
  <si>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</si>
  <si>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</si>
  <si>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</si>
  <si>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</si>
  <si>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</si>
  <si>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</si>
  <si>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</si>
  <si>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</si>
  <si>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098</t>
  </si>
  <si>
    <t>099</t>
  </si>
  <si>
    <t>100</t>
  </si>
  <si>
    <t>NUM. CONTROL</t>
  </si>
  <si>
    <t>NOMBRE</t>
  </si>
  <si>
    <t>GRUPO</t>
  </si>
  <si>
    <t>BIOT</t>
  </si>
  <si>
    <t>AM</t>
  </si>
  <si>
    <t>LOG</t>
  </si>
  <si>
    <t>MEC</t>
  </si>
  <si>
    <t>PGA</t>
  </si>
  <si>
    <t>ACT. NACIMIENTO</t>
  </si>
  <si>
    <t>PRESENTACIÓN</t>
  </si>
  <si>
    <t>ACEPTACIÓN</t>
  </si>
  <si>
    <t>TARJETA DE CONTROL</t>
  </si>
  <si>
    <t>TRIMESTRAL</t>
  </si>
  <si>
    <t>FINAL</t>
  </si>
  <si>
    <t>TERMINACIÓN</t>
  </si>
  <si>
    <t>SECTOR</t>
  </si>
  <si>
    <t>ACREDITACIÓN</t>
  </si>
  <si>
    <t>LIBERACIÓN</t>
  </si>
  <si>
    <t>PROG</t>
  </si>
  <si>
    <t>DIA1</t>
  </si>
  <si>
    <t>MES 1</t>
  </si>
  <si>
    <t>AÑO 1</t>
  </si>
  <si>
    <t>DIA 2</t>
  </si>
  <si>
    <t>MES 2</t>
  </si>
  <si>
    <t>AÑO 2</t>
  </si>
  <si>
    <t>Logística</t>
  </si>
  <si>
    <t>Biotecnología</t>
  </si>
  <si>
    <t>Procesos de Gestión Administrativa</t>
  </si>
  <si>
    <t>Programación</t>
  </si>
  <si>
    <t>Mecatrónica</t>
  </si>
  <si>
    <t>REPR</t>
  </si>
  <si>
    <t>2025</t>
  </si>
  <si>
    <t>Taller de Robótica del Plantel.</t>
  </si>
  <si>
    <t>EDU</t>
  </si>
  <si>
    <t>PLANTEL</t>
  </si>
  <si>
    <t>01</t>
  </si>
  <si>
    <t>Artes Mixtas del Plantel.</t>
  </si>
  <si>
    <t>10</t>
  </si>
  <si>
    <t>18</t>
  </si>
  <si>
    <t>Plantel.</t>
  </si>
  <si>
    <t>PRADO</t>
  </si>
  <si>
    <t>Sec. Gral. No. 3 "Primero de Septiembre de 1982" Querétaro, Qro.</t>
  </si>
  <si>
    <t xml:space="preserve">Participación en el </t>
  </si>
  <si>
    <t>Participación en el</t>
  </si>
  <si>
    <t>Proyecto "Muro Verde" del Plantel.</t>
  </si>
  <si>
    <t>KARLA BRENDA</t>
  </si>
  <si>
    <t>C.D.C. Candiles, Corregidora, Qro.</t>
  </si>
  <si>
    <t>SOL</t>
  </si>
  <si>
    <t>Programa Transversal del área de Humanidades del Plantel.</t>
  </si>
  <si>
    <t>Prim. Rural Vesp. "José Morales Lira" Corregidora, Qro.</t>
  </si>
  <si>
    <t>Prim. Urb. Ves. "Emiliano Zapata" Querétaro, Qro.</t>
  </si>
  <si>
    <t>Banco de Tapitas A.C. Querétaro, Qro.</t>
  </si>
  <si>
    <t>Municipio de Corregidra, Qro.</t>
  </si>
  <si>
    <t>C.D.C. Los Olvera, Corregidora, Qro.</t>
  </si>
  <si>
    <t>Programa de Banda de Guerra del Plantel.</t>
  </si>
  <si>
    <t>Proyecto de Circulo de Lectura del Plantel.</t>
  </si>
  <si>
    <t>Sec. Tec. No. 33 "Juan Aldama" Corregidora, Qro.</t>
  </si>
  <si>
    <t>Proyecto de Escuela Sustentable del Plantel.</t>
  </si>
  <si>
    <t xml:space="preserve">Participaión en el </t>
  </si>
  <si>
    <t>C. D. C. Reforma-Lomas.</t>
  </si>
  <si>
    <t>Prim. Fed. "Bicentenario de la Ind. de México" Corregidora, Qro.</t>
  </si>
  <si>
    <t>Prim. Mat. "Palma de Mayorca" Querétaro, Qro.</t>
  </si>
  <si>
    <t>Prim. Urb. "Niños Heroés" Corregidora, Qro.</t>
  </si>
  <si>
    <t>Prim. Urb. Mat. "Conin" Querétaro, Qro.</t>
  </si>
  <si>
    <t>Programa Deportivo del Plantel.</t>
  </si>
  <si>
    <t>enero</t>
  </si>
  <si>
    <t>Programa "Reproducción de plantas y flores en vivero" del Plantel.</t>
  </si>
  <si>
    <t>TERESA</t>
  </si>
  <si>
    <t>Proyecto "Nivelación de alumnos Inglés" del Plantel.</t>
  </si>
  <si>
    <t>Proyecto Multidisciplinario del área de Mecatrónica del Plantel.</t>
  </si>
  <si>
    <t>C.D.C. Reforma-Lomas</t>
  </si>
  <si>
    <t>TIEMPO</t>
  </si>
  <si>
    <t>Centro de Salud Satélite, Querétaro, Qro.</t>
  </si>
  <si>
    <t>Preescolar "Telpochcalli" Corregidora, Qro.</t>
  </si>
  <si>
    <t>INICIO</t>
  </si>
  <si>
    <t>TERMINO</t>
  </si>
  <si>
    <t>Número</t>
  </si>
  <si>
    <t>Email-Institucional</t>
  </si>
  <si>
    <t>Email personal</t>
  </si>
  <si>
    <t>Prim. Vesp. "Emiliano Zapata" Querétaro, Qro.</t>
  </si>
  <si>
    <t>Instituto Municipal de la Juventud de Corregidora, Qro.</t>
  </si>
  <si>
    <t>Comisión Estatal de Aguas Querétaro, Qro.</t>
  </si>
  <si>
    <t>CATALOGOS</t>
  </si>
  <si>
    <t>AGUILAR LOPEZ BRYAN FRANCISCO</t>
  </si>
  <si>
    <t>ALFARO GARFIAS JOSE EMILIANO</t>
  </si>
  <si>
    <t>ANGELES RODRIGUEZ MARLEN SELENE</t>
  </si>
  <si>
    <t>ARIAS HERNANDEZ ZAHIRA IVETTE</t>
  </si>
  <si>
    <t>ARREOLA MONTES YESSICA</t>
  </si>
  <si>
    <t>AUSTRIA LIMON SARA CAMILA</t>
  </si>
  <si>
    <t>AVILA LOPEZ JAIRO</t>
  </si>
  <si>
    <t>BARCENAS ARMENDARIZ ALVARO DAVID</t>
  </si>
  <si>
    <t>BERNAL MONTOYA KENIA</t>
  </si>
  <si>
    <t>CARRANZA CONTRERAS CAROL JOCELYN</t>
  </si>
  <si>
    <t>FRANCO JUAREZ FRANCISCO JAVIER</t>
  </si>
  <si>
    <t>GARDUÑO OLVERA DANNA NATANIA</t>
  </si>
  <si>
    <t>GOMEZ VILLALBA KEIRA ASURIM</t>
  </si>
  <si>
    <t>GONZALEZ ROJAS HEYREN YUNUERI</t>
  </si>
  <si>
    <t>GUZMAN DIAZ PAOLA</t>
  </si>
  <si>
    <t>HERNANDEZ REYES VALERIA</t>
  </si>
  <si>
    <t>JIMENEZ SALINAS KEVIN ALEXANDER</t>
  </si>
  <si>
    <t>LEON VELAZQUEZ PAOLA JOCELYN</t>
  </si>
  <si>
    <t>MACIAS FUENTES ORLANDO</t>
  </si>
  <si>
    <t>MALDONADO GOMEZ CAMILA</t>
  </si>
  <si>
    <t>MARTINEZ STEFFANI SANTIAGO</t>
  </si>
  <si>
    <t>MAYA GARCIA ANA GLORIA</t>
  </si>
  <si>
    <t>MEDINA LOPEZ CESAR</t>
  </si>
  <si>
    <t>MEDRANO CERVANTES ARIEL ISAI</t>
  </si>
  <si>
    <t>MEJIA SILVA MAYTE GUADALUPE</t>
  </si>
  <si>
    <t>MENDOZA PEREZ XIMENA</t>
  </si>
  <si>
    <t>NARANJO LUNA MARLENE MILAGROS</t>
  </si>
  <si>
    <t>OLVERA VEGA DANIA REGINA</t>
  </si>
  <si>
    <t>OLVERA VEGA NATALI GUADALUPE</t>
  </si>
  <si>
    <t>PADILLA JUAREZ CRISTIAN</t>
  </si>
  <si>
    <t>PALACIOS GARCIA ABDIEL MANUEL</t>
  </si>
  <si>
    <t>PAZ VARGAS CESAR VLADIMIR</t>
  </si>
  <si>
    <t>PEREZ MENDIETA GABRIEL ABAD</t>
  </si>
  <si>
    <t>PEREZ MENDIOLA SEBASTIAN</t>
  </si>
  <si>
    <t>PEREZ SANCHEZ LAEL</t>
  </si>
  <si>
    <t>POZAS MENDOZA EVELYN BETSABE</t>
  </si>
  <si>
    <t>PRECIADO HERNANDEZ ULISES JASIEL</t>
  </si>
  <si>
    <t>PULIDO ARREOLA FATIMA GUADALUPE</t>
  </si>
  <si>
    <t>RANGEL PEREZ MELISSA ROMINA</t>
  </si>
  <si>
    <t>RODRIGUEZ ESTRADA JESUS EMMANUEL</t>
  </si>
  <si>
    <t>RODRIGUEZ HERNANDEZ MARICELA</t>
  </si>
  <si>
    <t>ROMERO DIAZ JOCELYN</t>
  </si>
  <si>
    <t>RUELAS ANDRADE MIREYA DAHANAE</t>
  </si>
  <si>
    <t>SOLORZANO MENDIZABAL EDUARDO SEBASTIAN</t>
  </si>
  <si>
    <t>SUAREZ GUERRERO ANDREY</t>
  </si>
  <si>
    <t>SUAREZ RAMIREZ MARIA FERNANDA</t>
  </si>
  <si>
    <t>TOVAR HERNANDEZ DANIELA</t>
  </si>
  <si>
    <t>ALMANZA PAREDES LAURA ESTEFANIA</t>
  </si>
  <si>
    <t>ALMARAZ RODRIGUEZ ALAN EMMANUEL</t>
  </si>
  <si>
    <t>ARIAS OLVERA URIEL GUADALUPE</t>
  </si>
  <si>
    <t>ARRIOLA OLVERA ZULEICA</t>
  </si>
  <si>
    <t>ATILANO LARA SANDRA NAYELI</t>
  </si>
  <si>
    <t>BECERRIL GAYOSSO RODRIGO</t>
  </si>
  <si>
    <t>COLLADO-MORALES  ALEXANDER</t>
  </si>
  <si>
    <t>DIAZ CORONEL JOSE ALONSO</t>
  </si>
  <si>
    <t>GONZALEZ LARA ALISON MARIANA</t>
  </si>
  <si>
    <t>GONZALEZ VILLANUEVA JOCELYN MONSERRAT</t>
  </si>
  <si>
    <t>GUERRERO GUDIÑO PAOLA MELISSA</t>
  </si>
  <si>
    <t>HERNANDEZ HURTADO YOSGART JOSUE</t>
  </si>
  <si>
    <t>HERNANDEZ MEDRANO DIANA ANGELICA</t>
  </si>
  <si>
    <t>HURTADO SALAZAR KENIA YAMILET</t>
  </si>
  <si>
    <t>LANDEROS FLORES EVELINE IVANNA</t>
  </si>
  <si>
    <t>LARA MONDRAGON SANTIAGO</t>
  </si>
  <si>
    <t>LEDEZMA RAMIREZ BAYRON OMAR</t>
  </si>
  <si>
    <t>MARTINEZ AGUADO RICARDO</t>
  </si>
  <si>
    <t>MARTINEZ RODRIGUEZ JAZMIN</t>
  </si>
  <si>
    <t>MOLINA RAMIREZ DIANA REGINA</t>
  </si>
  <si>
    <t>MORALES TIMOTEO JOCELYN MARELEE</t>
  </si>
  <si>
    <t>MUÑIZ OSORIO EMILIANO</t>
  </si>
  <si>
    <t>NOYOLA ZUÑIGA ISIS NAOMI</t>
  </si>
  <si>
    <t>OLIVARES MOLINERO CAMILA</t>
  </si>
  <si>
    <t>OLVERA CASTAÑON JUAN PABLO</t>
  </si>
  <si>
    <t>OLVERA PORRAZ IVANKA ESTEPHANIA</t>
  </si>
  <si>
    <t>PEREZ OLALDE DIANA NAOMI</t>
  </si>
  <si>
    <t>RAMIREZ GARCIA CAMILA</t>
  </si>
  <si>
    <t>RAPPOZO PADRON JORGE ENRIQUE</t>
  </si>
  <si>
    <t>RESENDIZ SAN JUAN DIEGO ZURIEL</t>
  </si>
  <si>
    <t>REYES MEDINA MIGUEL ANGEL</t>
  </si>
  <si>
    <t>Rivera Sánchez Alan Enrique</t>
  </si>
  <si>
    <t>RODRIGUEZ LIZARRAGA ANA LUCIA</t>
  </si>
  <si>
    <t>ROMERO CONTRERAS LESLYE ALEJANDRA</t>
  </si>
  <si>
    <t>ROMERO LEAL DANA XIOMARA</t>
  </si>
  <si>
    <t>SALAZAR MENDOZA ALAN YAEL</t>
  </si>
  <si>
    <t>SALINAS GUERRERO ESTRELLA JOCELYN</t>
  </si>
  <si>
    <t>SALINAS MARTINEZ SANDRA DAMARIS</t>
  </si>
  <si>
    <t>SALINAS NOLASCO YARETZI</t>
  </si>
  <si>
    <t>SALINAS SILVA XIMENA</t>
  </si>
  <si>
    <t>SANJUAN NAVARRETE MIGUEL ANGEL</t>
  </si>
  <si>
    <t>SERVIN ALVAREZ LINDA DEL CARMEN</t>
  </si>
  <si>
    <t>SOTO SANCHEZ LIZBETH EVELIN</t>
  </si>
  <si>
    <t>VAZQUEZ SOTO IAN ALAKAY</t>
  </si>
  <si>
    <t>VERTIZ MARTINEZ ANA DANIELA</t>
  </si>
  <si>
    <t>ACEVEDO SANCHEZ REGINA</t>
  </si>
  <si>
    <t>ALVAREZ FRANCO AMANDA MONTSERRAT</t>
  </si>
  <si>
    <t>AREVALO HERNANDEZ JESUS MANUEL</t>
  </si>
  <si>
    <t>BUSTAMANTE BARCENAS ANDREA YASMIN</t>
  </si>
  <si>
    <t>CALDERON MORAN LUIS DAMIAN</t>
  </si>
  <si>
    <t>CHAVEZ TERAN MARIO ANGEL</t>
  </si>
  <si>
    <t>COSILION AGUAS MELINA</t>
  </si>
  <si>
    <t>CRUZ CAMACHO MARIANA</t>
  </si>
  <si>
    <t>DAVALOS RODRIGUEZ MONTSERRAT</t>
  </si>
  <si>
    <t>ELIZONDO LEDEZMA MARIA JOSE</t>
  </si>
  <si>
    <t>ESTRADA RANGEL CEDRIC YAREMKA</t>
  </si>
  <si>
    <t>FAJARDO DIAZ JULIETA AIMEE</t>
  </si>
  <si>
    <t>GARCIA ALVARADO CAMILA</t>
  </si>
  <si>
    <t>GONZALEZ RUIZ CAMILA NICOLE</t>
  </si>
  <si>
    <t>GUDIÑO MARTINEZ YAMILETH</t>
  </si>
  <si>
    <t>HERNANDEZ URIBE AISLINN</t>
  </si>
  <si>
    <t>JIMENEZ TALAMANTES MARIA FERNANDA</t>
  </si>
  <si>
    <t>JUAREZ PEÑA REGINA</t>
  </si>
  <si>
    <t>LOPEZ ALVAREZ DENISSE</t>
  </si>
  <si>
    <t>LUNA ROMAN MELISSA</t>
  </si>
  <si>
    <t>MARTINEZ LEON SANTIAGO DAMIAN</t>
  </si>
  <si>
    <t>MORALES RIZO EMILIANO</t>
  </si>
  <si>
    <t>OLVERA ESPINDOLA MAYRA JULISSA</t>
  </si>
  <si>
    <t>PERALTA RAMIREZ ISAAC ALEJANDRO</t>
  </si>
  <si>
    <t>RAMIREZ SANCHEZ DAVID ISRAEL</t>
  </si>
  <si>
    <t>RANGEL ARIAS ANA LUCIA</t>
  </si>
  <si>
    <t>RANGEL BARRON VALERIA</t>
  </si>
  <si>
    <t>RANGEL DELGADO REGINA CONCEPCION</t>
  </si>
  <si>
    <t>RANGEL MACIAS SARA ARELI</t>
  </si>
  <si>
    <t>RESENDIZ MANDUJANO ANDREA NATALIA</t>
  </si>
  <si>
    <t>ROMERO ARVIZU YOSGART EMILIANO</t>
  </si>
  <si>
    <t>SALINAS ARREGUIN PAULETTE</t>
  </si>
  <si>
    <t>SANCHEZ FAJARDO KAMILA RENATA</t>
  </si>
  <si>
    <t>SERRANO LIZARDI DANIELA</t>
  </si>
  <si>
    <t>SILVA ARVIZU CAMILA FERNANDA</t>
  </si>
  <si>
    <t>SIXTOS LOPEZ KENIA</t>
  </si>
  <si>
    <t>TERRAZAS HERNANDEZ REGINA</t>
  </si>
  <si>
    <t>TRENADO SALITRILLO MARIA JOSE</t>
  </si>
  <si>
    <t>VALERIO GARFIAS ABIGAIL</t>
  </si>
  <si>
    <t>ABREU MARTINEZ ETHAN</t>
  </si>
  <si>
    <t>AYALA MENDOZA EVELYN LIZETH</t>
  </si>
  <si>
    <t>BARCENAS SANCHEZ JOSE ROGELIO</t>
  </si>
  <si>
    <t>BELLO HERNANDEZ MARIO</t>
  </si>
  <si>
    <t>BERNABE OCAMPO ALBERTO</t>
  </si>
  <si>
    <t>BREÑA ARIAS VALERIA GUADALUPE</t>
  </si>
  <si>
    <t>CHAVEZ RODRIGUEZ CARLOS IVAN</t>
  </si>
  <si>
    <t>CLEMENTE HERNANDEZ ISIS ITZEL</t>
  </si>
  <si>
    <t>CUEVAS ELIZARRAGA MARIA DE JESUS</t>
  </si>
  <si>
    <t>GARCIA VAZQUEZ MARISOL</t>
  </si>
  <si>
    <t>IBARRA DELGADO RENATA YARENI</t>
  </si>
  <si>
    <t>JAIME GUERRA GAMALIEL</t>
  </si>
  <si>
    <t>JARAMILLO RODRIGUEZ MONICA VANESSA</t>
  </si>
  <si>
    <t>JIMENEZ PORRAS MATEO</t>
  </si>
  <si>
    <t>MARTINEZ ALVARADO KENDRA NICOLE</t>
  </si>
  <si>
    <t>MARTINEZ CRUZ PEDRO ALEJANDRO</t>
  </si>
  <si>
    <t>MARTINEZ RESENDIZ ZOE GUADALUPE</t>
  </si>
  <si>
    <t>MOLINA COVARRUBIAS REGINA LUCIANA</t>
  </si>
  <si>
    <t>MORALES FLORES ROMINA</t>
  </si>
  <si>
    <t>MORALES TOVAR VANESA</t>
  </si>
  <si>
    <t>MUÑOZ SANTIAGO LUZ ELENA</t>
  </si>
  <si>
    <t>OLVERA MARTINEZ JARED ALEXANDER</t>
  </si>
  <si>
    <t>OSORIO SALCEDO JESSICA FERNANDA</t>
  </si>
  <si>
    <t>PADILLA SANCHEZ JUAN PABLO</t>
  </si>
  <si>
    <t>PEREZ GARCIA YULENY MARIEL</t>
  </si>
  <si>
    <t>QUINTERO SANCHEZ XIMENA</t>
  </si>
  <si>
    <t>RAMIREZ PONCE MARIA JOSE</t>
  </si>
  <si>
    <t>REYES ESTRADA RAQUEL SELENE</t>
  </si>
  <si>
    <t>RIVERA OLVERA LUIS YAEL</t>
  </si>
  <si>
    <t>RIVERA URQUIZA KEVIN URIEL</t>
  </si>
  <si>
    <t>ROJAS RUIZ BRIANDA EMILIA</t>
  </si>
  <si>
    <t>SOLIS ORTIZ NATALIA</t>
  </si>
  <si>
    <t>TRENADO PEDRAZA FABIO GABRIEL</t>
  </si>
  <si>
    <t>ALCARAZ RAMIREZ VIOLETA STEPHANIA</t>
  </si>
  <si>
    <t>ANDRADE RIVAS FABIOLA VALENTINA</t>
  </si>
  <si>
    <t>APREZA GARCIA LEONARDO KRISTOFF</t>
  </si>
  <si>
    <t>Arroyo Cortes Brenda</t>
  </si>
  <si>
    <t>ARTEAGA VAZQUEZ ANGEL DAVID</t>
  </si>
  <si>
    <t>CERVANTES FLORES DENISSE ESMERALDA</t>
  </si>
  <si>
    <t>CRUZ HERNANDEZ ANGEL GABRIEL</t>
  </si>
  <si>
    <t>CRUZ TERRAZAS DAMARIS RENATA</t>
  </si>
  <si>
    <t>DIAZ GUERRERO CLAUDIA JACQUELINE</t>
  </si>
  <si>
    <t>DIAZ NUBE JUAN DE DIOS</t>
  </si>
  <si>
    <t>DUARTE LANDEROS RICARDO ADRIAN</t>
  </si>
  <si>
    <t>FLORES VILLA DAISY MICHELLE</t>
  </si>
  <si>
    <t>GARCIA HERNANDEZ ANA ESMERALDA</t>
  </si>
  <si>
    <t>GARCIA LOPEZ EUGENIA SOFIA</t>
  </si>
  <si>
    <t>GARCIA OLVERA EMILIA PAMELA</t>
  </si>
  <si>
    <t>GARCIA SANCHEZ CRISTIAN MICHEL</t>
  </si>
  <si>
    <t>GONZALEZ ANAYA ANA ROXANA</t>
  </si>
  <si>
    <t>GONZALEZ ARIAS FATIMA NAZARETH</t>
  </si>
  <si>
    <t>GRANADOS MALAGON MARIA INES</t>
  </si>
  <si>
    <t>GUTIERREZ ROBLES EVELIN ALEXA</t>
  </si>
  <si>
    <t>HERNANDEZ MORALES GUADALUPE</t>
  </si>
  <si>
    <t>HERNANDEZ OLVERA MAURICIO</t>
  </si>
  <si>
    <t>HERNANDEZ ORTEGA JUAN DIEGO</t>
  </si>
  <si>
    <t>HERNANDEZ ROBLES FRIDA SOFIA</t>
  </si>
  <si>
    <t>JIMENEZ CAMACHO GUSTAVO</t>
  </si>
  <si>
    <t>JUAREZ AVILA SAUL</t>
  </si>
  <si>
    <t>MARTINEZ GARCIA PERLA GABRIELA</t>
  </si>
  <si>
    <t>MARTINEZ SANCHEZ MARIA GUADALUPE</t>
  </si>
  <si>
    <t>MEJIA GUTIERREZ ANGELA JAZMIN</t>
  </si>
  <si>
    <t>MENDIETA OLVERA VIVIANA MONTSERRAT</t>
  </si>
  <si>
    <t>MONROY MORENO JOSE MANUEL</t>
  </si>
  <si>
    <t>MONTOYA GARCIA MAYRA</t>
  </si>
  <si>
    <t>MORALES JACINTO DAFNE XALLY</t>
  </si>
  <si>
    <t>OCHOA RIVERA EDGAR HORACIO</t>
  </si>
  <si>
    <t>PAREDES LOPEZ MARIA JOSE</t>
  </si>
  <si>
    <t>RANGEL JACUINDE ANETTE NAOMI</t>
  </si>
  <si>
    <t>RODRIGUEZ GONZALEZ IVANNA NATHALY</t>
  </si>
  <si>
    <t>SALAZAR SANCHEZ JOSE ANGEL</t>
  </si>
  <si>
    <t>SANCHEZ VAZQUEZ CAMILA</t>
  </si>
  <si>
    <t>SOANCATL RODRIGUEZ PERLA ANAYELI</t>
  </si>
  <si>
    <t>SOSA MORENO NAIRI KARINA</t>
  </si>
  <si>
    <t>SOTO GARCIA EVELYN YANI</t>
  </si>
  <si>
    <t>TORRES PEREZ EDGAR</t>
  </si>
  <si>
    <t>VAZQUEZ MELO VICTORIA</t>
  </si>
  <si>
    <t>VILLASEÑOR OCHOA TADEO GONZALO</t>
  </si>
  <si>
    <t>ZARRAGA  LUZ ARELY</t>
  </si>
  <si>
    <t>ALMANZA RODRIGUEZ DULCE ESTRELLA</t>
  </si>
  <si>
    <t>ANGELES MORALES ARIANA</t>
  </si>
  <si>
    <t>ARELLANO SANCHEZ FATIMA REBECA</t>
  </si>
  <si>
    <t>BALDERAS LEDEZMA JUDITH SIOMARA</t>
  </si>
  <si>
    <t>BREÑA REYNA SANDRA GUADALUPE</t>
  </si>
  <si>
    <t>CARDENAS MIGUEL ALMA JIMENA</t>
  </si>
  <si>
    <t>CONTRERAS BARRON BARBARA MARCELA</t>
  </si>
  <si>
    <t>CONTRERAS MORENO SANTIAGO</t>
  </si>
  <si>
    <t>CONTRERAS NUÑEZ URIEL RAMSES</t>
  </si>
  <si>
    <t>COSSINO MENDOZA JOLETTE</t>
  </si>
  <si>
    <t>DE SANTIAGO SOTO NATHALY NAOMI</t>
  </si>
  <si>
    <t>DIAZ HERNANDEZ DANA PAOLA</t>
  </si>
  <si>
    <t>DIAZ MENDIETA ITZEL</t>
  </si>
  <si>
    <t>DOMINGUEZ COCILION MAYTE DEYANIRA</t>
  </si>
  <si>
    <t>ELIAS CHAVEZ ANGELA</t>
  </si>
  <si>
    <t>HERNANDEZ AGUAS ALONDRA JOCELIN</t>
  </si>
  <si>
    <t>HERNANDEZ PEREZ SOFIA GUADALUPE</t>
  </si>
  <si>
    <t>LINARES RESENDIZ LEILANI SELENE</t>
  </si>
  <si>
    <t>LOPEZ VAZQUEZ JOSE ANGEL</t>
  </si>
  <si>
    <t>MALDONADO GABINO EDGAR JOSHUA</t>
  </si>
  <si>
    <t>MARTINEZ CARPINTEYRO KARLA DENISSE</t>
  </si>
  <si>
    <t>MARTINEZ ROCHA GIOVANI</t>
  </si>
  <si>
    <t>MEDINA CARDOSO JUDIT ARLETTE</t>
  </si>
  <si>
    <t>MENDOZA RODRIGUEZ LUIS EDUARDO</t>
  </si>
  <si>
    <t>MONTES LANDEROS ARMANDO</t>
  </si>
  <si>
    <t>MORALES OLVERA ALMA ADDAI</t>
  </si>
  <si>
    <t>NAVA VALENCIA KAROL EMMANUEL</t>
  </si>
  <si>
    <t>OLVERA ANDRADE MARIA XIMENA</t>
  </si>
  <si>
    <t>OLVERA RIVERA VALERIA</t>
  </si>
  <si>
    <t>PATRICIO LARA BETHSAIDA HANANEEL</t>
  </si>
  <si>
    <t>PEREZ PATIÑO OSWALDO BLADIMIR</t>
  </si>
  <si>
    <t>PUGA GONZALEZ ERIKA LIZETH</t>
  </si>
  <si>
    <t>ROQUE REYES GIOVANNA</t>
  </si>
  <si>
    <t>SUAREZ COCILION PAOLO SANTIAGO</t>
  </si>
  <si>
    <t>VAZQUEZ MARTINEZ FRANCISCO GUILLERMO</t>
  </si>
  <si>
    <t>VILLANUEVA RUIZ ALEJANDRA</t>
  </si>
  <si>
    <t>AGUILAR DIAZ VALENTINA</t>
  </si>
  <si>
    <t>ARAUJO RIVERA SANTIAGO SAMUEL</t>
  </si>
  <si>
    <t>ARGÜELLES PACHECO FERNANDA</t>
  </si>
  <si>
    <t>BAUTISTA HERNANDEZ CAROL CRISTINA</t>
  </si>
  <si>
    <t>CABRERA REFUGIO ANTONIO</t>
  </si>
  <si>
    <t>CABRERA RODRIGUEZ VICTORIA VALENTINA</t>
  </si>
  <si>
    <t>CHAVEZ MORALES GUILLERMO</t>
  </si>
  <si>
    <t>ESTRADA LOPEZ JUAN PATRICIO</t>
  </si>
  <si>
    <t>FLORES SOLANO CARLOS ANDRES</t>
  </si>
  <si>
    <t>GONZALEZ LEON ANDREA JAQUELINE</t>
  </si>
  <si>
    <t>GONZALEZ MORALES LUIS ALDAIR</t>
  </si>
  <si>
    <t>GUERRERO OLVERA MARIA FERNANDA</t>
  </si>
  <si>
    <t>GUTIERREZ RUBIO ASHLEY CAMILA</t>
  </si>
  <si>
    <t>HERNANDEZ ESPINDOLA JOSUE ALONSO</t>
  </si>
  <si>
    <t>HERNANDEZ GARCIA CAMILA</t>
  </si>
  <si>
    <t>HERNANDEZ LOZANO ZAHIRA GUADALUPE</t>
  </si>
  <si>
    <t>HERNANDEZ PEREZ YOSAFAT OTTHONYEL</t>
  </si>
  <si>
    <t>JUAREZ OLALDE DANA ANGELA</t>
  </si>
  <si>
    <t>MANJARREZ HERNANDEZ DOMINIC HAZIEL</t>
  </si>
  <si>
    <t>MARTINEZ ARIAS JUAN ANTONIO</t>
  </si>
  <si>
    <t>MEJIA VEGA ERICK OMAR</t>
  </si>
  <si>
    <t>MOLINA CRUZ MAXIMILIANO</t>
  </si>
  <si>
    <t>MONDRAGON ALVARADO SANDRA PAOLA</t>
  </si>
  <si>
    <t>MORALES ESTRADA NICOLE</t>
  </si>
  <si>
    <t>MORLES CASADIEGO ANGEL DAVID</t>
  </si>
  <si>
    <t>MUÑOZ URBINA ISRAEL</t>
  </si>
  <si>
    <t>NUÑEZ GUEVARA CAMILA</t>
  </si>
  <si>
    <t>OLVERA  ERICK ROGELIO</t>
  </si>
  <si>
    <t>PEREZ SALINAS REGINA GUADALUPE</t>
  </si>
  <si>
    <t>PEREZ SANCHEZ SAMUEL ISAIAS</t>
  </si>
  <si>
    <t>RAMIREZ HERNANDEZ JOSE EMILIANO</t>
  </si>
  <si>
    <t>RAMIREZ RUIZ OSCAR MATEO</t>
  </si>
  <si>
    <t>RAMIREZ VILLAMARES SARA MADAI</t>
  </si>
  <si>
    <t>RESENDIZ VERA DANIEL FERNANDO</t>
  </si>
  <si>
    <t>RICO ABOYTES KARLA VANESSA</t>
  </si>
  <si>
    <t>RODRIGUEZ ESTRADA FATIMA</t>
  </si>
  <si>
    <t>RODRIGUEZ PIÑA ABRIL</t>
  </si>
  <si>
    <t>SENADO ROBLES ANGEL IVAN</t>
  </si>
  <si>
    <t>SOSTENES RIVERA ANGELICA</t>
  </si>
  <si>
    <t>TORRES BARCELO JESSICA KARINA</t>
  </si>
  <si>
    <t>VAZQUEZ BARRON DANIEL ALEJANDRO</t>
  </si>
  <si>
    <t>VELAZQUEZ GARCIA ALEJANDRO</t>
  </si>
  <si>
    <t>ARIAS HERNANDEZ EMMANUEL</t>
  </si>
  <si>
    <t>ARIAS RODRIGUEZ DESIREE FERNANDA</t>
  </si>
  <si>
    <t>BALTAZAR RAMIREZ AXEL DANIEL</t>
  </si>
  <si>
    <t>BUSTAMANTE MENDOZA EMILY JATHZIRY</t>
  </si>
  <si>
    <t>CARDENAS PEREZ DIEGO DE JESUS</t>
  </si>
  <si>
    <t>CEBALLOS MENDOZA AXEL JARED</t>
  </si>
  <si>
    <t>CORDOVA CHAVEZ BRIAN YAHIR</t>
  </si>
  <si>
    <t>CORONEL GUERRERO JOSE ANDRES</t>
  </si>
  <si>
    <t>CRUZ GONZALEZ DANIEL</t>
  </si>
  <si>
    <t>DONDIEGO DE SANTIAGO MARIA GUADALUPE</t>
  </si>
  <si>
    <t>ESTRADA PEREZ LEONARDO MISAEL</t>
  </si>
  <si>
    <t>FONSECA FONSECA SAMUEL</t>
  </si>
  <si>
    <t>GOMEZ MORALES YAIR EMILIO</t>
  </si>
  <si>
    <t>GONZALEZ MEJIA ZAIR EMMANUEL</t>
  </si>
  <si>
    <t>GONZALEZ TIBURCIO MATIAS</t>
  </si>
  <si>
    <t>GUTIERREZ GUTIERREZ MIRIAM LIZBETH</t>
  </si>
  <si>
    <t>GUZMAN RODRIGUEZ RUTH SAMANTHA</t>
  </si>
  <si>
    <t>HERNANDEZ GUTIERREZ OSCAR</t>
  </si>
  <si>
    <t>JUAREZ ARIAS ANGEL DANIEL</t>
  </si>
  <si>
    <t>LEDEZMA AGUILAR AXEL URIEL</t>
  </si>
  <si>
    <t>LOPEZ ARTEAGA LUIS ANGEL</t>
  </si>
  <si>
    <t>LUNA DIAZ KELSY NAOMI</t>
  </si>
  <si>
    <t>MALDONADO CARDENAS CARLOS ALBERTO</t>
  </si>
  <si>
    <t>MAYORGA ISABEL RUBI ESMERALDA</t>
  </si>
  <si>
    <t>MENDOZA JIMENEZ JUAN DANIEL</t>
  </si>
  <si>
    <t>MIRANDA COLIN EMMANUEL</t>
  </si>
  <si>
    <t>PERALTA FARFAN LUCIA</t>
  </si>
  <si>
    <t>PEREZ ORTEGA JESUS</t>
  </si>
  <si>
    <t>PEREZ RINCON NAOMI JOCELYN</t>
  </si>
  <si>
    <t>PICHARDO HUERTA JESUS ADRIAN</t>
  </si>
  <si>
    <t>Pozos Vazquez Sharon Monserrat</t>
  </si>
  <si>
    <t>PUERTOS MARTINEZ OCELOTL GABRIEL</t>
  </si>
  <si>
    <t>RAMIREZ SANCHEZ ALEXIS SACRAMENTO</t>
  </si>
  <si>
    <t>REYES LEYVA MARIA JOSE</t>
  </si>
  <si>
    <t>RICO MARTINEZ JULIO</t>
  </si>
  <si>
    <t>SALAZAR SANCHEZ CITLALLI</t>
  </si>
  <si>
    <t>SOTO SILVA MARIANA</t>
  </si>
  <si>
    <t>TOLENTINO ESTRADA GAEL</t>
  </si>
  <si>
    <t>VARGAS VILLANUEVA LEO TRISTAN</t>
  </si>
  <si>
    <t>ZAMORA ZAMORA SOFIA</t>
  </si>
  <si>
    <t>ZUÑIGA RODRIGUEZ JOSE ANTONIO</t>
  </si>
  <si>
    <t>ALVAREZ SALVADOR JONATHAN HAZIEL</t>
  </si>
  <si>
    <t>ARREDONDO JAIME NICOLAS ANTONIO</t>
  </si>
  <si>
    <t>ARREOLA PEREZ FRANCISCO JAZIEL</t>
  </si>
  <si>
    <t>BAHENA ORTIZ EDGAR</t>
  </si>
  <si>
    <t>CAMPILLO QUINTERO FRANCISCO JOSE</t>
  </si>
  <si>
    <t>CARVAJAL MANRIQUEZ OSIEL EDUARDO</t>
  </si>
  <si>
    <t>CENTENO VELEZ CHRISTIAN GAEL</t>
  </si>
  <si>
    <t>FONSECA GONZALEZ DAVID</t>
  </si>
  <si>
    <t>GALVEZ AGUILAR LUIS MANUEL</t>
  </si>
  <si>
    <t>GUIJOSA VACA CHRISTOPHER</t>
  </si>
  <si>
    <t>HERNANDEZ BARRIENTOS CARLOS IVAN</t>
  </si>
  <si>
    <t>HERNANDEZ MARTINEZ DANIEL ALEJANDRO</t>
  </si>
  <si>
    <t>HUERTA DOMINGUEZ CALEB</t>
  </si>
  <si>
    <t>JIMENEZ RODRIGUEZ DIEGO YAEL</t>
  </si>
  <si>
    <t>LANDAVERDE BECERRA MIRIAM GUADALUPE</t>
  </si>
  <si>
    <t>LOPEZ IBARRA ANGEL DANIEL</t>
  </si>
  <si>
    <t>LUNA ROMAN OSCAR ELIAS</t>
  </si>
  <si>
    <t>MARIANO FRANCO SANTIAGO</t>
  </si>
  <si>
    <t>MARROQUIN MOLINA CRISTIAN ROBERTO</t>
  </si>
  <si>
    <t>MATEOS ARRIOLA KEVIN NOE</t>
  </si>
  <si>
    <t>MERLOS PULIDO JAZIEL</t>
  </si>
  <si>
    <t>MORALES LOPEZ SANTIAGO</t>
  </si>
  <si>
    <t>OLVERA ACOSTA VANESSA ITZEL</t>
  </si>
  <si>
    <t>ORTIZ HERNANDEZ JUAN EMILIO</t>
  </si>
  <si>
    <t>PEÑA SANCHEZ ALBERTO ADRIAN</t>
  </si>
  <si>
    <t>RESENDIZ VALENCIA VALERIA</t>
  </si>
  <si>
    <t>RODRIGUEZ ESTRADA MARIA JOSE</t>
  </si>
  <si>
    <t>RUBIO HERNANDEZ JOSEPH</t>
  </si>
  <si>
    <t>TREJO AGUADO KEVIN ADRIAN</t>
  </si>
  <si>
    <t>VARGAS MAYORGA JOSUE</t>
  </si>
  <si>
    <t>ZAVALA ANGELES LEONARDO</t>
  </si>
  <si>
    <t>ACEVEDO MARTINEZ EVAN RUBEN</t>
  </si>
  <si>
    <t>ACOSTA CHAVERO ADRIAN</t>
  </si>
  <si>
    <t>AGUIRRE RIVERA ERICK ALEXANDER</t>
  </si>
  <si>
    <t>ALVAREZ GARCIA SERGIO ALEXANDER</t>
  </si>
  <si>
    <t>AYALA CARRASCO RAMSES AKIN</t>
  </si>
  <si>
    <t>BAHENA GUERRA DAVID</t>
  </si>
  <si>
    <t>BAUTISTA GARRIDO JULIO ANTONIO</t>
  </si>
  <si>
    <t>Colchado García Axel Israel</t>
  </si>
  <si>
    <t>CONTRERAS BRIONES LUIS ROBERTO</t>
  </si>
  <si>
    <t>CORONA CASTAÑON ASHLEY NICOLE</t>
  </si>
  <si>
    <t>DURAN RODRIGUEZ NAOMI RAQUEL</t>
  </si>
  <si>
    <t>FELIX GONZALEZ MARIANA ITZEL</t>
  </si>
  <si>
    <t>GARCIA SANCHEZ CHRISTOPHER</t>
  </si>
  <si>
    <t>GATICA RAMIREZ ARMANDO EMISAEL</t>
  </si>
  <si>
    <t>LARA ALVAREZ JOSEPH EMMANUEL</t>
  </si>
  <si>
    <t>Ledesma Rubio Carlos David</t>
  </si>
  <si>
    <t>LOZADA NOGUEZ JIMENA MONTSERRATH</t>
  </si>
  <si>
    <t>MACHUCA MATURINO CRISTOPHER</t>
  </si>
  <si>
    <t>MARQUEZ GRANADOS JACQUELINE</t>
  </si>
  <si>
    <t>MONTOYA GOMEZ ROMAN GUADALUPE</t>
  </si>
  <si>
    <t>OLIVO PEREA FERNANDO</t>
  </si>
  <si>
    <t>PAULIN CERVANTES ALISSON CAMILA</t>
  </si>
  <si>
    <t>RESENDIZ MARTINEZ JOSUE</t>
  </si>
  <si>
    <t>REYES CARDENAS EDGAR LEONARDO</t>
  </si>
  <si>
    <t>RICO JIMENEZ JOSE GIOVANNI</t>
  </si>
  <si>
    <t>RODRIGUEZ MENDOZA ALONDRA MILAGROS</t>
  </si>
  <si>
    <t>ROJAS BAUTISTA ANGEL ALEJANDRO</t>
  </si>
  <si>
    <t>ROSALES CAMPOS ANGEL</t>
  </si>
  <si>
    <t>RUIZ VELAZQUEZ EMMANUEL</t>
  </si>
  <si>
    <t>SALGADO MORALES DIEGO</t>
  </si>
  <si>
    <t>SERRANO LOREDO JUAN MANUEL</t>
  </si>
  <si>
    <t>TREJO CRUZ ASAEL</t>
  </si>
  <si>
    <t>Vargas Ramírez Joshua Ulises</t>
  </si>
  <si>
    <t>VELAZQUEZ ALVAREZ JOSE FERNANDO</t>
  </si>
  <si>
    <t>YAÑEZ RUIZ LILIA KARINA</t>
  </si>
  <si>
    <t>ZARATE GARZA ALEXIS DANIEL</t>
  </si>
  <si>
    <t>ABOYTES LOPEZ ERICK MAURICIO</t>
  </si>
  <si>
    <t>AGUILAR GONZALEZ ALAN GABRIEL</t>
  </si>
  <si>
    <t>ALVAREZ PEREZ NATALIA ITZEL</t>
  </si>
  <si>
    <t>ANGELES NIETO ULISES</t>
  </si>
  <si>
    <t>ARREDONDO OLGUIN AZAHEL</t>
  </si>
  <si>
    <t>ARREOLA VILLALON ADRIAN</t>
  </si>
  <si>
    <t>Cabrera Tinajero Héctor</t>
  </si>
  <si>
    <t>COVARRUBIAS OLVERA LUCIANO ISAY</t>
  </si>
  <si>
    <t>CRUZ MORALES MAURICIO</t>
  </si>
  <si>
    <t>ESPINO OLVERA DANIEL ANTONIO</t>
  </si>
  <si>
    <t>GABRIEL PINEDA ESTRELLA</t>
  </si>
  <si>
    <t>GAMBOA CRUZ EDUARDO</t>
  </si>
  <si>
    <t>GARCIA MORALES FRANCO</t>
  </si>
  <si>
    <t>GARCIA RUIZ JOHANN OMAR</t>
  </si>
  <si>
    <t>GOMEZ AVILA EDGAR JOSUE</t>
  </si>
  <si>
    <t>GONZALEZ HIDALGO EDUARDO</t>
  </si>
  <si>
    <t>HAM PEREZ SANTIAGO</t>
  </si>
  <si>
    <t>HERNANDEZ BAUTISTA XIMENA ITZEL</t>
  </si>
  <si>
    <t>HERNANDEZ LOPEZ JULIO ALBERTO</t>
  </si>
  <si>
    <t>JIMENEZ BAUTISTA ERICK ALEXANDER</t>
  </si>
  <si>
    <t>JURADO BAEZA JUAN MIGUEL</t>
  </si>
  <si>
    <t>LICEA RODRIGUEZ JUAN JOSE</t>
  </si>
  <si>
    <t>MANDUJANO CABRERA ANDRES</t>
  </si>
  <si>
    <t>MANDUJANO VALENCIA LUIS ANGEL</t>
  </si>
  <si>
    <t>MANZANILLA SALCEDO SERGIO ANDRE</t>
  </si>
  <si>
    <t>MARTINEZ HERNANDEZ RICARDO</t>
  </si>
  <si>
    <t>MENDOZA NARVAEZ FABIAN</t>
  </si>
  <si>
    <t>MORALES LOPEZ JOSE SALVADOR</t>
  </si>
  <si>
    <t>OLIVAS BASALDUA EMILIANO</t>
  </si>
  <si>
    <t>OLVERA ALVAREZ SANTIAGO ANDRE</t>
  </si>
  <si>
    <t>PEREZ MARTINEZ ANGEL DANIEL</t>
  </si>
  <si>
    <t>RIOS MUÑOZ RENATA DANIELA</t>
  </si>
  <si>
    <t>RODRIGUEZ AHUMADA ADOLFO SEBASTIAN</t>
  </si>
  <si>
    <t>RUBIO RIVERA DILAN ASAID</t>
  </si>
  <si>
    <t>SANCHEZ CABRERA ANGEL LEONARDO</t>
  </si>
  <si>
    <t>SANCHEZ MORENO ANDRE NICOLAS</t>
  </si>
  <si>
    <t>SERVIN LAMBAR IAN ALEJANDRO</t>
  </si>
  <si>
    <t>SILVA MONTERO HECTOR</t>
  </si>
  <si>
    <t>SILVA VILLA ANGEL JESUS</t>
  </si>
  <si>
    <t>SUASTE FLORES MARIA ARIADNA</t>
  </si>
  <si>
    <t>TAPIA GUTIERREZ LIDIA VANESA</t>
  </si>
  <si>
    <t>BIBIANO COPADO LUIS ANGEL</t>
  </si>
  <si>
    <t>CALTZONTZIN OLVERA JONATHAN</t>
  </si>
  <si>
    <t>CHAVEZ RODRIGUEZ BENJAMIN</t>
  </si>
  <si>
    <t>CUECUES RESENDIZ LUIS RAFAEL</t>
  </si>
  <si>
    <t>ESQUIVEL LINARES MELANIE THAILY</t>
  </si>
  <si>
    <t>FAJARDO CABELLO CRISTIAN ALBERTO</t>
  </si>
  <si>
    <t>FALCON CHAVEZ GERARDO</t>
  </si>
  <si>
    <t>FIGUEROA DE LEON RICARDO CESAR</t>
  </si>
  <si>
    <t>GUERRA GOMEZ DEMIAN</t>
  </si>
  <si>
    <t>JUAREZ ESTRADA EMMANUEL</t>
  </si>
  <si>
    <t>JURADO AGUILAR BRAYAN EDUARDO</t>
  </si>
  <si>
    <t>JURADO ARELLANO DIEGO ADAIR</t>
  </si>
  <si>
    <t>LOPEZ ICHICAHUA SANTIAGO</t>
  </si>
  <si>
    <t>MARQUEZ VILLASEÑOR ADAN RAFAEL</t>
  </si>
  <si>
    <t>MARTINEZ ARAGON JIMENA ITZEL</t>
  </si>
  <si>
    <t>MARTINEZ GONZALEZ GIOVANNI VICENTE</t>
  </si>
  <si>
    <t>MEJORADA ESTRADA PAULA MELANIE</t>
  </si>
  <si>
    <t>MOLINERO BECERRIL DIEGO ARTURO</t>
  </si>
  <si>
    <t>NIETO CHAVEZ LUIS KAROL</t>
  </si>
  <si>
    <t>NIEVES OLVERA GAMALIEL JOSAFAT</t>
  </si>
  <si>
    <t>NUÑEZ PICHARDO EUNICE</t>
  </si>
  <si>
    <t>OLVERA OLVERA LUIS ANGEL</t>
  </si>
  <si>
    <t>OLVERA ROMERO ABIGAIL KARINA</t>
  </si>
  <si>
    <t>PATIÑO ROMAN EMILIANO</t>
  </si>
  <si>
    <t>PEREZ HERNANDEZ GERARDO DANIEL</t>
  </si>
  <si>
    <t>RAMIREZ GARCIA DANIEL EMILIANO</t>
  </si>
  <si>
    <t>REYES MATIAS XERLIN</t>
  </si>
  <si>
    <t>ROBLES VARGAS BRAYAN GAEL</t>
  </si>
  <si>
    <t>RUIZ NUÑEZ AARON</t>
  </si>
  <si>
    <t>SAGAHON BENITO ALEXANDER</t>
  </si>
  <si>
    <t>SANCHEZ DIAZ CARLOS EDUARDO</t>
  </si>
  <si>
    <t>TORRES RICO LAILA ESTRELLA</t>
  </si>
  <si>
    <t>TREJO ARAIZA LUIS SANTIAGO</t>
  </si>
  <si>
    <t>VERA BAUTISTA ANGEL GABRIEL</t>
  </si>
  <si>
    <t>ZARRAGA CHAVEZ LANDON GIOVANNI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</si>
  <si>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</si>
  <si>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</si>
  <si>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</si>
  <si>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</si>
  <si>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</si>
  <si>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</si>
  <si>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</si>
  <si>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</si>
  <si>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</si>
  <si>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</si>
  <si>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</si>
  <si>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</si>
  <si>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</si>
  <si>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</si>
  <si>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</si>
  <si>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</si>
  <si>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</si>
  <si>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</si>
  <si>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</si>
  <si>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</si>
  <si>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</si>
  <si>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</si>
  <si>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</si>
  <si>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</si>
  <si>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</si>
  <si>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</si>
  <si>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</si>
  <si>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</si>
  <si>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</si>
  <si>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</si>
  <si>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</si>
  <si>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</si>
  <si>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</si>
  <si>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</si>
  <si>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</si>
  <si>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</si>
  <si>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</si>
  <si>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</si>
  <si>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</si>
  <si>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</si>
  <si>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</si>
  <si>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</si>
  <si>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</si>
  <si>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</si>
  <si>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</si>
  <si>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</si>
  <si>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Taller de Impresión 3D del Plantel.</t>
  </si>
  <si>
    <t>Dirección General CECyTE Querétaro, Qro.</t>
  </si>
  <si>
    <t>Programa de Certificación de  Solidworks del Plantel.</t>
  </si>
  <si>
    <t>Taller de Formula 1 In Schools del Plantel.</t>
  </si>
  <si>
    <t>Actividades en soporte en sistemas computacionales</t>
  </si>
  <si>
    <t>Programa de Jefe de Grupo</t>
  </si>
  <si>
    <t>Preescolar "Centenario de la Revolución" Apaseo el Grande, Gto.</t>
  </si>
  <si>
    <t>Sec. Gral. No. 4 "Benito Juárez" Querétaro, Qro.</t>
  </si>
  <si>
    <t>Preescolar "Elena Garro" Querétaro, Qro.</t>
  </si>
  <si>
    <t>CAM Cimatario, Querétaro, Qro.</t>
  </si>
  <si>
    <t>Prim. Vesp. "Rufino Tamayo" Corregidora, Qro.</t>
  </si>
  <si>
    <t>Prim. Rural Mat. "16 de Septiembre" Corregidora, Qro.</t>
  </si>
  <si>
    <t>Fundación Vive Mejor A.C. Querétaro, Qro.</t>
  </si>
  <si>
    <t>Hospital de Especialidades de Niño y la Mujer Qro.</t>
  </si>
  <si>
    <t>Prim. Antonio Domínguez Trejo Querétaro, Qro.</t>
  </si>
  <si>
    <t>INEA Querétaro, Qro.</t>
  </si>
  <si>
    <t>SMDIF Querétaro, Qro.</t>
  </si>
  <si>
    <t>Proyecto "Fortalecimiento de Compresión Lectora"</t>
  </si>
  <si>
    <t>Delegación Municipal "Los Olvera" Corregidora, Qro.</t>
  </si>
  <si>
    <t>Delegación Municipal "Josefa Vergara y Hdez" Querétaro, Qro.</t>
  </si>
  <si>
    <t>Sec. Gral. "Jesús Romero Flores" Corregidra, Qro.</t>
  </si>
  <si>
    <t>Prim. Urb. "Ezequiel Montes Ledezma" Querétaro, Qro.</t>
  </si>
  <si>
    <t>Sec. Gral. No. 1 "Constitución de 1917" Querétaro, Qro.</t>
  </si>
  <si>
    <t>Preescolar "Dr. Manuel Herrera Sobreyra" Querétaro, Qro.</t>
  </si>
  <si>
    <t>Fundación "Vida Plena" I.A.P. Corregidora, Qro.</t>
  </si>
  <si>
    <t>Sec. Gral. No. 32 "José Clemente Orozco" Corregidora, Qro.</t>
  </si>
  <si>
    <t>Bienestar Delegación Querétaro, Qro.</t>
  </si>
  <si>
    <t>Delegación Municipal Santa Bárbara, Corregidora, Qro.</t>
  </si>
  <si>
    <t>Prim. Urb. Ignacio Zaragoza" Querétaro, Qro.</t>
  </si>
  <si>
    <t>Prim. "José María Piña" Querétaro, Qro.</t>
  </si>
  <si>
    <t>USEBEQ Querétaro.</t>
  </si>
  <si>
    <t>Prim. Sor Juana Inés de la Cruz Corregidora, Qro.</t>
  </si>
  <si>
    <t>Prim. Urb. "José Vasconcelos" Querétaro, Qro.</t>
  </si>
  <si>
    <t>Deportiva Municipal Holland, Querétaro, Qro.</t>
  </si>
  <si>
    <t>Servicios de Salud del Edo. de Querétaro, Qro.</t>
  </si>
  <si>
    <t>UTEQ, Querétaro, Qro.</t>
  </si>
  <si>
    <t>Casa Infantil AMMI I.A.P.</t>
  </si>
  <si>
    <t>Telesecundaria "Ignacio Zaragoza" El Marqués, Qro.</t>
  </si>
  <si>
    <t>Prim. Rural "Epigmenio González" Corregidora, Qro.</t>
  </si>
  <si>
    <t>PROFECO Querétaro, Qro.</t>
  </si>
  <si>
    <t>Prim. Urb. "18 de Agosto" Corregidora, Qro,</t>
  </si>
  <si>
    <t>Secretaria de Desarrollo Social del Edo. de Querétaro Qro.</t>
  </si>
  <si>
    <t>Prim. Urb. "Reforma Agraria" Querétaro, Qro.</t>
  </si>
  <si>
    <t>Telesecundaria "Luis Vega y Monroy" Querétaro, Qro.</t>
  </si>
  <si>
    <t>Actividades de Operación</t>
  </si>
  <si>
    <t>diciembre</t>
  </si>
  <si>
    <t>16</t>
  </si>
  <si>
    <t>2026</t>
  </si>
  <si>
    <t>OTROS</t>
  </si>
  <si>
    <t>C.D.C. Reforma-Lomas. Querétaro, Qro.</t>
  </si>
  <si>
    <t>CIPRES III, Querétaro, Qro.</t>
  </si>
  <si>
    <t>SEDESOQ, Querétaro, Qro.</t>
  </si>
  <si>
    <t>12</t>
  </si>
  <si>
    <t>Actividad 3</t>
  </si>
  <si>
    <t>Atención al usuario</t>
  </si>
  <si>
    <t>07</t>
  </si>
  <si>
    <t>02</t>
  </si>
  <si>
    <t>03</t>
  </si>
  <si>
    <t>04</t>
  </si>
  <si>
    <t>05</t>
  </si>
  <si>
    <t>08</t>
  </si>
  <si>
    <t>11</t>
  </si>
  <si>
    <t>13</t>
  </si>
  <si>
    <t>14</t>
  </si>
  <si>
    <t>15</t>
  </si>
  <si>
    <t>17</t>
  </si>
  <si>
    <t>19</t>
  </si>
  <si>
    <t>20</t>
  </si>
  <si>
    <t>23</t>
  </si>
  <si>
    <t>26</t>
  </si>
  <si>
    <t>27</t>
  </si>
  <si>
    <t>29</t>
  </si>
  <si>
    <t>Programa Transversal del área de Logística del Plantel.</t>
  </si>
  <si>
    <t>INES</t>
  </si>
  <si>
    <t>Sec. Tec. No. 9 "Organización de las Naciones Unidas" Querétaro, Qro.</t>
  </si>
  <si>
    <t>febrero</t>
  </si>
  <si>
    <t>Prim. Vesp. "Plan de Ayala" Corregidora, Qro.</t>
  </si>
  <si>
    <t>Prim. Urb. Vesp. "Cuitláhuac" Querétaro, Qro.</t>
  </si>
  <si>
    <t>2</t>
  </si>
  <si>
    <t>GIOVANNA</t>
  </si>
  <si>
    <t>MARIANA</t>
  </si>
  <si>
    <t>julio</t>
  </si>
  <si>
    <t>JUL-26</t>
  </si>
  <si>
    <t>BLOQUE 1</t>
  </si>
  <si>
    <t>FELIPE</t>
  </si>
  <si>
    <t>CARMEN</t>
  </si>
  <si>
    <t>CYNTHIA</t>
  </si>
  <si>
    <t>1</t>
  </si>
  <si>
    <t>Municipio de Querétaro, Qro.</t>
  </si>
  <si>
    <t>INAH Querétaro, Qro.</t>
  </si>
  <si>
    <t>Talleres de recreativos de Vinculación del Plantel.</t>
  </si>
  <si>
    <t>Corazones Mágicos I.A.P.</t>
  </si>
  <si>
    <t>Escuela de Bachilleres UAQ Plantel Norte, Querétaro, Qro.</t>
  </si>
  <si>
    <t>Preescolar "Francisco Alcocer Pozo" Querétaro, Qro.</t>
  </si>
  <si>
    <t>octubre</t>
  </si>
  <si>
    <t>Sec. Anexa a la Normal del Estado de Querétaro, Qro.</t>
  </si>
  <si>
    <t>Hospital General de Querétaro, Qro.</t>
  </si>
  <si>
    <t>SALUD</t>
  </si>
  <si>
    <t>Centro de Salud Lomas de Casa Blanca, Querétaro, Qro.</t>
  </si>
  <si>
    <t>Mariana</t>
  </si>
  <si>
    <t>Prim. Urb. "Justo Sierra" Querétaro, Qro.</t>
  </si>
  <si>
    <t>Municipio de El Marqués, Qro.</t>
  </si>
  <si>
    <t>Prim. Mat. "Héroes de Chapultepec" Querétaro, Qro.</t>
  </si>
  <si>
    <t>noviembre</t>
  </si>
  <si>
    <t>Prim. Urb. "Bernardo Quintana Arrioja" Querétaro, Qro.</t>
  </si>
  <si>
    <t>Municipio de Corregidora, Qro.</t>
  </si>
  <si>
    <t>Secretaria de Seguridad Pública del Municipio de Querétaro Qro.</t>
  </si>
  <si>
    <t>Sec. Tec. No. 1 "Benito Juárez" Querétaro, Qro.</t>
  </si>
  <si>
    <t>ARIANNE</t>
  </si>
  <si>
    <t>Programa de Asesoría Académica y Nivelación Pedagógica Integral.</t>
  </si>
  <si>
    <t>Programa de Sustentabilidad y Desarrollo de Infraestructura Verde.</t>
  </si>
  <si>
    <t>Prim. Vesp. "Antonio Caso" Querétaro, Qro.</t>
  </si>
  <si>
    <t>COBAQ No. 8 Querétaro, Qro.</t>
  </si>
  <si>
    <t>ELIZABETH</t>
  </si>
  <si>
    <t>marzo</t>
  </si>
  <si>
    <t>MENDOZA</t>
  </si>
  <si>
    <t>3</t>
  </si>
  <si>
    <t>06</t>
  </si>
  <si>
    <t>Prim. Vesp. "Frida Kahlo" Corregidora, Qro.</t>
  </si>
  <si>
    <t>Telesecundaria "José Ma. Morelos y Pavón" Querétaro, Qro.</t>
  </si>
  <si>
    <t>MERIDA MONROY FRIDA SOFIA</t>
  </si>
  <si>
    <t>HERNANDEZ BASALDUA FERNANDO</t>
  </si>
  <si>
    <t>COLCHADO SANCHEZ LUCERO</t>
  </si>
  <si>
    <t>PEREZ OLVERA NAIRI</t>
  </si>
  <si>
    <t>NIEVES GARCIA DANNA MARISOL</t>
  </si>
  <si>
    <t>LIZAMA MONROY JOSÉ BRYAN</t>
  </si>
  <si>
    <t>MARTINEZ DE JESUS SAID JURIEM</t>
  </si>
  <si>
    <t>ROBLEDO ACOSTA LEONARDO SALVADOR</t>
  </si>
  <si>
    <t>ARTEAGA BARCENAS KEVIN ABISAI</t>
  </si>
  <si>
    <t>097</t>
  </si>
  <si>
    <t>GONZALEZ JIMENEZ QUETZAL EMILIANO</t>
  </si>
  <si>
    <t>LEAL SOTO IAN ALEXANDER</t>
  </si>
  <si>
    <t>125</t>
  </si>
  <si>
    <t>148</t>
  </si>
  <si>
    <t>IVAN</t>
  </si>
  <si>
    <t>28</t>
  </si>
  <si>
    <t>Prim. Rural "Escuadrón 201" Los Ángeles. Corregidora, Qro.</t>
  </si>
  <si>
    <t>Programa Transversal del área Docente del Plantel.</t>
  </si>
  <si>
    <t xml:space="preserve"> </t>
  </si>
  <si>
    <t>22</t>
  </si>
  <si>
    <t>7</t>
  </si>
  <si>
    <t>9</t>
  </si>
  <si>
    <t>FECAPEQ, Querétaro, Qro.</t>
  </si>
  <si>
    <t>25</t>
  </si>
  <si>
    <t>CCPOTEQ, Querétaro, Qro.</t>
  </si>
  <si>
    <t>abril</t>
  </si>
  <si>
    <t>24</t>
  </si>
  <si>
    <t>ABRIL-26</t>
  </si>
  <si>
    <t>PAOLA MENDOZA</t>
  </si>
  <si>
    <t>ENRIQUE</t>
  </si>
  <si>
    <t>09</t>
  </si>
  <si>
    <t>5</t>
  </si>
  <si>
    <t>6</t>
  </si>
  <si>
    <t>4</t>
  </si>
  <si>
    <t>mayo</t>
  </si>
  <si>
    <t>Mayo-26</t>
  </si>
  <si>
    <t>CAPUFE Unidad Regional Querétaro, Qro.</t>
  </si>
  <si>
    <t>UAQ, Querétaro, Qro.</t>
  </si>
  <si>
    <t>junio</t>
  </si>
  <si>
    <t>F</t>
  </si>
  <si>
    <t>M</t>
  </si>
  <si>
    <t>JEFA DE GRUPO</t>
  </si>
  <si>
    <t>Actividades de apoyo en general</t>
  </si>
  <si>
    <t>Asistencia administrativa</t>
  </si>
  <si>
    <t>Biblioteca Municipal "Juan de Dios Bátiz Paredes" Querétaro, Qro.</t>
  </si>
  <si>
    <t>Asistencia administrativa Centro Educativo y Cultural del Estado "Manuel Gómez Morín" Querétaro, Qro.</t>
  </si>
  <si>
    <t>Prim. Vesp. "Quetzalcóatl" Corregidora, Qro.</t>
  </si>
  <si>
    <t>Municipio de Corregida, Qro.</t>
  </si>
  <si>
    <t>Programa de Líder de Grupo.</t>
  </si>
  <si>
    <t>Prim. Mat. "Víctor Hernández Cobarrubias" Querétaro, Qro.</t>
  </si>
  <si>
    <t>Preescolar "Inés Villareal Ramos" Querétaro, Qro.</t>
  </si>
  <si>
    <t>Proyecto Cívico de Escoltas, Querétaro, Qro.</t>
  </si>
  <si>
    <t>Proyecto Cívico "Banda de Guerra" del Plantel.</t>
  </si>
  <si>
    <t>Asesorías de la asignatura en el Plantel.</t>
  </si>
  <si>
    <t>Proyecto Transversal de Recolección de Tapitas del Plantel.</t>
  </si>
  <si>
    <t>Biblioteca "Adela del Rio Gallegos" Corregidora, Qro.</t>
  </si>
  <si>
    <t>C.D.C. José María Truchuela, Querétaro, Qro.</t>
  </si>
  <si>
    <t>Centro Educativo y Cultural del Estado "Manuel Gómez Morín" Querétaro, Qro.</t>
  </si>
  <si>
    <t>Prim. Urb. "Niños Héroes" Corregidora, Qro.</t>
  </si>
  <si>
    <t>Prim. Urb. Fed. Vesp. "Niños Héroes" Querétaro, Qro.</t>
  </si>
  <si>
    <t>Prim. Vesp. "Prof.. Jaime Torres Bodet" Querétaro, Qro.</t>
  </si>
  <si>
    <t>Procuraduría Fiscal del Edo. De Querétaro, Qro.</t>
  </si>
  <si>
    <t>Sec. Gral. Quetzalcóatl Corregidora, Qro.</t>
  </si>
  <si>
    <t>Unidad Técnico pedagógica USEBEQ</t>
  </si>
  <si>
    <t>Programa de Fomento a la Literatura y Comprensión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</si>
</sst>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u/>
      <sz val="10"/>
      <color theme="1"/>
      <name val="Calibri"/>
      <family val="2"/>
    </font>
    <font>
      <b/>
      <sz val="11"/>
      <name val="Calibri"/>
      <family val="2"/>
    </font>
    <font>
      <u/>
      <sz val="10"/>
      <color indexed="12"/>
      <name val="MS Sans Serif"/>
      <family val="2"/>
    </font>
    <font>
      <b/>
      <sz val="10"/>
      <name val="Calibri"/>
      <family val="2"/>
    </font>
    <font>
      <sz val="11"/>
      <color rgb="FF0061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8D8D8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7" applyNumberFormat="0" applyFill="0" applyBorder="0" applyAlignment="0" applyProtection="0"/>
    <xf numFmtId="0" fontId="17" fillId="8" borderId="0" applyNumberFormat="0" applyBorder="0" applyAlignment="0" applyProtection="0"/>
  </cellStyleXfs>
  <cellXfs count="139">
    <xf numFmtId="0" fontId="0" fillId="0" borderId="0" xfId="0" applyFont="1" applyAlignment="1"/>
    <xf numFmtId="0" fontId="8" fillId="0" borderId="2" xfId="0" applyFont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12" fontId="8" fillId="0" borderId="2" xfId="0" applyNumberFormat="1" applyFont="1" applyBorder="1" applyAlignment="1">
      <alignment horizontal="center" vertical="center"/>
    </xf>
    <xf numFmtId="12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0" fillId="0" borderId="7" xfId="0" applyFont="1" applyBorder="1" applyAlignment="1"/>
    <xf numFmtId="0" fontId="0" fillId="0" borderId="0" xfId="0" applyFont="1" applyAlignment="1"/>
    <xf numFmtId="0" fontId="7" fillId="2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12" fontId="11" fillId="0" borderId="9" xfId="0" applyNumberFormat="1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15" fontId="11" fillId="0" borderId="9" xfId="0" applyNumberFormat="1" applyFont="1" applyBorder="1" applyAlignment="1">
      <alignment horizontal="center" vertical="center"/>
    </xf>
    <xf numFmtId="0" fontId="12" fillId="5" borderId="9" xfId="0" applyFont="1" applyFill="1" applyBorder="1" applyAlignment="1">
      <alignment horizontal="left" vertical="top"/>
    </xf>
    <xf numFmtId="0" fontId="12" fillId="4" borderId="9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12" fontId="10" fillId="2" borderId="9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/>
    </xf>
    <xf numFmtId="0" fontId="11" fillId="0" borderId="7" xfId="0" applyFont="1" applyBorder="1" applyAlignment="1"/>
    <xf numFmtId="1" fontId="13" fillId="4" borderId="14" xfId="0" applyNumberFormat="1" applyFont="1" applyFill="1" applyBorder="1" applyAlignment="1">
      <alignment horizontal="center" vertical="center" wrapText="1"/>
    </xf>
    <xf numFmtId="15" fontId="11" fillId="0" borderId="14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7" xfId="0" applyFont="1" applyBorder="1" applyAlignment="1"/>
    <xf numFmtId="0" fontId="0" fillId="0" borderId="9" xfId="0" applyFont="1" applyBorder="1" applyAlignment="1"/>
    <xf numFmtId="1" fontId="0" fillId="0" borderId="9" xfId="0" applyNumberFormat="1" applyFont="1" applyFill="1" applyBorder="1"/>
    <xf numFmtId="1" fontId="14" fillId="0" borderId="9" xfId="0" applyNumberFormat="1" applyFont="1" applyFill="1" applyBorder="1"/>
    <xf numFmtId="1" fontId="0" fillId="0" borderId="9" xfId="0" applyNumberFormat="1" applyFont="1" applyBorder="1" applyAlignment="1"/>
    <xf numFmtId="1" fontId="15" fillId="0" borderId="9" xfId="1" applyNumberFormat="1" applyFill="1" applyBorder="1"/>
    <xf numFmtId="0" fontId="5" fillId="6" borderId="9" xfId="0" applyFont="1" applyFill="1" applyBorder="1" applyAlignment="1"/>
    <xf numFmtId="0" fontId="10" fillId="7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1" fontId="0" fillId="0" borderId="9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5" fillId="0" borderId="9" xfId="0" applyNumberFormat="1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8" fillId="5" borderId="9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wrapText="1"/>
    </xf>
    <xf numFmtId="49" fontId="13" fillId="4" borderId="9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0" fillId="6" borderId="9" xfId="0" applyFont="1" applyFill="1" applyBorder="1" applyAlignment="1">
      <alignment vertical="center" wrapText="1"/>
    </xf>
    <xf numFmtId="49" fontId="13" fillId="4" borderId="14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 wrapText="1"/>
    </xf>
    <xf numFmtId="0" fontId="13" fillId="4" borderId="14" xfId="0" applyNumberFormat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/>
    </xf>
    <xf numFmtId="0" fontId="17" fillId="8" borderId="9" xfId="2" applyBorder="1" applyAlignment="1">
      <alignment horizontal="center" vertical="center" wrapText="1"/>
    </xf>
    <xf numFmtId="0" fontId="4" fillId="6" borderId="9" xfId="0" applyFont="1" applyFill="1" applyBorder="1" applyAlignment="1"/>
    <xf numFmtId="0" fontId="4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2" fontId="0" fillId="0" borderId="9" xfId="0" applyNumberFormat="1" applyFont="1" applyBorder="1" applyAlignment="1"/>
    <xf numFmtId="1" fontId="0" fillId="0" borderId="13" xfId="0" applyNumberFormat="1" applyFont="1" applyFill="1" applyBorder="1" applyAlignment="1"/>
    <xf numFmtId="49" fontId="10" fillId="6" borderId="9" xfId="0" applyNumberFormat="1" applyFont="1" applyFill="1" applyBorder="1" applyAlignment="1">
      <alignment vertical="center" wrapText="1"/>
    </xf>
    <xf numFmtId="49" fontId="11" fillId="0" borderId="9" xfId="0" applyNumberFormat="1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wrapText="1"/>
    </xf>
    <xf numFmtId="49" fontId="6" fillId="0" borderId="7" xfId="0" applyNumberFormat="1" applyFont="1" applyBorder="1" applyAlignment="1">
      <alignment wrapText="1"/>
    </xf>
    <xf numFmtId="49" fontId="0" fillId="0" borderId="0" xfId="0" applyNumberFormat="1" applyFont="1" applyAlignment="1"/>
    <xf numFmtId="0" fontId="11" fillId="0" borderId="7" xfId="0" applyFont="1" applyBorder="1" applyAlignment="1"/>
    <xf numFmtId="12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15" fontId="11" fillId="0" borderId="10" xfId="0" applyNumberFormat="1" applyFont="1" applyBorder="1" applyAlignment="1">
      <alignment horizontal="center" vertical="center"/>
    </xf>
    <xf numFmtId="15" fontId="11" fillId="0" borderId="15" xfId="0" applyNumberFormat="1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8" fillId="0" borderId="18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wrapText="1"/>
    </xf>
    <xf numFmtId="0" fontId="11" fillId="0" borderId="9" xfId="0" applyFont="1" applyBorder="1"/>
    <xf numFmtId="1" fontId="13" fillId="0" borderId="9" xfId="0" applyNumberFormat="1" applyFont="1" applyBorder="1" applyAlignment="1">
      <alignment horizontal="center" wrapText="1"/>
    </xf>
    <xf numFmtId="1" fontId="18" fillId="0" borderId="9" xfId="0" applyNumberFormat="1" applyFont="1" applyFill="1" applyBorder="1" applyAlignment="1">
      <alignment horizontal="center"/>
    </xf>
    <xf numFmtId="1" fontId="18" fillId="6" borderId="9" xfId="0" applyNumberFormat="1" applyFont="1" applyFill="1" applyBorder="1" applyAlignment="1">
      <alignment horizontal="center"/>
    </xf>
    <xf numFmtId="1" fontId="0" fillId="9" borderId="9" xfId="0" applyNumberFormat="1" applyFont="1" applyFill="1" applyBorder="1"/>
    <xf numFmtId="1" fontId="0" fillId="6" borderId="9" xfId="0" applyNumberFormat="1" applyFont="1" applyFill="1" applyBorder="1"/>
    <xf numFmtId="0" fontId="6" fillId="5" borderId="19" xfId="0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3" fillId="4" borderId="9" xfId="0" applyNumberFormat="1" applyFont="1" applyFill="1" applyBorder="1" applyAlignment="1">
      <alignment horizontal="center" vertical="center" wrapText="1"/>
    </xf>
    <xf numFmtId="1" fontId="18" fillId="9" borderId="9" xfId="0" applyNumberFormat="1" applyFont="1" applyFill="1" applyBorder="1" applyAlignment="1">
      <alignment horizontal="center"/>
    </xf>
    <xf numFmtId="0" fontId="0" fillId="0" borderId="21" xfId="0" applyFont="1" applyBorder="1" applyAlignment="1"/>
    <xf numFmtId="0" fontId="11" fillId="0" borderId="21" xfId="0" applyFont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/>
    </xf>
    <xf numFmtId="0" fontId="3" fillId="0" borderId="0" xfId="0" applyFont="1" applyAlignment="1"/>
    <xf numFmtId="0" fontId="21" fillId="0" borderId="21" xfId="0" applyFont="1" applyBorder="1" applyAlignment="1">
      <alignment horizontal="center"/>
    </xf>
    <xf numFmtId="0" fontId="11" fillId="0" borderId="21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8" fillId="10" borderId="9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  <xf numFmtId="0" fontId="6" fillId="10" borderId="9" xfId="0" applyFont="1" applyFill="1" applyBorder="1" applyAlignment="1">
      <alignment wrapText="1"/>
    </xf>
    <xf numFmtId="12" fontId="8" fillId="10" borderId="3" xfId="0" applyNumberFormat="1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 wrapText="1"/>
    </xf>
    <xf numFmtId="0" fontId="2" fillId="0" borderId="21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49" fontId="6" fillId="0" borderId="9" xfId="0" applyNumberFormat="1" applyFont="1" applyBorder="1" applyAlignment="1">
      <alignment horizontal="center" wrapText="1"/>
    </xf>
    <xf numFmtId="0" fontId="22" fillId="0" borderId="9" xfId="0" applyFont="1" applyBorder="1" applyAlignment="1">
      <alignment horizontal="center" wrapText="1"/>
    </xf>
    <xf numFmtId="0" fontId="22" fillId="0" borderId="9" xfId="0" applyFont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 wrapText="1"/>
    </xf>
    <xf numFmtId="12" fontId="8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Fill="1" applyBorder="1"/>
    <xf numFmtId="0" fontId="11" fillId="0" borderId="10" xfId="0" applyFont="1" applyBorder="1" applyAlignment="1">
      <alignment horizontal="center" vertical="center" wrapText="1"/>
    </xf>
    <xf numFmtId="49" fontId="13" fillId="0" borderId="16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 wrapText="1"/>
    </xf>
    <xf numFmtId="12" fontId="10" fillId="2" borderId="19" xfId="0" applyNumberFormat="1" applyFont="1" applyFill="1" applyBorder="1" applyAlignment="1">
      <alignment horizontal="center" vertical="center" wrapText="1"/>
    </xf>
    <xf numFmtId="1" fontId="23" fillId="0" borderId="9" xfId="0" applyNumberFormat="1" applyFont="1" applyFill="1" applyBorder="1" applyAlignment="1">
      <alignment horizontal="center"/>
    </xf>
    <xf numFmtId="49" fontId="13" fillId="4" borderId="22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wrapText="1"/>
    </xf>
    <xf numFmtId="1" fontId="24" fillId="0" borderId="9" xfId="0" applyNumberFormat="1" applyFont="1" applyBorder="1" applyAlignment="1">
      <alignment horizontal="center" vertical="center" wrapText="1"/>
    </xf>
  </cellXfs>
  <cellStyles count="3">
    <cellStyle name="Bueno" xfId="2" builtinId="26"/>
    <cellStyle name="Hipervínculo" xfId="1" builtinId="8"/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55"/>
  <sheetViews>
    <sheetView view="pageBreakPreview" zoomScale="70" zoomScaleNormal="70" zoomScaleSheetLayoutView="70" workbookViewId="0">
      <selection activeCell="A17" sqref="A17:A18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3" width="34.28515625" style="7" customWidth="1"/>
    <col min="24" max="24" width="52" style="7" bestFit="1" customWidth="1"/>
    <col min="25" max="25" width="11" style="7" bestFit="1" customWidth="1"/>
    <col min="26" max="26" width="15.28515625" style="7" bestFit="1" customWidth="1"/>
    <col min="27" max="27" width="6" style="7" bestFit="1" customWidth="1"/>
    <col min="28" max="28" width="7.28515625" style="7" customWidth="1"/>
    <col min="29" max="29" width="8.140625" style="7" customWidth="1"/>
    <col min="30" max="30" width="7.5703125" style="7" customWidth="1"/>
    <col min="31" max="31" width="8.140625" style="7" customWidth="1"/>
    <col min="32" max="33" width="7" style="7" customWidth="1"/>
    <col min="34" max="34" width="6.28515625" style="7" customWidth="1"/>
    <col min="35" max="35" width="10" style="85" customWidth="1"/>
    <col min="36" max="47" width="11.42578125" style="7" customWidth="1"/>
    <col min="48" max="16384" width="14.42578125" style="7"/>
  </cols>
  <sheetData>
    <row r="1" spans="1:47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92" t="s">
        <v>204</v>
      </c>
      <c r="X1" s="64" t="s">
        <v>5</v>
      </c>
      <c r="Y1" s="42" t="s">
        <v>137</v>
      </c>
      <c r="Z1" s="36" t="s">
        <v>156</v>
      </c>
      <c r="AA1" s="37" t="s">
        <v>169</v>
      </c>
      <c r="AB1" s="37" t="s">
        <v>130</v>
      </c>
      <c r="AC1" s="37" t="s">
        <v>131</v>
      </c>
      <c r="AD1" s="37" t="s">
        <v>132</v>
      </c>
      <c r="AE1" s="37" t="s">
        <v>133</v>
      </c>
      <c r="AF1" s="37" t="s">
        <v>134</v>
      </c>
      <c r="AG1" s="37" t="s">
        <v>135</v>
      </c>
      <c r="AH1" s="37" t="s">
        <v>136</v>
      </c>
      <c r="AI1" s="80" t="s">
        <v>139</v>
      </c>
      <c r="AJ1" s="62" t="s">
        <v>138</v>
      </c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spans="1:47" ht="15.75" thickBot="1" x14ac:dyDescent="0.3">
      <c r="A2" s="1">
        <v>1</v>
      </c>
      <c r="B2" s="3"/>
      <c r="C2" s="87"/>
      <c r="D2" s="20" t="s">
        <v>23</v>
      </c>
      <c r="E2" s="10"/>
      <c r="F2" s="22" t="s">
        <v>147</v>
      </c>
      <c r="G2" s="11" t="s">
        <v>9</v>
      </c>
      <c r="H2" s="21"/>
      <c r="I2" s="58"/>
      <c r="J2" s="58"/>
      <c r="K2" s="58"/>
      <c r="L2" s="58"/>
      <c r="M2" s="73" t="e">
        <f>DATE(L2,J2,I2)</f>
        <v>#NUM!</v>
      </c>
      <c r="N2" s="23" t="e">
        <f>DATEDIF(M2,O2,"m")</f>
        <v>#NUM!</v>
      </c>
      <c r="O2" s="73" t="e">
        <f>DATE(S2,Q2,P2)</f>
        <v>#NUM!</v>
      </c>
      <c r="P2" s="58"/>
      <c r="Q2" s="58"/>
      <c r="R2" s="58"/>
      <c r="S2" s="58"/>
      <c r="T2" s="12" t="s">
        <v>13</v>
      </c>
      <c r="U2" s="12" t="s">
        <v>14</v>
      </c>
      <c r="V2" s="90" t="s">
        <v>15</v>
      </c>
      <c r="W2" s="28" t="s">
        <v>201</v>
      </c>
      <c r="X2" s="28"/>
      <c r="Y2" s="43" t="s">
        <v>155</v>
      </c>
      <c r="Z2" s="61"/>
      <c r="AA2" s="28"/>
      <c r="AB2" s="28"/>
      <c r="AC2" s="28"/>
      <c r="AD2" s="28"/>
      <c r="AE2" s="66"/>
      <c r="AF2" s="28"/>
      <c r="AG2" s="28"/>
      <c r="AH2" s="28"/>
      <c r="AI2" s="20"/>
      <c r="AJ2" s="28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ht="15.75" thickBot="1" x14ac:dyDescent="0.3">
      <c r="A3" s="1">
        <v>2</v>
      </c>
      <c r="B3" s="3"/>
      <c r="C3" s="87"/>
      <c r="D3" s="20" t="s">
        <v>25</v>
      </c>
      <c r="E3" s="10"/>
      <c r="F3" s="22" t="s">
        <v>147</v>
      </c>
      <c r="G3" s="11" t="s">
        <v>9</v>
      </c>
      <c r="H3" s="21"/>
      <c r="I3" s="58"/>
      <c r="J3" s="70"/>
      <c r="K3" s="58"/>
      <c r="L3" s="58"/>
      <c r="M3" s="73" t="e">
        <f t="shared" ref="M3:M66" si="0">DATE(L3,J3,I3)</f>
        <v>#NUM!</v>
      </c>
      <c r="N3" s="23" t="e">
        <f>DATEDIF(M3,O3,"m")</f>
        <v>#NUM!</v>
      </c>
      <c r="O3" s="73" t="e">
        <f t="shared" ref="O3:O66" si="1">DATE(S3,Q3,P3)</f>
        <v>#NUM!</v>
      </c>
      <c r="P3" s="58"/>
      <c r="Q3" s="58"/>
      <c r="R3" s="58"/>
      <c r="S3" s="58"/>
      <c r="T3" s="12" t="s">
        <v>13</v>
      </c>
      <c r="U3" s="12" t="s">
        <v>14</v>
      </c>
      <c r="V3" s="90" t="s">
        <v>15</v>
      </c>
      <c r="W3" s="28" t="s">
        <v>168</v>
      </c>
      <c r="X3" s="28"/>
      <c r="Y3" s="43"/>
      <c r="Z3" s="28"/>
      <c r="AA3" s="28"/>
      <c r="AB3" s="28"/>
      <c r="AC3" s="28"/>
      <c r="AD3" s="28"/>
      <c r="AE3" s="66"/>
      <c r="AF3" s="28"/>
      <c r="AG3" s="28"/>
      <c r="AH3" s="28"/>
      <c r="AI3" s="20"/>
      <c r="AJ3" s="28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</row>
    <row r="4" spans="1:47" ht="15.75" thickBot="1" x14ac:dyDescent="0.3">
      <c r="A4" s="1">
        <v>3</v>
      </c>
      <c r="B4" s="3"/>
      <c r="C4" s="87"/>
      <c r="D4" s="20" t="s">
        <v>26</v>
      </c>
      <c r="E4" s="10"/>
      <c r="F4" s="22" t="s">
        <v>147</v>
      </c>
      <c r="G4" s="11" t="s">
        <v>9</v>
      </c>
      <c r="H4" s="21"/>
      <c r="I4" s="58"/>
      <c r="J4" s="70"/>
      <c r="K4" s="58"/>
      <c r="L4" s="58"/>
      <c r="M4" s="73" t="e">
        <f t="shared" si="0"/>
        <v>#NUM!</v>
      </c>
      <c r="N4" s="23" t="e">
        <f t="shared" ref="N4:N67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13</v>
      </c>
      <c r="U4" s="12" t="s">
        <v>14</v>
      </c>
      <c r="V4" s="90" t="s">
        <v>165</v>
      </c>
      <c r="W4" s="28" t="s">
        <v>170</v>
      </c>
      <c r="X4" s="28"/>
      <c r="Y4" s="43"/>
      <c r="Z4" s="28"/>
      <c r="AA4" s="28"/>
      <c r="AB4" s="28"/>
      <c r="AC4" s="28"/>
      <c r="AD4" s="28"/>
      <c r="AE4" s="66"/>
      <c r="AF4" s="28"/>
      <c r="AG4" s="28"/>
      <c r="AH4" s="28"/>
      <c r="AI4" s="20"/>
      <c r="AJ4" s="28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</row>
    <row r="5" spans="1:47" ht="15.75" thickBot="1" x14ac:dyDescent="0.3">
      <c r="A5" s="1">
        <v>4</v>
      </c>
      <c r="B5" s="3"/>
      <c r="C5" s="87"/>
      <c r="D5" s="20" t="s">
        <v>27</v>
      </c>
      <c r="E5" s="10"/>
      <c r="F5" s="22" t="s">
        <v>147</v>
      </c>
      <c r="G5" s="11" t="s">
        <v>9</v>
      </c>
      <c r="H5" s="21"/>
      <c r="I5" s="58"/>
      <c r="J5" s="58"/>
      <c r="K5" s="58"/>
      <c r="L5" s="58"/>
      <c r="M5" s="73" t="e">
        <f t="shared" si="0"/>
        <v>#NUM!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13</v>
      </c>
      <c r="U5" s="12" t="s">
        <v>14</v>
      </c>
      <c r="V5" s="90" t="s">
        <v>15</v>
      </c>
      <c r="W5" s="28" t="s">
        <v>202</v>
      </c>
      <c r="X5" s="28"/>
      <c r="Y5" s="43"/>
      <c r="Z5" s="28"/>
      <c r="AA5" s="28"/>
      <c r="AB5" s="28"/>
      <c r="AC5" s="28"/>
      <c r="AD5" s="28"/>
      <c r="AE5" s="66"/>
      <c r="AF5" s="28"/>
      <c r="AG5" s="28"/>
      <c r="AH5" s="28"/>
      <c r="AI5" s="20"/>
      <c r="AJ5" s="28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</row>
    <row r="6" spans="1:47" ht="15.75" thickBot="1" x14ac:dyDescent="0.3">
      <c r="A6" s="1">
        <v>5</v>
      </c>
      <c r="B6" s="3"/>
      <c r="C6" s="87"/>
      <c r="D6" s="20" t="s">
        <v>24</v>
      </c>
      <c r="E6" s="10"/>
      <c r="F6" s="22" t="s">
        <v>147</v>
      </c>
      <c r="G6" s="11" t="s">
        <v>9</v>
      </c>
      <c r="H6" s="21"/>
      <c r="I6" s="58"/>
      <c r="J6" s="70"/>
      <c r="K6" s="58"/>
      <c r="L6" s="58"/>
      <c r="M6" s="73" t="e">
        <f t="shared" si="0"/>
        <v>#NUM!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13</v>
      </c>
      <c r="U6" s="12" t="s">
        <v>14</v>
      </c>
      <c r="V6" s="90" t="s">
        <v>15</v>
      </c>
      <c r="W6" s="28" t="s">
        <v>171</v>
      </c>
      <c r="X6" s="28"/>
      <c r="Y6" s="43"/>
      <c r="Z6" s="28"/>
      <c r="AA6" s="28"/>
      <c r="AB6" s="28"/>
      <c r="AC6" s="28"/>
      <c r="AD6" s="28"/>
      <c r="AE6" s="66"/>
      <c r="AF6" s="28"/>
      <c r="AG6" s="28"/>
      <c r="AH6" s="28"/>
      <c r="AI6" s="20"/>
      <c r="AJ6" s="28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15.75" thickBot="1" x14ac:dyDescent="0.3">
      <c r="A7" s="1">
        <v>6</v>
      </c>
      <c r="B7" s="3"/>
      <c r="C7" s="87"/>
      <c r="D7" s="20" t="s">
        <v>28</v>
      </c>
      <c r="E7" s="10"/>
      <c r="F7" s="22" t="s">
        <v>147</v>
      </c>
      <c r="G7" s="11" t="s">
        <v>9</v>
      </c>
      <c r="H7" s="21"/>
      <c r="I7" s="58"/>
      <c r="J7" s="70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13</v>
      </c>
      <c r="U7" s="12" t="s">
        <v>14</v>
      </c>
      <c r="V7" s="90" t="s">
        <v>165</v>
      </c>
      <c r="W7" s="28" t="s">
        <v>170</v>
      </c>
      <c r="X7" s="28"/>
      <c r="Y7" s="43"/>
      <c r="Z7" s="28"/>
      <c r="AA7" s="28"/>
      <c r="AB7" s="28"/>
      <c r="AC7" s="28"/>
      <c r="AD7" s="28"/>
      <c r="AE7" s="66"/>
      <c r="AF7" s="28"/>
      <c r="AG7" s="28"/>
      <c r="AH7" s="28"/>
      <c r="AI7" s="20"/>
      <c r="AJ7" s="28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15.75" customHeight="1" thickBot="1" x14ac:dyDescent="0.3">
      <c r="A8" s="1">
        <v>7</v>
      </c>
      <c r="B8" s="3"/>
      <c r="C8" s="87"/>
      <c r="D8" s="20" t="s">
        <v>29</v>
      </c>
      <c r="E8" s="10"/>
      <c r="F8" s="22" t="s">
        <v>147</v>
      </c>
      <c r="G8" s="11" t="s">
        <v>9</v>
      </c>
      <c r="H8" s="21"/>
      <c r="I8" s="58"/>
      <c r="J8" s="58"/>
      <c r="K8" s="58"/>
      <c r="L8" s="58"/>
      <c r="M8" s="73" t="e">
        <f t="shared" si="0"/>
        <v>#NUM!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13</v>
      </c>
      <c r="U8" s="12" t="s">
        <v>14</v>
      </c>
      <c r="V8" s="90" t="s">
        <v>15</v>
      </c>
      <c r="W8" s="28" t="s">
        <v>172</v>
      </c>
      <c r="X8" s="28"/>
      <c r="Y8" s="43"/>
      <c r="Z8" s="28"/>
      <c r="AA8" s="28"/>
      <c r="AB8" s="28"/>
      <c r="AC8" s="28"/>
      <c r="AD8" s="28"/>
      <c r="AE8" s="66"/>
      <c r="AF8" s="28"/>
      <c r="AG8" s="28"/>
      <c r="AH8" s="28"/>
      <c r="AI8" s="20"/>
      <c r="AJ8" s="28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</row>
    <row r="9" spans="1:47" ht="15.75" customHeight="1" thickBot="1" x14ac:dyDescent="0.3">
      <c r="A9" s="1">
        <v>8</v>
      </c>
      <c r="B9" s="3"/>
      <c r="C9" s="87"/>
      <c r="D9" s="20" t="s">
        <v>30</v>
      </c>
      <c r="E9" s="10"/>
      <c r="F9" s="22" t="s">
        <v>147</v>
      </c>
      <c r="G9" s="11" t="s">
        <v>9</v>
      </c>
      <c r="H9" s="21"/>
      <c r="I9" s="58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13</v>
      </c>
      <c r="U9" s="12" t="s">
        <v>14</v>
      </c>
      <c r="V9" s="90" t="s">
        <v>15</v>
      </c>
      <c r="W9" s="28" t="s">
        <v>161</v>
      </c>
      <c r="X9" s="28"/>
      <c r="Y9" s="43"/>
      <c r="Z9" s="28"/>
      <c r="AA9" s="28"/>
      <c r="AB9" s="28"/>
      <c r="AC9" s="28"/>
      <c r="AD9" s="28"/>
      <c r="AE9" s="66"/>
      <c r="AF9" s="28"/>
      <c r="AG9" s="28"/>
      <c r="AH9" s="28"/>
      <c r="AI9" s="20"/>
      <c r="AJ9" s="28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47" ht="15.75" customHeight="1" thickBot="1" x14ac:dyDescent="0.3">
      <c r="A10" s="1">
        <v>9</v>
      </c>
      <c r="B10" s="3"/>
      <c r="C10" s="87"/>
      <c r="D10" s="20" t="s">
        <v>31</v>
      </c>
      <c r="E10" s="10"/>
      <c r="F10" s="22" t="s">
        <v>147</v>
      </c>
      <c r="G10" s="11" t="s">
        <v>9</v>
      </c>
      <c r="H10" s="21"/>
      <c r="I10" s="58"/>
      <c r="J10" s="70"/>
      <c r="K10" s="58"/>
      <c r="L10" s="58"/>
      <c r="M10" s="73" t="e">
        <f t="shared" si="0"/>
        <v>#NUM!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13</v>
      </c>
      <c r="U10" s="12" t="s">
        <v>14</v>
      </c>
      <c r="V10" s="90" t="s">
        <v>15</v>
      </c>
      <c r="W10" s="28" t="s">
        <v>173</v>
      </c>
      <c r="X10" s="28"/>
      <c r="Y10" s="43"/>
      <c r="Z10" s="28"/>
      <c r="AA10" s="28"/>
      <c r="AB10" s="28"/>
      <c r="AC10" s="28"/>
      <c r="AD10" s="28"/>
      <c r="AE10" s="66"/>
      <c r="AF10" s="28"/>
      <c r="AG10" s="28"/>
      <c r="AH10" s="28"/>
      <c r="AI10" s="20"/>
      <c r="AJ10" s="28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</row>
    <row r="11" spans="1:47" ht="15.75" customHeight="1" thickBot="1" x14ac:dyDescent="0.3">
      <c r="A11" s="1">
        <v>10</v>
      </c>
      <c r="B11" s="3"/>
      <c r="C11" s="87"/>
      <c r="D11" s="20" t="s">
        <v>32</v>
      </c>
      <c r="E11" s="10"/>
      <c r="F11" s="22" t="s">
        <v>147</v>
      </c>
      <c r="G11" s="11" t="s">
        <v>9</v>
      </c>
      <c r="H11" s="21"/>
      <c r="I11" s="58"/>
      <c r="J11" s="70"/>
      <c r="K11" s="58"/>
      <c r="L11" s="58"/>
      <c r="M11" s="73" t="e">
        <f t="shared" si="0"/>
        <v>#NUM!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13</v>
      </c>
      <c r="U11" s="12" t="s">
        <v>14</v>
      </c>
      <c r="V11" s="90" t="s">
        <v>15</v>
      </c>
      <c r="W11" s="28" t="s">
        <v>163</v>
      </c>
      <c r="X11" s="28"/>
      <c r="Y11" s="43"/>
      <c r="Z11" s="28"/>
      <c r="AA11" s="28"/>
      <c r="AB11" s="28"/>
      <c r="AC11" s="28"/>
      <c r="AD11" s="28"/>
      <c r="AE11" s="66"/>
      <c r="AF11" s="28"/>
      <c r="AG11" s="28"/>
      <c r="AH11" s="28"/>
      <c r="AI11" s="20"/>
      <c r="AJ11" s="28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</row>
    <row r="12" spans="1:47" ht="15.75" customHeight="1" thickBot="1" x14ac:dyDescent="0.3">
      <c r="A12" s="1">
        <v>11</v>
      </c>
      <c r="B12" s="3"/>
      <c r="C12" s="87"/>
      <c r="D12" s="20" t="s">
        <v>33</v>
      </c>
      <c r="E12" s="10"/>
      <c r="F12" s="22" t="s">
        <v>147</v>
      </c>
      <c r="G12" s="11" t="s">
        <v>9</v>
      </c>
      <c r="H12" s="21"/>
      <c r="I12" s="58"/>
      <c r="J12" s="70"/>
      <c r="K12" s="58"/>
      <c r="L12" s="58"/>
      <c r="M12" s="73" t="e">
        <f t="shared" si="0"/>
        <v>#NUM!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13</v>
      </c>
      <c r="U12" s="12" t="s">
        <v>14</v>
      </c>
      <c r="V12" s="90" t="s">
        <v>15</v>
      </c>
      <c r="W12" s="28" t="s">
        <v>174</v>
      </c>
      <c r="X12" s="28"/>
      <c r="Y12" s="43"/>
      <c r="Z12" s="28"/>
      <c r="AA12" s="28"/>
      <c r="AB12" s="28"/>
      <c r="AC12" s="28"/>
      <c r="AD12" s="28"/>
      <c r="AE12" s="66"/>
      <c r="AF12" s="28"/>
      <c r="AG12" s="28"/>
      <c r="AH12" s="28"/>
      <c r="AI12" s="20"/>
      <c r="AJ12" s="28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spans="1:47" ht="15.75" customHeight="1" thickBot="1" x14ac:dyDescent="0.3">
      <c r="A13" s="1">
        <v>12</v>
      </c>
      <c r="B13" s="3"/>
      <c r="C13" s="87"/>
      <c r="D13" s="20" t="s">
        <v>34</v>
      </c>
      <c r="E13" s="10"/>
      <c r="F13" s="22" t="s">
        <v>147</v>
      </c>
      <c r="G13" s="11" t="s">
        <v>9</v>
      </c>
      <c r="H13" s="21"/>
      <c r="I13" s="58"/>
      <c r="J13" s="58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13</v>
      </c>
      <c r="U13" s="12" t="s">
        <v>14</v>
      </c>
      <c r="V13" s="90" t="s">
        <v>15</v>
      </c>
      <c r="W13" s="28" t="s">
        <v>172</v>
      </c>
      <c r="X13" s="28"/>
      <c r="Y13" s="43"/>
      <c r="Z13" s="28"/>
      <c r="AA13" s="28"/>
      <c r="AB13" s="28"/>
      <c r="AC13" s="28"/>
      <c r="AD13" s="28"/>
      <c r="AE13" s="66"/>
      <c r="AF13" s="28"/>
      <c r="AG13" s="28"/>
      <c r="AH13" s="28"/>
      <c r="AI13" s="20"/>
      <c r="AJ13" s="28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</row>
    <row r="14" spans="1:47" ht="15.75" customHeight="1" thickBot="1" x14ac:dyDescent="0.3">
      <c r="A14" s="1">
        <v>13</v>
      </c>
      <c r="B14" s="3"/>
      <c r="C14" s="87"/>
      <c r="D14" s="20" t="s">
        <v>35</v>
      </c>
      <c r="E14" s="10"/>
      <c r="F14" s="22" t="s">
        <v>147</v>
      </c>
      <c r="G14" s="11" t="s">
        <v>9</v>
      </c>
      <c r="H14" s="21"/>
      <c r="I14" s="58"/>
      <c r="J14" s="58"/>
      <c r="K14" s="58"/>
      <c r="L14" s="58"/>
      <c r="M14" s="73" t="e">
        <f t="shared" si="0"/>
        <v>#NUM!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13</v>
      </c>
      <c r="U14" s="12" t="s">
        <v>14</v>
      </c>
      <c r="V14" s="90" t="s">
        <v>15</v>
      </c>
      <c r="W14" s="28" t="s">
        <v>172</v>
      </c>
      <c r="X14" s="28"/>
      <c r="Y14" s="43"/>
      <c r="Z14" s="28"/>
      <c r="AA14" s="28"/>
      <c r="AB14" s="28"/>
      <c r="AC14" s="28"/>
      <c r="AD14" s="28"/>
      <c r="AE14" s="66"/>
      <c r="AF14" s="28"/>
      <c r="AG14" s="28"/>
      <c r="AH14" s="28"/>
      <c r="AI14" s="20"/>
      <c r="AJ14" s="28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</row>
    <row r="15" spans="1:47" ht="15.75" customHeight="1" thickBot="1" x14ac:dyDescent="0.3">
      <c r="A15" s="1">
        <v>14</v>
      </c>
      <c r="B15" s="3"/>
      <c r="C15" s="87"/>
      <c r="D15" s="20" t="s">
        <v>36</v>
      </c>
      <c r="E15" s="10"/>
      <c r="F15" s="22" t="s">
        <v>147</v>
      </c>
      <c r="G15" s="11" t="s">
        <v>9</v>
      </c>
      <c r="H15" s="21"/>
      <c r="I15" s="58"/>
      <c r="J15" s="70"/>
      <c r="K15" s="58"/>
      <c r="L15" s="58"/>
      <c r="M15" s="73" t="e">
        <f t="shared" si="0"/>
        <v>#NUM!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13</v>
      </c>
      <c r="U15" s="12" t="s">
        <v>14</v>
      </c>
      <c r="V15" s="90" t="s">
        <v>15</v>
      </c>
      <c r="W15" s="28" t="s">
        <v>172</v>
      </c>
      <c r="X15" s="28"/>
      <c r="Y15" s="43"/>
      <c r="Z15" s="28"/>
      <c r="AA15" s="28"/>
      <c r="AB15" s="28"/>
      <c r="AC15" s="28"/>
      <c r="AD15" s="28"/>
      <c r="AE15" s="66"/>
      <c r="AF15" s="28"/>
      <c r="AG15" s="28"/>
      <c r="AH15" s="28"/>
      <c r="AI15" s="20"/>
      <c r="AJ15" s="28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spans="1:47" ht="15.75" customHeight="1" thickBot="1" x14ac:dyDescent="0.3">
      <c r="A16" s="1">
        <v>15</v>
      </c>
      <c r="B16" s="3"/>
      <c r="C16" s="87"/>
      <c r="D16" s="20" t="s">
        <v>37</v>
      </c>
      <c r="E16" s="10"/>
      <c r="F16" s="22" t="s">
        <v>147</v>
      </c>
      <c r="G16" s="11" t="s">
        <v>9</v>
      </c>
      <c r="H16" s="21"/>
      <c r="I16" s="58"/>
      <c r="J16" s="70"/>
      <c r="K16" s="58"/>
      <c r="L16" s="58"/>
      <c r="M16" s="73" t="e">
        <f t="shared" si="0"/>
        <v>#NUM!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13</v>
      </c>
      <c r="U16" s="12" t="s">
        <v>14</v>
      </c>
      <c r="V16" s="90" t="s">
        <v>15</v>
      </c>
      <c r="W16" s="28" t="s">
        <v>175</v>
      </c>
      <c r="X16" s="28"/>
      <c r="Y16" s="43"/>
      <c r="Z16" s="28"/>
      <c r="AA16" s="28"/>
      <c r="AB16" s="28"/>
      <c r="AC16" s="28"/>
      <c r="AD16" s="28"/>
      <c r="AE16" s="66"/>
      <c r="AF16" s="28"/>
      <c r="AG16" s="28"/>
      <c r="AH16" s="28"/>
      <c r="AI16" s="20"/>
      <c r="AJ16" s="28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</row>
    <row r="17" spans="1:47" ht="15.75" customHeight="1" thickBot="1" x14ac:dyDescent="0.3">
      <c r="A17" s="1">
        <v>16</v>
      </c>
      <c r="B17" s="3"/>
      <c r="C17" s="87"/>
      <c r="D17" s="20" t="s">
        <v>38</v>
      </c>
      <c r="E17" s="10"/>
      <c r="F17" s="22" t="s">
        <v>147</v>
      </c>
      <c r="G17" s="11" t="s">
        <v>9</v>
      </c>
      <c r="H17" s="21"/>
      <c r="I17" s="58"/>
      <c r="J17" s="58"/>
      <c r="K17" s="58"/>
      <c r="L17" s="58"/>
      <c r="M17" s="73" t="e">
        <f t="shared" si="0"/>
        <v>#NUM!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13</v>
      </c>
      <c r="U17" s="12" t="s">
        <v>14</v>
      </c>
      <c r="V17" s="90" t="s">
        <v>15</v>
      </c>
      <c r="W17" s="28" t="s">
        <v>194</v>
      </c>
      <c r="X17" s="28"/>
      <c r="Y17" s="43"/>
      <c r="Z17" s="28"/>
      <c r="AA17" s="28"/>
      <c r="AB17" s="28"/>
      <c r="AC17" s="28"/>
      <c r="AD17" s="28"/>
      <c r="AE17" s="66"/>
      <c r="AF17" s="28"/>
      <c r="AG17" s="28"/>
      <c r="AH17" s="28"/>
      <c r="AI17" s="20"/>
      <c r="AJ17" s="28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</row>
    <row r="18" spans="1:47" ht="15.75" customHeight="1" thickBot="1" x14ac:dyDescent="0.3">
      <c r="A18" s="1">
        <v>17</v>
      </c>
      <c r="B18" s="3"/>
      <c r="C18" s="87"/>
      <c r="D18" s="20" t="s">
        <v>39</v>
      </c>
      <c r="E18" s="10"/>
      <c r="F18" s="22" t="s">
        <v>147</v>
      </c>
      <c r="G18" s="11" t="s">
        <v>9</v>
      </c>
      <c r="H18" s="21"/>
      <c r="I18" s="58"/>
      <c r="J18" s="70"/>
      <c r="K18" s="58"/>
      <c r="L18" s="58"/>
      <c r="M18" s="73" t="e">
        <f t="shared" si="0"/>
        <v>#NUM!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13</v>
      </c>
      <c r="U18" s="12" t="s">
        <v>14</v>
      </c>
      <c r="V18" s="90" t="s">
        <v>15</v>
      </c>
      <c r="W18" s="28" t="s">
        <v>168</v>
      </c>
      <c r="X18" s="28"/>
      <c r="Y18" s="43"/>
      <c r="Z18" s="28"/>
      <c r="AA18" s="28"/>
      <c r="AB18" s="28"/>
      <c r="AC18" s="28"/>
      <c r="AD18" s="28"/>
      <c r="AE18" s="66"/>
      <c r="AF18" s="28"/>
      <c r="AG18" s="28"/>
      <c r="AH18" s="28"/>
      <c r="AI18" s="20"/>
      <c r="AJ18" s="28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ht="15.75" customHeight="1" thickBot="1" x14ac:dyDescent="0.3">
      <c r="A19" s="1">
        <v>18</v>
      </c>
      <c r="B19" s="3"/>
      <c r="C19" s="87"/>
      <c r="D19" s="20" t="s">
        <v>40</v>
      </c>
      <c r="E19" s="10"/>
      <c r="F19" s="22" t="s">
        <v>147</v>
      </c>
      <c r="G19" s="11" t="s">
        <v>9</v>
      </c>
      <c r="H19" s="21"/>
      <c r="I19" s="58"/>
      <c r="J19" s="70"/>
      <c r="K19" s="58"/>
      <c r="L19" s="58"/>
      <c r="M19" s="73" t="e">
        <f t="shared" si="0"/>
        <v>#NUM!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13</v>
      </c>
      <c r="U19" s="12" t="s">
        <v>14</v>
      </c>
      <c r="V19" s="90" t="s">
        <v>15</v>
      </c>
      <c r="W19" s="28" t="s">
        <v>163</v>
      </c>
      <c r="X19" s="28"/>
      <c r="Y19" s="43"/>
      <c r="Z19" s="28"/>
      <c r="AA19" s="28"/>
      <c r="AB19" s="28"/>
      <c r="AC19" s="28"/>
      <c r="AD19" s="28"/>
      <c r="AE19" s="66"/>
      <c r="AF19" s="28"/>
      <c r="AG19" s="28"/>
      <c r="AH19" s="28"/>
      <c r="AI19" s="20"/>
      <c r="AJ19" s="28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</row>
    <row r="20" spans="1:47" ht="15.75" customHeight="1" thickBot="1" x14ac:dyDescent="0.3">
      <c r="A20" s="1">
        <v>19</v>
      </c>
      <c r="B20" s="3"/>
      <c r="C20" s="87"/>
      <c r="D20" s="20" t="s">
        <v>41</v>
      </c>
      <c r="E20" s="10"/>
      <c r="F20" s="22" t="s">
        <v>147</v>
      </c>
      <c r="G20" s="11" t="s">
        <v>9</v>
      </c>
      <c r="H20" s="21"/>
      <c r="I20" s="58"/>
      <c r="J20" s="58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13</v>
      </c>
      <c r="U20" s="12" t="s">
        <v>14</v>
      </c>
      <c r="V20" s="90" t="s">
        <v>15</v>
      </c>
      <c r="W20" s="28" t="s">
        <v>161</v>
      </c>
      <c r="X20" s="28"/>
      <c r="Y20" s="43"/>
      <c r="Z20" s="28"/>
      <c r="AA20" s="28"/>
      <c r="AB20" s="28"/>
      <c r="AC20" s="28"/>
      <c r="AD20" s="28"/>
      <c r="AE20" s="66"/>
      <c r="AF20" s="28"/>
      <c r="AG20" s="28"/>
      <c r="AH20" s="28"/>
      <c r="AI20" s="20"/>
      <c r="AJ20" s="28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</row>
    <row r="21" spans="1:47" ht="15.75" customHeight="1" thickBot="1" x14ac:dyDescent="0.3">
      <c r="A21" s="1">
        <v>20</v>
      </c>
      <c r="B21" s="3"/>
      <c r="C21" s="87"/>
      <c r="D21" s="20" t="s">
        <v>42</v>
      </c>
      <c r="E21" s="10"/>
      <c r="F21" s="22" t="s">
        <v>147</v>
      </c>
      <c r="G21" s="11" t="s">
        <v>9</v>
      </c>
      <c r="H21" s="21"/>
      <c r="I21" s="58"/>
      <c r="J21" s="70"/>
      <c r="K21" s="58"/>
      <c r="L21" s="58"/>
      <c r="M21" s="73" t="e">
        <f t="shared" si="0"/>
        <v>#NUM!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13</v>
      </c>
      <c r="U21" s="12" t="s">
        <v>14</v>
      </c>
      <c r="V21" s="90" t="s">
        <v>165</v>
      </c>
      <c r="W21" s="28" t="s">
        <v>22</v>
      </c>
      <c r="X21" s="28"/>
      <c r="Y21" s="43"/>
      <c r="Z21" s="28"/>
      <c r="AA21" s="28"/>
      <c r="AB21" s="28"/>
      <c r="AC21" s="28"/>
      <c r="AD21" s="28"/>
      <c r="AE21" s="66"/>
      <c r="AF21" s="28"/>
      <c r="AG21" s="28"/>
      <c r="AH21" s="28"/>
      <c r="AI21" s="20"/>
      <c r="AJ21" s="28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ht="15.75" customHeight="1" thickBot="1" x14ac:dyDescent="0.3">
      <c r="A22" s="1">
        <v>21</v>
      </c>
      <c r="B22" s="2"/>
      <c r="C22" s="87"/>
      <c r="D22" s="20" t="s">
        <v>43</v>
      </c>
      <c r="E22" s="10"/>
      <c r="F22" s="22" t="s">
        <v>147</v>
      </c>
      <c r="G22" s="11" t="s">
        <v>9</v>
      </c>
      <c r="H22" s="21"/>
      <c r="I22" s="58"/>
      <c r="J22" s="70"/>
      <c r="K22" s="58"/>
      <c r="L22" s="58"/>
      <c r="M22" s="73" t="e">
        <f t="shared" si="0"/>
        <v>#NUM!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13</v>
      </c>
      <c r="U22" s="12" t="s">
        <v>14</v>
      </c>
      <c r="V22" s="90" t="s">
        <v>15</v>
      </c>
      <c r="W22" s="28" t="s">
        <v>178</v>
      </c>
      <c r="X22" s="28"/>
      <c r="Y22" s="43"/>
      <c r="Z22" s="28"/>
      <c r="AA22" s="28"/>
      <c r="AB22" s="28"/>
      <c r="AC22" s="28"/>
      <c r="AD22" s="28"/>
      <c r="AE22" s="66"/>
      <c r="AF22" s="28"/>
      <c r="AG22" s="28"/>
      <c r="AH22" s="28"/>
      <c r="AI22" s="20"/>
      <c r="AJ22" s="28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</row>
    <row r="23" spans="1:47" ht="15.75" customHeight="1" thickBot="1" x14ac:dyDescent="0.3">
      <c r="A23" s="1">
        <v>22</v>
      </c>
      <c r="B23" s="2"/>
      <c r="C23" s="87"/>
      <c r="D23" s="20" t="s">
        <v>44</v>
      </c>
      <c r="E23" s="10"/>
      <c r="F23" s="22" t="s">
        <v>147</v>
      </c>
      <c r="G23" s="11" t="s">
        <v>9</v>
      </c>
      <c r="H23" s="21"/>
      <c r="I23" s="58"/>
      <c r="J23" s="70"/>
      <c r="K23" s="58"/>
      <c r="L23" s="58"/>
      <c r="M23" s="73" t="e">
        <f t="shared" si="0"/>
        <v>#NUM!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13</v>
      </c>
      <c r="U23" s="12" t="s">
        <v>14</v>
      </c>
      <c r="V23" s="90" t="s">
        <v>165</v>
      </c>
      <c r="W23" s="28" t="s">
        <v>170</v>
      </c>
      <c r="X23" s="28"/>
      <c r="Y23" s="43"/>
      <c r="Z23" s="28"/>
      <c r="AA23" s="28"/>
      <c r="AB23" s="28"/>
      <c r="AC23" s="28"/>
      <c r="AD23" s="28"/>
      <c r="AE23" s="66"/>
      <c r="AF23" s="28"/>
      <c r="AG23" s="28"/>
      <c r="AH23" s="28"/>
      <c r="AI23" s="20"/>
      <c r="AJ23" s="28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</row>
    <row r="24" spans="1:47" ht="15.75" customHeight="1" thickBot="1" x14ac:dyDescent="0.3">
      <c r="A24" s="1">
        <v>23</v>
      </c>
      <c r="B24" s="2"/>
      <c r="C24" s="87"/>
      <c r="D24" s="20" t="s">
        <v>45</v>
      </c>
      <c r="E24" s="10"/>
      <c r="F24" s="22" t="s">
        <v>147</v>
      </c>
      <c r="G24" s="11" t="s">
        <v>9</v>
      </c>
      <c r="H24" s="21"/>
      <c r="I24" s="58"/>
      <c r="J24" s="70"/>
      <c r="K24" s="58"/>
      <c r="L24" s="58"/>
      <c r="M24" s="73" t="e">
        <f t="shared" si="0"/>
        <v>#NUM!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13</v>
      </c>
      <c r="U24" s="12" t="s">
        <v>14</v>
      </c>
      <c r="V24" s="90" t="s">
        <v>165</v>
      </c>
      <c r="W24" s="28" t="s">
        <v>170</v>
      </c>
      <c r="X24" s="28"/>
      <c r="Y24" s="43"/>
      <c r="Z24" s="28"/>
      <c r="AA24" s="28"/>
      <c r="AB24" s="28"/>
      <c r="AC24" s="28"/>
      <c r="AD24" s="28"/>
      <c r="AE24" s="66"/>
      <c r="AF24" s="28"/>
      <c r="AG24" s="28"/>
      <c r="AH24" s="28"/>
      <c r="AI24" s="20"/>
      <c r="AJ24" s="28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</row>
    <row r="25" spans="1:47" ht="15.75" customHeight="1" thickBot="1" x14ac:dyDescent="0.3">
      <c r="A25" s="1">
        <v>24</v>
      </c>
      <c r="B25" s="2"/>
      <c r="C25" s="87"/>
      <c r="D25" s="20" t="s">
        <v>46</v>
      </c>
      <c r="E25" s="10"/>
      <c r="F25" s="22" t="s">
        <v>147</v>
      </c>
      <c r="G25" s="11" t="s">
        <v>9</v>
      </c>
      <c r="H25" s="21"/>
      <c r="I25" s="58"/>
      <c r="J25" s="58"/>
      <c r="K25" s="58"/>
      <c r="L25" s="58"/>
      <c r="M25" s="73" t="e">
        <f t="shared" si="0"/>
        <v>#NUM!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13</v>
      </c>
      <c r="U25" s="12" t="s">
        <v>14</v>
      </c>
      <c r="V25" s="90" t="s">
        <v>15</v>
      </c>
      <c r="W25" s="28" t="s">
        <v>202</v>
      </c>
      <c r="X25" s="28"/>
      <c r="Y25" s="43"/>
      <c r="Z25" s="28"/>
      <c r="AA25" s="28"/>
      <c r="AB25" s="28"/>
      <c r="AC25" s="28"/>
      <c r="AD25" s="28"/>
      <c r="AE25" s="66"/>
      <c r="AF25" s="28"/>
      <c r="AG25" s="28"/>
      <c r="AH25" s="28"/>
      <c r="AI25" s="20"/>
      <c r="AJ25" s="28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</row>
    <row r="26" spans="1:47" ht="15.75" customHeight="1" thickBot="1" x14ac:dyDescent="0.3">
      <c r="A26" s="1">
        <v>25</v>
      </c>
      <c r="B26" s="2"/>
      <c r="C26" s="87"/>
      <c r="D26" s="20" t="s">
        <v>47</v>
      </c>
      <c r="E26" s="10"/>
      <c r="F26" s="22" t="s">
        <v>147</v>
      </c>
      <c r="G26" s="11" t="s">
        <v>9</v>
      </c>
      <c r="H26" s="21"/>
      <c r="I26" s="58"/>
      <c r="J26" s="58"/>
      <c r="K26" s="58"/>
      <c r="L26" s="58"/>
      <c r="M26" s="73" t="e">
        <f t="shared" si="0"/>
        <v>#NUM!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13</v>
      </c>
      <c r="U26" s="12" t="s">
        <v>14</v>
      </c>
      <c r="V26" s="90" t="s">
        <v>15</v>
      </c>
      <c r="W26" s="28" t="s">
        <v>19</v>
      </c>
      <c r="X26" s="28"/>
      <c r="Y26" s="43"/>
      <c r="Z26" s="28"/>
      <c r="AA26" s="28"/>
      <c r="AB26" s="28"/>
      <c r="AC26" s="28"/>
      <c r="AD26" s="28"/>
      <c r="AE26" s="66"/>
      <c r="AF26" s="28"/>
      <c r="AG26" s="28"/>
      <c r="AH26" s="28"/>
      <c r="AI26" s="20"/>
      <c r="AJ26" s="2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</row>
    <row r="27" spans="1:47" ht="15.75" customHeight="1" thickBot="1" x14ac:dyDescent="0.3">
      <c r="A27" s="1">
        <v>26</v>
      </c>
      <c r="B27" s="2"/>
      <c r="C27" s="87"/>
      <c r="D27" s="20" t="s">
        <v>48</v>
      </c>
      <c r="E27" s="10"/>
      <c r="F27" s="22" t="s">
        <v>147</v>
      </c>
      <c r="G27" s="11" t="s">
        <v>9</v>
      </c>
      <c r="H27" s="21"/>
      <c r="I27" s="58"/>
      <c r="J27" s="70"/>
      <c r="K27" s="58"/>
      <c r="L27" s="58"/>
      <c r="M27" s="73" t="e">
        <f t="shared" si="0"/>
        <v>#NUM!</v>
      </c>
      <c r="N27" s="23" t="e">
        <f t="shared" si="2"/>
        <v>#NUM!</v>
      </c>
      <c r="O27" s="73" t="e">
        <f t="shared" si="1"/>
        <v>#NUM!</v>
      </c>
      <c r="P27" s="58"/>
      <c r="Q27" s="58"/>
      <c r="R27" s="58"/>
      <c r="S27" s="58"/>
      <c r="T27" s="12" t="s">
        <v>13</v>
      </c>
      <c r="U27" s="12" t="s">
        <v>14</v>
      </c>
      <c r="V27" s="90" t="s">
        <v>15</v>
      </c>
      <c r="W27" s="28" t="s">
        <v>19</v>
      </c>
      <c r="X27" s="28"/>
      <c r="Y27" s="43"/>
      <c r="Z27" s="28"/>
      <c r="AA27" s="28"/>
      <c r="AB27" s="28"/>
      <c r="AC27" s="28"/>
      <c r="AD27" s="28"/>
      <c r="AE27" s="66"/>
      <c r="AF27" s="28"/>
      <c r="AG27" s="28"/>
      <c r="AH27" s="28"/>
      <c r="AI27" s="20"/>
      <c r="AJ27" s="28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</row>
    <row r="28" spans="1:47" ht="15.75" customHeight="1" thickBot="1" x14ac:dyDescent="0.3">
      <c r="A28" s="1">
        <v>27</v>
      </c>
      <c r="B28" s="2"/>
      <c r="C28" s="87"/>
      <c r="D28" s="20" t="s">
        <v>49</v>
      </c>
      <c r="E28" s="10"/>
      <c r="F28" s="22" t="s">
        <v>147</v>
      </c>
      <c r="G28" s="11" t="s">
        <v>9</v>
      </c>
      <c r="H28" s="21"/>
      <c r="I28" s="58"/>
      <c r="J28" s="58"/>
      <c r="K28" s="58"/>
      <c r="L28" s="58"/>
      <c r="M28" s="73" t="e">
        <f t="shared" si="0"/>
        <v>#NUM!</v>
      </c>
      <c r="N28" s="23" t="e">
        <f t="shared" si="2"/>
        <v>#NUM!</v>
      </c>
      <c r="O28" s="73" t="e">
        <f t="shared" si="1"/>
        <v>#NUM!</v>
      </c>
      <c r="P28" s="58"/>
      <c r="Q28" s="58"/>
      <c r="R28" s="58"/>
      <c r="S28" s="58"/>
      <c r="T28" s="12" t="s">
        <v>13</v>
      </c>
      <c r="U28" s="12" t="s">
        <v>14</v>
      </c>
      <c r="V28" s="90" t="s">
        <v>15</v>
      </c>
      <c r="W28" s="28"/>
      <c r="X28" s="28"/>
      <c r="Y28" s="43"/>
      <c r="Z28" s="28"/>
      <c r="AA28" s="28"/>
      <c r="AB28" s="28"/>
      <c r="AC28" s="28"/>
      <c r="AD28" s="28"/>
      <c r="AE28" s="66"/>
      <c r="AF28" s="28"/>
      <c r="AG28" s="28"/>
      <c r="AH28" s="28"/>
      <c r="AI28" s="20"/>
      <c r="AJ28" s="28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</row>
    <row r="29" spans="1:47" ht="15.75" customHeight="1" thickBot="1" x14ac:dyDescent="0.3">
      <c r="A29" s="1">
        <v>28</v>
      </c>
      <c r="B29" s="2"/>
      <c r="C29" s="87"/>
      <c r="D29" s="20" t="s">
        <v>50</v>
      </c>
      <c r="E29" s="10"/>
      <c r="F29" s="22" t="s">
        <v>147</v>
      </c>
      <c r="G29" s="11" t="s">
        <v>9</v>
      </c>
      <c r="H29" s="21"/>
      <c r="I29" s="58"/>
      <c r="J29" s="70"/>
      <c r="K29" s="58"/>
      <c r="L29" s="58"/>
      <c r="M29" s="73" t="e">
        <f t="shared" si="0"/>
        <v>#NUM!</v>
      </c>
      <c r="N29" s="23" t="e">
        <f t="shared" si="2"/>
        <v>#NUM!</v>
      </c>
      <c r="O29" s="73" t="e">
        <f t="shared" si="1"/>
        <v>#NUM!</v>
      </c>
      <c r="P29" s="58"/>
      <c r="Q29" s="58"/>
      <c r="R29" s="58"/>
      <c r="S29" s="58"/>
      <c r="T29" s="12" t="s">
        <v>13</v>
      </c>
      <c r="U29" s="12" t="s">
        <v>14</v>
      </c>
      <c r="V29" s="90" t="s">
        <v>165</v>
      </c>
      <c r="W29" s="28" t="s">
        <v>176</v>
      </c>
      <c r="X29" s="28"/>
      <c r="Y29" s="43"/>
      <c r="Z29" s="28"/>
      <c r="AA29" s="28"/>
      <c r="AB29" s="28"/>
      <c r="AC29" s="28"/>
      <c r="AD29" s="28"/>
      <c r="AE29" s="66"/>
      <c r="AF29" s="28"/>
      <c r="AG29" s="28"/>
      <c r="AH29" s="28"/>
      <c r="AI29" s="20"/>
      <c r="AJ29" s="28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</row>
    <row r="30" spans="1:47" ht="15.75" customHeight="1" thickBot="1" x14ac:dyDescent="0.3">
      <c r="A30" s="1">
        <v>29</v>
      </c>
      <c r="B30" s="2"/>
      <c r="C30" s="87"/>
      <c r="D30" s="20" t="s">
        <v>51</v>
      </c>
      <c r="E30" s="10"/>
      <c r="F30" s="22" t="s">
        <v>147</v>
      </c>
      <c r="G30" s="11" t="s">
        <v>9</v>
      </c>
      <c r="H30" s="21"/>
      <c r="I30" s="59"/>
      <c r="J30" s="71"/>
      <c r="K30" s="59"/>
      <c r="L30" s="59"/>
      <c r="M30" s="73" t="e">
        <f t="shared" si="0"/>
        <v>#NUM!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13</v>
      </c>
      <c r="U30" s="12" t="s">
        <v>14</v>
      </c>
      <c r="V30" s="90" t="s">
        <v>165</v>
      </c>
      <c r="W30" s="28" t="s">
        <v>177</v>
      </c>
      <c r="X30" s="28"/>
      <c r="Y30" s="43"/>
      <c r="Z30" s="28"/>
      <c r="AA30" s="28"/>
      <c r="AB30" s="28"/>
      <c r="AC30" s="28"/>
      <c r="AD30" s="28"/>
      <c r="AE30" s="66"/>
      <c r="AF30" s="28"/>
      <c r="AG30" s="28"/>
      <c r="AH30" s="28"/>
      <c r="AI30" s="20"/>
      <c r="AJ30" s="28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</row>
    <row r="31" spans="1:47" ht="15.75" customHeight="1" thickBot="1" x14ac:dyDescent="0.3">
      <c r="A31" s="1">
        <v>30</v>
      </c>
      <c r="B31" s="2"/>
      <c r="C31" s="87"/>
      <c r="D31" s="20" t="s">
        <v>52</v>
      </c>
      <c r="E31" s="10"/>
      <c r="F31" s="22" t="s">
        <v>147</v>
      </c>
      <c r="G31" s="11" t="s">
        <v>9</v>
      </c>
      <c r="H31" s="21"/>
      <c r="I31" s="59"/>
      <c r="J31" s="71"/>
      <c r="K31" s="59"/>
      <c r="L31" s="59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9"/>
      <c r="Q31" s="59"/>
      <c r="R31" s="59"/>
      <c r="S31" s="59"/>
      <c r="T31" s="12" t="s">
        <v>13</v>
      </c>
      <c r="U31" s="12" t="s">
        <v>14</v>
      </c>
      <c r="V31" s="90" t="s">
        <v>165</v>
      </c>
      <c r="W31" s="9" t="s">
        <v>170</v>
      </c>
      <c r="X31" s="28"/>
      <c r="Y31" s="43"/>
      <c r="Z31" s="38"/>
      <c r="AA31" s="38"/>
      <c r="AB31" s="28"/>
      <c r="AC31" s="28"/>
      <c r="AD31" s="28"/>
      <c r="AE31" s="66"/>
      <c r="AF31" s="28"/>
      <c r="AG31" s="28"/>
      <c r="AH31" s="28"/>
      <c r="AI31" s="20"/>
      <c r="AJ31" s="28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</row>
    <row r="32" spans="1:47" ht="15.75" customHeight="1" thickBot="1" x14ac:dyDescent="0.3">
      <c r="A32" s="1">
        <v>31</v>
      </c>
      <c r="B32" s="2"/>
      <c r="C32" s="87"/>
      <c r="D32" s="20" t="s">
        <v>53</v>
      </c>
      <c r="E32" s="10"/>
      <c r="F32" s="22" t="s">
        <v>147</v>
      </c>
      <c r="G32" s="11" t="s">
        <v>9</v>
      </c>
      <c r="H32" s="21"/>
      <c r="I32" s="59"/>
      <c r="J32" s="71"/>
      <c r="K32" s="59"/>
      <c r="L32" s="59"/>
      <c r="M32" s="73" t="e">
        <f t="shared" si="0"/>
        <v>#NUM!</v>
      </c>
      <c r="N32" s="23" t="e">
        <f t="shared" si="2"/>
        <v>#NUM!</v>
      </c>
      <c r="O32" s="73" t="e">
        <f t="shared" si="1"/>
        <v>#NUM!</v>
      </c>
      <c r="P32" s="59"/>
      <c r="Q32" s="59"/>
      <c r="R32" s="59"/>
      <c r="S32" s="59"/>
      <c r="T32" s="12" t="s">
        <v>13</v>
      </c>
      <c r="U32" s="12" t="s">
        <v>14</v>
      </c>
      <c r="V32" s="90" t="s">
        <v>15</v>
      </c>
      <c r="W32" s="28" t="s">
        <v>175</v>
      </c>
      <c r="X32" s="28"/>
      <c r="Y32" s="43"/>
      <c r="Z32" s="28"/>
      <c r="AA32" s="28"/>
      <c r="AB32" s="28"/>
      <c r="AC32" s="28"/>
      <c r="AD32" s="28"/>
      <c r="AE32" s="66"/>
      <c r="AF32" s="28"/>
      <c r="AG32" s="28"/>
      <c r="AH32" s="28"/>
      <c r="AI32" s="20"/>
      <c r="AJ32" s="28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</row>
    <row r="33" spans="1:49" ht="15.75" customHeight="1" thickBot="1" x14ac:dyDescent="0.3">
      <c r="A33" s="1">
        <v>32</v>
      </c>
      <c r="B33" s="2"/>
      <c r="C33" s="87"/>
      <c r="D33" s="20" t="s">
        <v>54</v>
      </c>
      <c r="E33" s="10"/>
      <c r="F33" s="22" t="s">
        <v>147</v>
      </c>
      <c r="G33" s="11" t="s">
        <v>9</v>
      </c>
      <c r="H33" s="21"/>
      <c r="I33" s="59"/>
      <c r="J33" s="71"/>
      <c r="K33" s="59"/>
      <c r="L33" s="59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9"/>
      <c r="Q33" s="59"/>
      <c r="R33" s="59"/>
      <c r="S33" s="59"/>
      <c r="T33" s="12" t="s">
        <v>13</v>
      </c>
      <c r="U33" s="12" t="s">
        <v>14</v>
      </c>
      <c r="V33" s="90" t="s">
        <v>165</v>
      </c>
      <c r="W33" s="28" t="s">
        <v>170</v>
      </c>
      <c r="X33" s="28"/>
      <c r="Y33" s="43"/>
      <c r="Z33" s="28"/>
      <c r="AA33" s="28"/>
      <c r="AB33" s="28"/>
      <c r="AC33" s="28"/>
      <c r="AD33" s="28"/>
      <c r="AE33" s="66"/>
      <c r="AF33" s="28"/>
      <c r="AG33" s="28"/>
      <c r="AH33" s="28"/>
      <c r="AI33" s="20"/>
      <c r="AJ33" s="28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</row>
    <row r="34" spans="1:49" ht="15.75" customHeight="1" thickBot="1" x14ac:dyDescent="0.3">
      <c r="A34" s="1">
        <v>33</v>
      </c>
      <c r="B34" s="2"/>
      <c r="C34" s="87"/>
      <c r="D34" s="20" t="s">
        <v>55</v>
      </c>
      <c r="E34" s="10"/>
      <c r="F34" s="22" t="s">
        <v>147</v>
      </c>
      <c r="G34" s="11" t="s">
        <v>9</v>
      </c>
      <c r="H34" s="21"/>
      <c r="I34" s="58"/>
      <c r="J34" s="70"/>
      <c r="K34" s="58"/>
      <c r="L34" s="58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13</v>
      </c>
      <c r="U34" s="12" t="s">
        <v>14</v>
      </c>
      <c r="V34" s="90" t="s">
        <v>15</v>
      </c>
      <c r="W34" s="28" t="s">
        <v>174</v>
      </c>
      <c r="X34" s="28"/>
      <c r="Y34" s="43"/>
      <c r="Z34" s="28"/>
      <c r="AA34" s="28"/>
      <c r="AB34" s="28"/>
      <c r="AC34" s="28"/>
      <c r="AD34" s="28"/>
      <c r="AE34" s="66"/>
      <c r="AF34" s="28"/>
      <c r="AG34" s="28"/>
      <c r="AH34" s="28"/>
      <c r="AI34" s="20"/>
      <c r="AJ34" s="28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</row>
    <row r="35" spans="1:49" ht="15.75" customHeight="1" thickBot="1" x14ac:dyDescent="0.3">
      <c r="A35" s="1">
        <v>34</v>
      </c>
      <c r="B35" s="2"/>
      <c r="C35" s="87"/>
      <c r="D35" s="20" t="s">
        <v>56</v>
      </c>
      <c r="E35" s="10"/>
      <c r="F35" s="22" t="s">
        <v>147</v>
      </c>
      <c r="G35" s="11" t="s">
        <v>9</v>
      </c>
      <c r="H35" s="21"/>
      <c r="I35" s="58"/>
      <c r="J35" s="70"/>
      <c r="K35" s="58"/>
      <c r="L35" s="58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8"/>
      <c r="Q35" s="58"/>
      <c r="R35" s="58"/>
      <c r="S35" s="58"/>
      <c r="T35" s="12" t="s">
        <v>13</v>
      </c>
      <c r="U35" s="12" t="s">
        <v>14</v>
      </c>
      <c r="V35" s="90" t="s">
        <v>15</v>
      </c>
      <c r="W35" s="28" t="s">
        <v>175</v>
      </c>
      <c r="X35" s="28"/>
      <c r="Y35" s="43"/>
      <c r="Z35" s="28"/>
      <c r="AA35" s="28"/>
      <c r="AB35" s="28"/>
      <c r="AC35" s="28"/>
      <c r="AD35" s="28"/>
      <c r="AE35" s="66"/>
      <c r="AF35" s="28"/>
      <c r="AG35" s="28"/>
      <c r="AH35" s="28"/>
      <c r="AI35" s="20"/>
      <c r="AJ35" s="28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</row>
    <row r="36" spans="1:49" ht="15.75" customHeight="1" thickBot="1" x14ac:dyDescent="0.3">
      <c r="A36" s="1">
        <v>35</v>
      </c>
      <c r="B36" s="2"/>
      <c r="C36" s="87"/>
      <c r="D36" s="20" t="s">
        <v>57</v>
      </c>
      <c r="E36" s="10"/>
      <c r="F36" s="22" t="s">
        <v>147</v>
      </c>
      <c r="G36" s="11" t="s">
        <v>9</v>
      </c>
      <c r="H36" s="21"/>
      <c r="I36" s="58"/>
      <c r="J36" s="58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13</v>
      </c>
      <c r="U36" s="12" t="s">
        <v>14</v>
      </c>
      <c r="V36" s="90" t="s">
        <v>15</v>
      </c>
      <c r="W36" s="28" t="s">
        <v>202</v>
      </c>
      <c r="X36" s="28"/>
      <c r="Y36" s="43"/>
      <c r="Z36" s="28"/>
      <c r="AA36" s="28"/>
      <c r="AB36" s="28"/>
      <c r="AC36" s="28"/>
      <c r="AD36" s="28"/>
      <c r="AE36" s="66"/>
      <c r="AF36" s="28"/>
      <c r="AG36" s="28"/>
      <c r="AH36" s="28"/>
      <c r="AI36" s="20"/>
      <c r="AJ36" s="28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</row>
    <row r="37" spans="1:49" ht="15.75" customHeight="1" thickBot="1" x14ac:dyDescent="0.3">
      <c r="A37" s="1">
        <v>36</v>
      </c>
      <c r="B37" s="2"/>
      <c r="C37" s="87"/>
      <c r="D37" s="20" t="s">
        <v>58</v>
      </c>
      <c r="E37" s="10"/>
      <c r="F37" s="22" t="s">
        <v>147</v>
      </c>
      <c r="G37" s="11" t="s">
        <v>9</v>
      </c>
      <c r="H37" s="21"/>
      <c r="I37" s="58"/>
      <c r="J37" s="70"/>
      <c r="K37" s="58"/>
      <c r="L37" s="58"/>
      <c r="M37" s="73" t="e">
        <f t="shared" si="0"/>
        <v>#NUM!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13</v>
      </c>
      <c r="U37" s="12" t="s">
        <v>14</v>
      </c>
      <c r="V37" s="90" t="s">
        <v>165</v>
      </c>
      <c r="W37" s="28" t="s">
        <v>170</v>
      </c>
      <c r="X37" s="28"/>
      <c r="Y37" s="43"/>
      <c r="Z37" s="28"/>
      <c r="AA37" s="28"/>
      <c r="AB37" s="28"/>
      <c r="AC37" s="28"/>
      <c r="AD37" s="28"/>
      <c r="AE37" s="66"/>
      <c r="AF37" s="28"/>
      <c r="AG37" s="28"/>
      <c r="AH37" s="28"/>
      <c r="AI37" s="20"/>
      <c r="AJ37" s="28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</row>
    <row r="38" spans="1:49" ht="15.75" customHeight="1" thickBot="1" x14ac:dyDescent="0.3">
      <c r="A38" s="1">
        <v>37</v>
      </c>
      <c r="B38" s="2"/>
      <c r="C38" s="87"/>
      <c r="D38" s="20" t="s">
        <v>59</v>
      </c>
      <c r="E38" s="10"/>
      <c r="F38" s="22" t="s">
        <v>147</v>
      </c>
      <c r="G38" s="11" t="s">
        <v>9</v>
      </c>
      <c r="H38" s="21"/>
      <c r="I38" s="58"/>
      <c r="J38" s="70"/>
      <c r="K38" s="58"/>
      <c r="L38" s="58"/>
      <c r="M38" s="73" t="e">
        <f t="shared" si="0"/>
        <v>#NUM!</v>
      </c>
      <c r="N38" s="23" t="e">
        <f t="shared" si="2"/>
        <v>#NUM!</v>
      </c>
      <c r="O38" s="73" t="e">
        <f t="shared" si="1"/>
        <v>#NUM!</v>
      </c>
      <c r="P38" s="58"/>
      <c r="Q38" s="58"/>
      <c r="R38" s="58"/>
      <c r="S38" s="58"/>
      <c r="T38" s="12" t="s">
        <v>13</v>
      </c>
      <c r="U38" s="12" t="s">
        <v>14</v>
      </c>
      <c r="V38" s="90" t="s">
        <v>15</v>
      </c>
      <c r="W38" s="28" t="s">
        <v>178</v>
      </c>
      <c r="X38" s="28"/>
      <c r="Y38" s="43"/>
      <c r="Z38" s="28"/>
      <c r="AA38" s="28"/>
      <c r="AB38" s="28"/>
      <c r="AC38" s="28"/>
      <c r="AD38" s="28"/>
      <c r="AE38" s="66"/>
      <c r="AF38" s="28"/>
      <c r="AG38" s="28"/>
      <c r="AH38" s="28"/>
      <c r="AI38" s="20"/>
      <c r="AJ38" s="28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</row>
    <row r="39" spans="1:49" ht="15.75" customHeight="1" thickBot="1" x14ac:dyDescent="0.3">
      <c r="A39" s="1">
        <v>38</v>
      </c>
      <c r="B39" s="2"/>
      <c r="C39" s="87"/>
      <c r="D39" s="20" t="s">
        <v>60</v>
      </c>
      <c r="E39" s="10"/>
      <c r="F39" s="22" t="s">
        <v>147</v>
      </c>
      <c r="G39" s="11" t="s">
        <v>9</v>
      </c>
      <c r="H39" s="21"/>
      <c r="I39" s="58"/>
      <c r="J39" s="58"/>
      <c r="K39" s="58"/>
      <c r="L39" s="58"/>
      <c r="M39" s="73" t="e">
        <f t="shared" si="0"/>
        <v>#NUM!</v>
      </c>
      <c r="N39" s="23" t="e">
        <f t="shared" si="2"/>
        <v>#NUM!</v>
      </c>
      <c r="O39" s="73" t="e">
        <f t="shared" si="1"/>
        <v>#NUM!</v>
      </c>
      <c r="P39" s="58"/>
      <c r="Q39" s="58"/>
      <c r="R39" s="58"/>
      <c r="S39" s="58"/>
      <c r="T39" s="12" t="s">
        <v>13</v>
      </c>
      <c r="U39" s="12" t="s">
        <v>14</v>
      </c>
      <c r="V39" s="90" t="s">
        <v>15</v>
      </c>
      <c r="W39" s="28" t="s">
        <v>161</v>
      </c>
      <c r="X39" s="28"/>
      <c r="Y39" s="43"/>
      <c r="Z39" s="28"/>
      <c r="AA39" s="28"/>
      <c r="AB39" s="28"/>
      <c r="AC39" s="28"/>
      <c r="AD39" s="28"/>
      <c r="AE39" s="66"/>
      <c r="AF39" s="28"/>
      <c r="AG39" s="28"/>
      <c r="AH39" s="28"/>
      <c r="AI39" s="20"/>
      <c r="AJ39" s="28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1:49" ht="15.75" customHeight="1" thickBot="1" x14ac:dyDescent="0.3">
      <c r="A40" s="1">
        <v>39</v>
      </c>
      <c r="B40" s="2"/>
      <c r="C40" s="87"/>
      <c r="D40" s="20" t="s">
        <v>61</v>
      </c>
      <c r="E40" s="10"/>
      <c r="F40" s="22" t="s">
        <v>147</v>
      </c>
      <c r="G40" s="11" t="s">
        <v>9</v>
      </c>
      <c r="H40" s="21"/>
      <c r="I40" s="58"/>
      <c r="J40" s="70"/>
      <c r="K40" s="58"/>
      <c r="L40" s="58"/>
      <c r="M40" s="73" t="e">
        <f t="shared" si="0"/>
        <v>#NUM!</v>
      </c>
      <c r="N40" s="23" t="e">
        <f t="shared" si="2"/>
        <v>#NUM!</v>
      </c>
      <c r="O40" s="73" t="e">
        <f t="shared" si="1"/>
        <v>#NUM!</v>
      </c>
      <c r="P40" s="58"/>
      <c r="Q40" s="58"/>
      <c r="R40" s="58"/>
      <c r="S40" s="58"/>
      <c r="T40" s="12" t="s">
        <v>13</v>
      </c>
      <c r="U40" s="12" t="s">
        <v>14</v>
      </c>
      <c r="V40" s="90" t="s">
        <v>15</v>
      </c>
      <c r="W40" s="28" t="s">
        <v>172</v>
      </c>
      <c r="X40" s="28"/>
      <c r="Y40" s="43"/>
      <c r="Z40" s="28"/>
      <c r="AA40" s="28"/>
      <c r="AB40" s="28"/>
      <c r="AC40" s="28"/>
      <c r="AD40" s="28"/>
      <c r="AE40" s="66"/>
      <c r="AF40" s="28"/>
      <c r="AG40" s="28"/>
      <c r="AH40" s="28"/>
      <c r="AI40" s="20"/>
      <c r="AJ40" s="28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</row>
    <row r="41" spans="1:49" ht="15.75" customHeight="1" thickBot="1" x14ac:dyDescent="0.3">
      <c r="A41" s="1">
        <v>40</v>
      </c>
      <c r="B41" s="2"/>
      <c r="C41" s="87"/>
      <c r="D41" s="20" t="s">
        <v>62</v>
      </c>
      <c r="E41" s="10"/>
      <c r="F41" s="22" t="s">
        <v>147</v>
      </c>
      <c r="G41" s="11" t="s">
        <v>9</v>
      </c>
      <c r="H41" s="21"/>
      <c r="I41" s="59"/>
      <c r="J41" s="71"/>
      <c r="K41" s="59"/>
      <c r="L41" s="59"/>
      <c r="M41" s="73" t="e">
        <f t="shared" si="0"/>
        <v>#NUM!</v>
      </c>
      <c r="N41" s="23" t="e">
        <f t="shared" si="2"/>
        <v>#NUM!</v>
      </c>
      <c r="O41" s="73" t="e">
        <f t="shared" si="1"/>
        <v>#NUM!</v>
      </c>
      <c r="P41" s="59"/>
      <c r="Q41" s="59"/>
      <c r="R41" s="59"/>
      <c r="S41" s="59"/>
      <c r="T41" s="12" t="s">
        <v>13</v>
      </c>
      <c r="U41" s="12" t="s">
        <v>14</v>
      </c>
      <c r="V41" s="90" t="s">
        <v>15</v>
      </c>
      <c r="W41" s="28" t="s">
        <v>168</v>
      </c>
      <c r="X41" s="28"/>
      <c r="Y41" s="43"/>
      <c r="Z41" s="28"/>
      <c r="AA41" s="28"/>
      <c r="AB41" s="28"/>
      <c r="AC41" s="28"/>
      <c r="AD41" s="28"/>
      <c r="AE41" s="66"/>
      <c r="AF41" s="28"/>
      <c r="AG41" s="28"/>
      <c r="AH41" s="28"/>
      <c r="AI41" s="20"/>
      <c r="AJ41" s="28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</row>
    <row r="42" spans="1:49" ht="15.75" customHeight="1" thickBot="1" x14ac:dyDescent="0.3">
      <c r="A42" s="1">
        <v>41</v>
      </c>
      <c r="B42" s="2"/>
      <c r="C42" s="87"/>
      <c r="D42" s="20" t="s">
        <v>63</v>
      </c>
      <c r="E42" s="10"/>
      <c r="F42" s="22" t="s">
        <v>147</v>
      </c>
      <c r="G42" s="11" t="s">
        <v>9</v>
      </c>
      <c r="H42" s="21"/>
      <c r="I42" s="59"/>
      <c r="J42" s="71"/>
      <c r="K42" s="59"/>
      <c r="L42" s="59"/>
      <c r="M42" s="73" t="e">
        <f t="shared" si="0"/>
        <v>#NUM!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13</v>
      </c>
      <c r="U42" s="12" t="s">
        <v>14</v>
      </c>
      <c r="V42" s="90" t="s">
        <v>15</v>
      </c>
      <c r="W42" s="28" t="s">
        <v>171</v>
      </c>
      <c r="X42" s="28"/>
      <c r="Y42" s="43"/>
      <c r="Z42" s="28"/>
      <c r="AA42" s="28"/>
      <c r="AB42" s="28"/>
      <c r="AC42" s="28"/>
      <c r="AD42" s="28"/>
      <c r="AE42" s="66"/>
      <c r="AF42" s="28"/>
      <c r="AG42" s="28"/>
      <c r="AH42" s="28"/>
      <c r="AI42" s="20"/>
      <c r="AJ42" s="28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</row>
    <row r="43" spans="1:49" ht="15.75" customHeight="1" thickBot="1" x14ac:dyDescent="0.3">
      <c r="A43" s="1">
        <v>42</v>
      </c>
      <c r="B43" s="2"/>
      <c r="C43" s="87"/>
      <c r="D43" s="20" t="s">
        <v>64</v>
      </c>
      <c r="E43" s="10"/>
      <c r="F43" s="22" t="s">
        <v>147</v>
      </c>
      <c r="G43" s="11" t="s">
        <v>9</v>
      </c>
      <c r="H43" s="21"/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13</v>
      </c>
      <c r="U43" s="12" t="s">
        <v>14</v>
      </c>
      <c r="V43" s="90" t="s">
        <v>15</v>
      </c>
      <c r="W43" s="28" t="s">
        <v>171</v>
      </c>
      <c r="X43" s="28"/>
      <c r="Y43" s="43"/>
      <c r="Z43" s="28"/>
      <c r="AA43" s="28"/>
      <c r="AB43" s="28"/>
      <c r="AC43" s="28"/>
      <c r="AD43" s="28"/>
      <c r="AE43" s="66"/>
      <c r="AF43" s="28"/>
      <c r="AG43" s="28"/>
      <c r="AH43" s="28"/>
      <c r="AI43" s="20"/>
      <c r="AJ43" s="28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</row>
    <row r="44" spans="1:49" ht="15.75" customHeight="1" thickBot="1" x14ac:dyDescent="0.3">
      <c r="A44" s="1">
        <v>43</v>
      </c>
      <c r="B44" s="2"/>
      <c r="C44" s="87"/>
      <c r="D44" s="20" t="s">
        <v>65</v>
      </c>
      <c r="E44" s="10"/>
      <c r="F44" s="22" t="s">
        <v>147</v>
      </c>
      <c r="G44" s="11" t="s">
        <v>9</v>
      </c>
      <c r="H44" s="23"/>
      <c r="I44" s="59"/>
      <c r="J44" s="71"/>
      <c r="K44" s="59"/>
      <c r="L44" s="59"/>
      <c r="M44" s="73" t="e">
        <f t="shared" si="0"/>
        <v>#NUM!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13</v>
      </c>
      <c r="U44" s="12" t="s">
        <v>14</v>
      </c>
      <c r="V44" s="90" t="s">
        <v>165</v>
      </c>
      <c r="W44" s="28" t="s">
        <v>166</v>
      </c>
      <c r="X44" s="28"/>
      <c r="Y44" s="43"/>
      <c r="Z44" s="28"/>
      <c r="AA44" s="28"/>
      <c r="AB44" s="28"/>
      <c r="AC44" s="28"/>
      <c r="AD44" s="28"/>
      <c r="AE44" s="66"/>
      <c r="AF44" s="28"/>
      <c r="AG44" s="28"/>
      <c r="AH44" s="28"/>
      <c r="AI44" s="20"/>
      <c r="AJ44" s="28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</row>
    <row r="45" spans="1:49" ht="15.75" customHeight="1" thickBot="1" x14ac:dyDescent="0.3">
      <c r="A45" s="1">
        <v>44</v>
      </c>
      <c r="B45" s="4"/>
      <c r="C45" s="87"/>
      <c r="D45" s="20" t="s">
        <v>66</v>
      </c>
      <c r="E45" s="10"/>
      <c r="F45" s="22" t="s">
        <v>147</v>
      </c>
      <c r="G45" s="11" t="s">
        <v>9</v>
      </c>
      <c r="H45" s="23"/>
      <c r="I45" s="59"/>
      <c r="J45" s="71"/>
      <c r="K45" s="59"/>
      <c r="L45" s="59"/>
      <c r="M45" s="73" t="e">
        <f t="shared" si="0"/>
        <v>#NUM!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13</v>
      </c>
      <c r="U45" s="12" t="s">
        <v>14</v>
      </c>
      <c r="V45" s="90" t="s">
        <v>15</v>
      </c>
      <c r="W45" s="28" t="s">
        <v>19</v>
      </c>
      <c r="X45" s="28"/>
      <c r="Y45" s="43"/>
      <c r="Z45" s="28"/>
      <c r="AA45" s="28"/>
      <c r="AB45" s="28"/>
      <c r="AC45" s="28"/>
      <c r="AD45" s="28"/>
      <c r="AE45" s="66"/>
      <c r="AF45" s="28"/>
      <c r="AG45" s="28"/>
      <c r="AH45" s="28"/>
      <c r="AI45" s="20"/>
      <c r="AJ45" s="28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1:49" ht="15.75" customHeight="1" thickBot="1" x14ac:dyDescent="0.3">
      <c r="A46" s="1">
        <v>45</v>
      </c>
      <c r="B46" s="5"/>
      <c r="C46" s="88"/>
      <c r="D46" s="20" t="s">
        <v>67</v>
      </c>
      <c r="E46" s="10"/>
      <c r="F46" s="22" t="s">
        <v>147</v>
      </c>
      <c r="G46" s="11" t="s">
        <v>9</v>
      </c>
      <c r="H46" s="21"/>
      <c r="I46" s="59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13</v>
      </c>
      <c r="U46" s="12" t="s">
        <v>14</v>
      </c>
      <c r="V46" s="90" t="s">
        <v>15</v>
      </c>
      <c r="W46" s="28" t="s">
        <v>175</v>
      </c>
      <c r="X46" s="28"/>
      <c r="Y46" s="43"/>
      <c r="Z46" s="28"/>
      <c r="AA46" s="28"/>
      <c r="AB46" s="28"/>
      <c r="AC46" s="28"/>
      <c r="AD46" s="28"/>
      <c r="AE46" s="66"/>
      <c r="AF46" s="28"/>
      <c r="AG46" s="28"/>
      <c r="AH46" s="28"/>
      <c r="AI46" s="20"/>
      <c r="AJ46" s="28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6"/>
      <c r="AW46" s="6"/>
    </row>
    <row r="47" spans="1:49" ht="15.75" customHeight="1" thickBot="1" x14ac:dyDescent="0.3">
      <c r="A47" s="1">
        <v>46</v>
      </c>
      <c r="B47" s="45"/>
      <c r="C47" s="89"/>
      <c r="D47" s="20" t="s">
        <v>68</v>
      </c>
      <c r="E47" s="10"/>
      <c r="F47" s="22" t="s">
        <v>147</v>
      </c>
      <c r="G47" s="11" t="s">
        <v>9</v>
      </c>
      <c r="H47" s="21"/>
      <c r="I47" s="59"/>
      <c r="J47" s="71"/>
      <c r="K47" s="59"/>
      <c r="L47" s="59"/>
      <c r="M47" s="73" t="e">
        <f t="shared" si="0"/>
        <v>#NUM!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13</v>
      </c>
      <c r="U47" s="12" t="s">
        <v>14</v>
      </c>
      <c r="V47" s="90" t="s">
        <v>21</v>
      </c>
      <c r="W47" s="28" t="s">
        <v>22</v>
      </c>
      <c r="X47" s="28"/>
      <c r="Y47" s="43"/>
      <c r="Z47" s="28"/>
      <c r="AA47" s="28"/>
      <c r="AB47" s="28"/>
      <c r="AC47" s="28"/>
      <c r="AD47" s="28"/>
      <c r="AE47" s="66"/>
      <c r="AF47" s="28"/>
      <c r="AG47" s="28"/>
      <c r="AH47" s="28"/>
      <c r="AI47" s="20"/>
      <c r="AJ47" s="28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6"/>
      <c r="AW47" s="6"/>
    </row>
    <row r="48" spans="1:49" ht="15.75" customHeight="1" thickBot="1" x14ac:dyDescent="0.3">
      <c r="A48" s="1">
        <v>47</v>
      </c>
      <c r="B48" s="46"/>
      <c r="C48" s="50"/>
      <c r="D48" s="44" t="s">
        <v>69</v>
      </c>
      <c r="E48" s="10"/>
      <c r="F48" s="22" t="s">
        <v>147</v>
      </c>
      <c r="G48" s="11" t="s">
        <v>9</v>
      </c>
      <c r="H48" s="21"/>
      <c r="I48" s="59"/>
      <c r="J48" s="59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13</v>
      </c>
      <c r="U48" s="12" t="s">
        <v>14</v>
      </c>
      <c r="V48" s="90" t="s">
        <v>15</v>
      </c>
      <c r="W48" s="28"/>
      <c r="X48" s="28"/>
      <c r="Y48" s="43"/>
      <c r="Z48" s="28"/>
      <c r="AA48" s="28"/>
      <c r="AB48" s="28"/>
      <c r="AC48" s="28"/>
      <c r="AD48" s="28"/>
      <c r="AE48" s="66"/>
      <c r="AF48" s="28"/>
      <c r="AG48" s="28"/>
      <c r="AH48" s="28"/>
      <c r="AI48" s="20"/>
      <c r="AJ48" s="28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6"/>
      <c r="AW48" s="6"/>
    </row>
    <row r="49" spans="1:47" ht="15.75" customHeight="1" thickBot="1" x14ac:dyDescent="0.3">
      <c r="A49" s="1">
        <v>48</v>
      </c>
      <c r="B49" s="46"/>
      <c r="C49" s="50"/>
      <c r="D49" s="44" t="s">
        <v>70</v>
      </c>
      <c r="E49" s="10"/>
      <c r="F49" s="22" t="s">
        <v>147</v>
      </c>
      <c r="G49" s="11" t="s">
        <v>9</v>
      </c>
      <c r="H49" s="21"/>
      <c r="I49" s="59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13</v>
      </c>
      <c r="U49" s="12" t="s">
        <v>14</v>
      </c>
      <c r="V49" s="90" t="s">
        <v>15</v>
      </c>
      <c r="W49" s="28" t="s">
        <v>175</v>
      </c>
      <c r="X49" s="28"/>
      <c r="Y49" s="43"/>
      <c r="Z49" s="28"/>
      <c r="AA49" s="28"/>
      <c r="AB49" s="28"/>
      <c r="AC49" s="28"/>
      <c r="AD49" s="28"/>
      <c r="AE49" s="66"/>
      <c r="AF49" s="28"/>
      <c r="AG49" s="28"/>
      <c r="AH49" s="28"/>
      <c r="AI49" s="20"/>
      <c r="AJ49" s="28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</row>
    <row r="50" spans="1:47" ht="15.75" customHeight="1" thickBot="1" x14ac:dyDescent="0.3">
      <c r="A50" s="1">
        <v>49</v>
      </c>
      <c r="B50" s="46"/>
      <c r="C50" s="50"/>
      <c r="D50" s="44" t="s">
        <v>71</v>
      </c>
      <c r="E50" s="10"/>
      <c r="F50" s="22" t="s">
        <v>147</v>
      </c>
      <c r="G50" s="11" t="s">
        <v>7</v>
      </c>
      <c r="H50" s="21"/>
      <c r="I50" s="59"/>
      <c r="J50" s="71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13</v>
      </c>
      <c r="U50" s="12" t="s">
        <v>14</v>
      </c>
      <c r="V50" s="90" t="s">
        <v>165</v>
      </c>
      <c r="W50" s="28" t="s">
        <v>179</v>
      </c>
      <c r="X50" s="28"/>
      <c r="Y50" s="43"/>
      <c r="Z50" s="28"/>
      <c r="AA50" s="28"/>
      <c r="AB50" s="28"/>
      <c r="AC50" s="28"/>
      <c r="AD50" s="28"/>
      <c r="AE50" s="66"/>
      <c r="AF50" s="28"/>
      <c r="AG50" s="28"/>
      <c r="AH50" s="28"/>
      <c r="AI50" s="20"/>
      <c r="AJ50" s="28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</row>
    <row r="51" spans="1:47" ht="15.75" customHeight="1" thickBot="1" x14ac:dyDescent="0.3">
      <c r="A51" s="1">
        <v>50</v>
      </c>
      <c r="B51" s="46"/>
      <c r="C51" s="50"/>
      <c r="D51" s="44" t="s">
        <v>72</v>
      </c>
      <c r="E51" s="10"/>
      <c r="F51" s="22" t="s">
        <v>147</v>
      </c>
      <c r="G51" s="11" t="s">
        <v>7</v>
      </c>
      <c r="H51" s="21"/>
      <c r="I51" s="59"/>
      <c r="J51" s="71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13</v>
      </c>
      <c r="U51" s="12" t="s">
        <v>14</v>
      </c>
      <c r="V51" s="90" t="s">
        <v>15</v>
      </c>
      <c r="W51" s="11" t="s">
        <v>161</v>
      </c>
      <c r="X51" s="28"/>
      <c r="Y51" s="43"/>
      <c r="Z51" s="28"/>
      <c r="AA51" s="28"/>
      <c r="AB51" s="28"/>
      <c r="AC51" s="28"/>
      <c r="AD51" s="28"/>
      <c r="AE51" s="66"/>
      <c r="AF51" s="28"/>
      <c r="AG51" s="28"/>
      <c r="AH51" s="28"/>
      <c r="AI51" s="20"/>
      <c r="AJ51" s="28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</row>
    <row r="52" spans="1:47" ht="15.75" customHeight="1" thickBot="1" x14ac:dyDescent="0.3">
      <c r="A52" s="1">
        <v>51</v>
      </c>
      <c r="B52" s="46"/>
      <c r="C52" s="50"/>
      <c r="D52" s="44" t="s">
        <v>73</v>
      </c>
      <c r="E52" s="10"/>
      <c r="F52" s="22" t="s">
        <v>147</v>
      </c>
      <c r="G52" s="11" t="s">
        <v>7</v>
      </c>
      <c r="H52" s="21"/>
      <c r="I52" s="59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13</v>
      </c>
      <c r="U52" s="12" t="s">
        <v>14</v>
      </c>
      <c r="V52" s="90" t="s">
        <v>165</v>
      </c>
      <c r="W52" s="11" t="s">
        <v>179</v>
      </c>
      <c r="X52" s="28"/>
      <c r="Y52" s="43"/>
      <c r="Z52" s="28"/>
      <c r="AA52" s="28"/>
      <c r="AB52" s="28"/>
      <c r="AC52" s="28"/>
      <c r="AD52" s="28"/>
      <c r="AE52" s="66"/>
      <c r="AF52" s="28"/>
      <c r="AG52" s="28"/>
      <c r="AH52" s="28"/>
      <c r="AI52" s="20"/>
      <c r="AJ52" s="28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 ht="15.75" customHeight="1" thickBot="1" x14ac:dyDescent="0.3">
      <c r="A53" s="1">
        <v>52</v>
      </c>
      <c r="B53" s="46"/>
      <c r="C53" s="50"/>
      <c r="D53" s="44" t="s">
        <v>74</v>
      </c>
      <c r="E53" s="10"/>
      <c r="F53" s="22" t="s">
        <v>147</v>
      </c>
      <c r="G53" s="11" t="s">
        <v>7</v>
      </c>
      <c r="H53" s="21"/>
      <c r="I53" s="59"/>
      <c r="J53" s="71"/>
      <c r="K53" s="59"/>
      <c r="L53" s="59"/>
      <c r="M53" s="73" t="e">
        <f t="shared" si="0"/>
        <v>#NUM!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13</v>
      </c>
      <c r="U53" s="12" t="s">
        <v>14</v>
      </c>
      <c r="V53" s="90" t="s">
        <v>15</v>
      </c>
      <c r="W53" s="28" t="s">
        <v>161</v>
      </c>
      <c r="X53" s="28"/>
      <c r="Y53" s="43"/>
      <c r="Z53" s="28"/>
      <c r="AA53" s="28"/>
      <c r="AB53" s="28"/>
      <c r="AC53" s="28"/>
      <c r="AD53" s="28"/>
      <c r="AE53" s="66"/>
      <c r="AF53" s="28"/>
      <c r="AG53" s="28"/>
      <c r="AH53" s="28"/>
      <c r="AI53" s="20"/>
      <c r="AJ53" s="28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 ht="15.75" customHeight="1" thickBot="1" x14ac:dyDescent="0.3">
      <c r="A54" s="1">
        <v>53</v>
      </c>
      <c r="B54" s="46"/>
      <c r="C54" s="50"/>
      <c r="D54" s="44" t="s">
        <v>75</v>
      </c>
      <c r="E54" s="10"/>
      <c r="F54" s="22" t="s">
        <v>147</v>
      </c>
      <c r="G54" s="11" t="s">
        <v>7</v>
      </c>
      <c r="H54" s="21"/>
      <c r="I54" s="59"/>
      <c r="J54" s="71"/>
      <c r="K54" s="59"/>
      <c r="L54" s="59"/>
      <c r="M54" s="73" t="e">
        <f t="shared" si="0"/>
        <v>#NUM!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13</v>
      </c>
      <c r="U54" s="12" t="s">
        <v>14</v>
      </c>
      <c r="V54" s="90" t="s">
        <v>15</v>
      </c>
      <c r="W54" s="11" t="s">
        <v>20</v>
      </c>
      <c r="X54" s="28"/>
      <c r="Y54" s="43"/>
      <c r="Z54" s="28"/>
      <c r="AA54" s="28"/>
      <c r="AB54" s="28"/>
      <c r="AC54" s="28"/>
      <c r="AD54" s="28"/>
      <c r="AE54" s="66"/>
      <c r="AF54" s="28"/>
      <c r="AG54" s="28"/>
      <c r="AH54" s="28"/>
      <c r="AI54" s="20"/>
      <c r="AJ54" s="28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 ht="15.75" customHeight="1" thickBot="1" x14ac:dyDescent="0.3">
      <c r="A55" s="1">
        <v>54</v>
      </c>
      <c r="B55" s="46"/>
      <c r="C55" s="50"/>
      <c r="D55" s="44" t="s">
        <v>76</v>
      </c>
      <c r="E55" s="10"/>
      <c r="F55" s="22" t="s">
        <v>147</v>
      </c>
      <c r="G55" s="11" t="s">
        <v>7</v>
      </c>
      <c r="H55" s="21"/>
      <c r="I55" s="59"/>
      <c r="J55" s="71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13</v>
      </c>
      <c r="U55" s="12" t="s">
        <v>14</v>
      </c>
      <c r="V55" s="90" t="s">
        <v>180</v>
      </c>
      <c r="W55" s="11" t="s">
        <v>179</v>
      </c>
      <c r="X55" s="28"/>
      <c r="Y55" s="43"/>
      <c r="Z55" s="28"/>
      <c r="AA55" s="28"/>
      <c r="AB55" s="28"/>
      <c r="AC55" s="28"/>
      <c r="AD55" s="28"/>
      <c r="AE55" s="66"/>
      <c r="AF55" s="28"/>
      <c r="AG55" s="28"/>
      <c r="AH55" s="28"/>
      <c r="AI55" s="20"/>
      <c r="AJ55" s="28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 ht="15.75" customHeight="1" thickBot="1" x14ac:dyDescent="0.3">
      <c r="A56" s="1">
        <v>55</v>
      </c>
      <c r="B56" s="46"/>
      <c r="C56" s="50"/>
      <c r="D56" s="44" t="s">
        <v>77</v>
      </c>
      <c r="E56" s="10"/>
      <c r="F56" s="22" t="s">
        <v>147</v>
      </c>
      <c r="G56" s="11" t="s">
        <v>7</v>
      </c>
      <c r="H56" s="21"/>
      <c r="I56" s="59"/>
      <c r="J56" s="59"/>
      <c r="K56" s="59"/>
      <c r="L56" s="59"/>
      <c r="M56" s="73" t="e">
        <f t="shared" si="0"/>
        <v>#NUM!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13</v>
      </c>
      <c r="U56" s="12" t="s">
        <v>14</v>
      </c>
      <c r="V56" s="90" t="s">
        <v>15</v>
      </c>
      <c r="W56" s="11"/>
      <c r="X56" s="28"/>
      <c r="Y56" s="43"/>
      <c r="Z56" s="28"/>
      <c r="AA56" s="28"/>
      <c r="AB56" s="28"/>
      <c r="AC56" s="28"/>
      <c r="AD56" s="28"/>
      <c r="AE56" s="66"/>
      <c r="AF56" s="28"/>
      <c r="AG56" s="28"/>
      <c r="AH56" s="28"/>
      <c r="AI56" s="20"/>
      <c r="AJ56" s="28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 ht="15.75" customHeight="1" thickBot="1" x14ac:dyDescent="0.3">
      <c r="A57" s="1">
        <v>56</v>
      </c>
      <c r="B57" s="52"/>
      <c r="C57" s="55"/>
      <c r="D57" s="44" t="s">
        <v>78</v>
      </c>
      <c r="E57" s="10"/>
      <c r="F57" s="22" t="s">
        <v>147</v>
      </c>
      <c r="G57" s="11" t="s">
        <v>7</v>
      </c>
      <c r="H57" s="21"/>
      <c r="I57" s="59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13</v>
      </c>
      <c r="U57" s="12" t="s">
        <v>14</v>
      </c>
      <c r="V57" s="90" t="s">
        <v>15</v>
      </c>
      <c r="W57" s="11" t="s">
        <v>181</v>
      </c>
      <c r="X57" s="28"/>
      <c r="Y57" s="43"/>
      <c r="Z57" s="28"/>
      <c r="AA57" s="28"/>
      <c r="AB57" s="28"/>
      <c r="AC57" s="28"/>
      <c r="AD57" s="28"/>
      <c r="AE57" s="66"/>
      <c r="AF57" s="28"/>
      <c r="AG57" s="28"/>
      <c r="AH57" s="28"/>
      <c r="AI57" s="20"/>
      <c r="AJ57" s="28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 ht="15.75" customHeight="1" thickBot="1" x14ac:dyDescent="0.3">
      <c r="A58" s="1">
        <v>57</v>
      </c>
      <c r="B58" s="53"/>
      <c r="C58" s="56"/>
      <c r="D58" s="44" t="s">
        <v>79</v>
      </c>
      <c r="E58" s="10"/>
      <c r="F58" s="22" t="s">
        <v>147</v>
      </c>
      <c r="G58" s="11" t="s">
        <v>7</v>
      </c>
      <c r="H58" s="21"/>
      <c r="I58" s="59"/>
      <c r="J58" s="71"/>
      <c r="K58" s="59"/>
      <c r="L58" s="59"/>
      <c r="M58" s="73" t="e">
        <f t="shared" si="0"/>
        <v>#NUM!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13</v>
      </c>
      <c r="U58" s="12" t="s">
        <v>14</v>
      </c>
      <c r="V58" s="90" t="s">
        <v>165</v>
      </c>
      <c r="W58" s="11" t="s">
        <v>179</v>
      </c>
      <c r="X58" s="28"/>
      <c r="Y58" s="43"/>
      <c r="Z58" s="28"/>
      <c r="AA58" s="28"/>
      <c r="AB58" s="28"/>
      <c r="AC58" s="28"/>
      <c r="AD58" s="28"/>
      <c r="AE58" s="66"/>
      <c r="AF58" s="28"/>
      <c r="AG58" s="28"/>
      <c r="AH58" s="28"/>
      <c r="AI58" s="20"/>
      <c r="AJ58" s="28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 ht="15.75" customHeight="1" thickBot="1" x14ac:dyDescent="0.3">
      <c r="A59" s="1">
        <v>58</v>
      </c>
      <c r="B59" s="54"/>
      <c r="C59" s="57"/>
      <c r="D59" s="44" t="s">
        <v>80</v>
      </c>
      <c r="E59" s="10"/>
      <c r="F59" s="22" t="s">
        <v>147</v>
      </c>
      <c r="G59" s="11" t="s">
        <v>7</v>
      </c>
      <c r="H59" s="21"/>
      <c r="I59" s="59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13</v>
      </c>
      <c r="U59" s="12" t="s">
        <v>14</v>
      </c>
      <c r="V59" s="90" t="s">
        <v>165</v>
      </c>
      <c r="W59" s="28" t="s">
        <v>179</v>
      </c>
      <c r="X59" s="28"/>
      <c r="Y59" s="43"/>
      <c r="Z59" s="28"/>
      <c r="AA59" s="28"/>
      <c r="AB59" s="28"/>
      <c r="AC59" s="28"/>
      <c r="AD59" s="28"/>
      <c r="AE59" s="66"/>
      <c r="AF59" s="28"/>
      <c r="AG59" s="28"/>
      <c r="AH59" s="28"/>
      <c r="AI59" s="20"/>
      <c r="AJ59" s="28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1:47" ht="17.25" customHeight="1" thickBot="1" x14ac:dyDescent="0.3">
      <c r="A60" s="1">
        <v>59</v>
      </c>
      <c r="B60" s="52"/>
      <c r="C60" s="55"/>
      <c r="D60" s="44" t="s">
        <v>81</v>
      </c>
      <c r="E60" s="10"/>
      <c r="F60" s="22" t="s">
        <v>147</v>
      </c>
      <c r="G60" s="11" t="s">
        <v>7</v>
      </c>
      <c r="H60" s="21"/>
      <c r="I60" s="59"/>
      <c r="J60" s="59"/>
      <c r="K60" s="59"/>
      <c r="L60" s="59"/>
      <c r="M60" s="73" t="e">
        <f t="shared" si="0"/>
        <v>#NUM!</v>
      </c>
      <c r="N60" s="23" t="e">
        <f t="shared" si="2"/>
        <v>#NUM!</v>
      </c>
      <c r="O60" s="73" t="e">
        <f t="shared" si="1"/>
        <v>#NUM!</v>
      </c>
      <c r="P60" s="59"/>
      <c r="Q60" s="59"/>
      <c r="R60" s="59"/>
      <c r="S60" s="59"/>
      <c r="T60" s="12" t="s">
        <v>13</v>
      </c>
      <c r="U60" s="12" t="s">
        <v>14</v>
      </c>
      <c r="V60" s="90" t="s">
        <v>15</v>
      </c>
      <c r="W60" s="11" t="s">
        <v>161</v>
      </c>
      <c r="X60" s="28"/>
      <c r="Y60" s="43"/>
      <c r="Z60" s="28"/>
      <c r="AA60" s="28"/>
      <c r="AB60" s="28"/>
      <c r="AC60" s="28"/>
      <c r="AD60" s="28"/>
      <c r="AE60" s="66"/>
      <c r="AF60" s="28"/>
      <c r="AG60" s="28"/>
      <c r="AH60" s="28"/>
      <c r="AI60" s="20"/>
      <c r="AJ60" s="28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 ht="15.75" customHeight="1" thickBot="1" x14ac:dyDescent="0.3">
      <c r="A61" s="1">
        <v>60</v>
      </c>
      <c r="B61" s="54"/>
      <c r="C61" s="57"/>
      <c r="D61" s="44" t="s">
        <v>82</v>
      </c>
      <c r="E61" s="10"/>
      <c r="F61" s="22" t="s">
        <v>147</v>
      </c>
      <c r="G61" s="11" t="s">
        <v>7</v>
      </c>
      <c r="H61" s="21"/>
      <c r="I61" s="59"/>
      <c r="J61" s="71"/>
      <c r="K61" s="59"/>
      <c r="L61" s="59"/>
      <c r="M61" s="73" t="e">
        <f t="shared" si="0"/>
        <v>#NUM!</v>
      </c>
      <c r="N61" s="23" t="e">
        <f t="shared" si="2"/>
        <v>#NUM!</v>
      </c>
      <c r="O61" s="73" t="e">
        <f t="shared" si="1"/>
        <v>#NUM!</v>
      </c>
      <c r="P61" s="59"/>
      <c r="Q61" s="59"/>
      <c r="R61" s="59"/>
      <c r="S61" s="59"/>
      <c r="T61" s="12" t="s">
        <v>13</v>
      </c>
      <c r="U61" s="12" t="s">
        <v>14</v>
      </c>
      <c r="V61" s="90" t="s">
        <v>165</v>
      </c>
      <c r="W61" s="28" t="s">
        <v>179</v>
      </c>
      <c r="X61" s="28"/>
      <c r="Y61" s="43"/>
      <c r="Z61" s="28"/>
      <c r="AA61" s="28"/>
      <c r="AB61" s="28"/>
      <c r="AC61" s="28"/>
      <c r="AD61" s="28"/>
      <c r="AE61" s="66"/>
      <c r="AF61" s="28"/>
      <c r="AG61" s="28"/>
      <c r="AH61" s="28"/>
      <c r="AI61" s="20"/>
      <c r="AJ61" s="28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 ht="15.75" customHeight="1" thickBot="1" x14ac:dyDescent="0.3">
      <c r="A62" s="1">
        <v>61</v>
      </c>
      <c r="B62" s="54"/>
      <c r="C62" s="57"/>
      <c r="D62" s="44" t="s">
        <v>83</v>
      </c>
      <c r="E62" s="10"/>
      <c r="F62" s="22" t="s">
        <v>147</v>
      </c>
      <c r="G62" s="11" t="s">
        <v>7</v>
      </c>
      <c r="H62" s="21"/>
      <c r="I62" s="59"/>
      <c r="J62" s="71"/>
      <c r="K62" s="59"/>
      <c r="L62" s="59"/>
      <c r="M62" s="73" t="e">
        <f t="shared" si="0"/>
        <v>#NUM!</v>
      </c>
      <c r="N62" s="23" t="e">
        <f t="shared" si="2"/>
        <v>#NUM!</v>
      </c>
      <c r="O62" s="73" t="e">
        <f t="shared" si="1"/>
        <v>#NUM!</v>
      </c>
      <c r="P62" s="59"/>
      <c r="Q62" s="59"/>
      <c r="R62" s="59"/>
      <c r="S62" s="59"/>
      <c r="T62" s="12" t="s">
        <v>13</v>
      </c>
      <c r="U62" s="12" t="s">
        <v>14</v>
      </c>
      <c r="V62" s="90" t="s">
        <v>165</v>
      </c>
      <c r="W62" s="28" t="s">
        <v>179</v>
      </c>
      <c r="X62" s="28"/>
      <c r="Y62" s="43"/>
      <c r="Z62" s="28"/>
      <c r="AA62" s="28"/>
      <c r="AB62" s="28"/>
      <c r="AC62" s="28"/>
      <c r="AD62" s="28"/>
      <c r="AE62" s="66"/>
      <c r="AF62" s="28"/>
      <c r="AG62" s="28"/>
      <c r="AH62" s="28"/>
      <c r="AI62" s="20"/>
      <c r="AJ62" s="28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 ht="15.75" customHeight="1" thickBot="1" x14ac:dyDescent="0.3">
      <c r="A63" s="1">
        <v>62</v>
      </c>
      <c r="B63" s="54"/>
      <c r="C63" s="57"/>
      <c r="D63" s="44" t="s">
        <v>84</v>
      </c>
      <c r="E63" s="10"/>
      <c r="F63" s="22" t="s">
        <v>147</v>
      </c>
      <c r="G63" s="11" t="s">
        <v>7</v>
      </c>
      <c r="H63" s="24"/>
      <c r="I63" s="59"/>
      <c r="J63" s="71"/>
      <c r="K63" s="59"/>
      <c r="L63" s="59"/>
      <c r="M63" s="73" t="e">
        <f t="shared" si="0"/>
        <v>#NUM!</v>
      </c>
      <c r="N63" s="23" t="e">
        <f t="shared" si="2"/>
        <v>#NUM!</v>
      </c>
      <c r="O63" s="73" t="e">
        <f t="shared" si="1"/>
        <v>#NUM!</v>
      </c>
      <c r="P63" s="59"/>
      <c r="Q63" s="59"/>
      <c r="R63" s="59"/>
      <c r="S63" s="59"/>
      <c r="T63" s="12" t="s">
        <v>13</v>
      </c>
      <c r="U63" s="12" t="s">
        <v>14</v>
      </c>
      <c r="V63" s="90" t="s">
        <v>15</v>
      </c>
      <c r="W63" s="28" t="s">
        <v>161</v>
      </c>
      <c r="X63" s="28"/>
      <c r="Y63" s="43"/>
      <c r="Z63" s="28"/>
      <c r="AA63" s="28"/>
      <c r="AB63" s="15"/>
      <c r="AC63" s="28"/>
      <c r="AD63" s="15"/>
      <c r="AE63" s="68"/>
      <c r="AF63" s="28"/>
      <c r="AG63" s="15"/>
      <c r="AH63" s="28"/>
      <c r="AI63" s="81"/>
      <c r="AJ63" s="28"/>
      <c r="AK63" s="86"/>
      <c r="AL63" s="86"/>
      <c r="AM63" s="16"/>
      <c r="AN63" s="86"/>
      <c r="AO63" s="16"/>
      <c r="AP63" s="86"/>
      <c r="AQ63" s="86"/>
      <c r="AR63" s="16"/>
      <c r="AS63" s="86"/>
      <c r="AT63" s="16"/>
      <c r="AU63" s="86"/>
    </row>
    <row r="64" spans="1:47" ht="15.75" customHeight="1" thickBot="1" x14ac:dyDescent="0.3">
      <c r="A64" s="1">
        <v>63</v>
      </c>
      <c r="B64" s="54"/>
      <c r="C64" s="57"/>
      <c r="D64" s="44" t="s">
        <v>85</v>
      </c>
      <c r="E64" s="10"/>
      <c r="F64" s="22" t="s">
        <v>147</v>
      </c>
      <c r="G64" s="11" t="s">
        <v>7</v>
      </c>
      <c r="H64" s="21"/>
      <c r="I64" s="59"/>
      <c r="J64" s="71"/>
      <c r="K64" s="59"/>
      <c r="L64" s="59"/>
      <c r="M64" s="73" t="e">
        <f t="shared" si="0"/>
        <v>#NUM!</v>
      </c>
      <c r="N64" s="23" t="e">
        <f t="shared" si="2"/>
        <v>#NUM!</v>
      </c>
      <c r="O64" s="73" t="e">
        <f t="shared" si="1"/>
        <v>#NUM!</v>
      </c>
      <c r="P64" s="59"/>
      <c r="Q64" s="59"/>
      <c r="R64" s="59"/>
      <c r="S64" s="59"/>
      <c r="T64" s="12" t="s">
        <v>13</v>
      </c>
      <c r="U64" s="12" t="s">
        <v>14</v>
      </c>
      <c r="V64" s="90" t="s">
        <v>21</v>
      </c>
      <c r="W64" s="28" t="s">
        <v>22</v>
      </c>
      <c r="X64" s="28"/>
      <c r="Y64" s="43"/>
      <c r="Z64" s="28"/>
      <c r="AA64" s="28"/>
      <c r="AB64" s="65"/>
      <c r="AC64" s="65"/>
      <c r="AD64" s="65"/>
      <c r="AE64" s="67"/>
      <c r="AF64" s="65"/>
      <c r="AG64" s="65"/>
      <c r="AH64" s="65"/>
      <c r="AI64" s="82"/>
      <c r="AJ64" s="65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</row>
    <row r="65" spans="1:47" ht="15.75" customHeight="1" thickBot="1" x14ac:dyDescent="0.3">
      <c r="A65" s="1">
        <v>64</v>
      </c>
      <c r="B65" s="54"/>
      <c r="C65" s="57"/>
      <c r="D65" s="44" t="s">
        <v>86</v>
      </c>
      <c r="E65" s="10"/>
      <c r="F65" s="22" t="s">
        <v>147</v>
      </c>
      <c r="G65" s="11" t="s">
        <v>7</v>
      </c>
      <c r="H65" s="21"/>
      <c r="I65" s="59"/>
      <c r="J65" s="71"/>
      <c r="K65" s="59"/>
      <c r="L65" s="59"/>
      <c r="M65" s="73" t="e">
        <f t="shared" si="0"/>
        <v>#NUM!</v>
      </c>
      <c r="N65" s="23" t="e">
        <f t="shared" si="2"/>
        <v>#NUM!</v>
      </c>
      <c r="O65" s="73" t="e">
        <f t="shared" si="1"/>
        <v>#NUM!</v>
      </c>
      <c r="P65" s="59"/>
      <c r="Q65" s="59"/>
      <c r="R65" s="59"/>
      <c r="S65" s="59"/>
      <c r="T65" s="12" t="s">
        <v>13</v>
      </c>
      <c r="U65" s="12" t="s">
        <v>14</v>
      </c>
      <c r="V65" s="90" t="s">
        <v>164</v>
      </c>
      <c r="W65" s="28" t="s">
        <v>179</v>
      </c>
      <c r="X65" s="28"/>
      <c r="Y65" s="43"/>
      <c r="Z65" s="28"/>
      <c r="AA65" s="28"/>
      <c r="AB65" s="28"/>
      <c r="AC65" s="65"/>
      <c r="AD65" s="28"/>
      <c r="AE65" s="66"/>
      <c r="AF65" s="65"/>
      <c r="AG65" s="28"/>
      <c r="AH65" s="65"/>
      <c r="AI65" s="20"/>
      <c r="AJ65" s="65"/>
      <c r="AK65" s="16"/>
      <c r="AL65" s="16"/>
      <c r="AM65" s="29"/>
      <c r="AN65" s="16"/>
      <c r="AO65" s="29"/>
      <c r="AP65" s="16"/>
      <c r="AQ65" s="16"/>
      <c r="AR65" s="29"/>
      <c r="AS65" s="16"/>
      <c r="AT65" s="29"/>
      <c r="AU65" s="16"/>
    </row>
    <row r="66" spans="1:47" ht="15.75" customHeight="1" thickBot="1" x14ac:dyDescent="0.3">
      <c r="A66" s="1">
        <v>65</v>
      </c>
      <c r="B66" s="54"/>
      <c r="C66" s="57"/>
      <c r="D66" s="44" t="s">
        <v>87</v>
      </c>
      <c r="E66" s="10"/>
      <c r="F66" s="22" t="s">
        <v>147</v>
      </c>
      <c r="G66" s="11" t="s">
        <v>7</v>
      </c>
      <c r="H66" s="21"/>
      <c r="I66" s="59"/>
      <c r="J66" s="59"/>
      <c r="K66" s="59"/>
      <c r="L66" s="59"/>
      <c r="M66" s="73" t="e">
        <f t="shared" si="0"/>
        <v>#NUM!</v>
      </c>
      <c r="N66" s="23" t="e">
        <f t="shared" si="2"/>
        <v>#NUM!</v>
      </c>
      <c r="O66" s="73" t="e">
        <f t="shared" si="1"/>
        <v>#NUM!</v>
      </c>
      <c r="P66" s="59"/>
      <c r="Q66" s="59"/>
      <c r="R66" s="59"/>
      <c r="S66" s="59"/>
      <c r="T66" s="12" t="s">
        <v>13</v>
      </c>
      <c r="U66" s="12" t="s">
        <v>14</v>
      </c>
      <c r="V66" s="90" t="s">
        <v>15</v>
      </c>
      <c r="W66" s="28" t="s">
        <v>192</v>
      </c>
      <c r="X66" s="28"/>
      <c r="Y66" s="43"/>
      <c r="Z66" s="28"/>
      <c r="AA66" s="28"/>
      <c r="AB66" s="28"/>
      <c r="AC66" s="65"/>
      <c r="AD66" s="28"/>
      <c r="AE66" s="66"/>
      <c r="AF66" s="65"/>
      <c r="AG66" s="28"/>
      <c r="AH66" s="65"/>
      <c r="AI66" s="20"/>
      <c r="AJ66" s="65"/>
      <c r="AK66" s="16"/>
      <c r="AL66" s="16"/>
      <c r="AM66" s="29"/>
      <c r="AN66" s="16"/>
      <c r="AO66" s="29"/>
      <c r="AP66" s="16"/>
      <c r="AQ66" s="16"/>
      <c r="AR66" s="29"/>
      <c r="AS66" s="16"/>
      <c r="AT66" s="29"/>
      <c r="AU66" s="16"/>
    </row>
    <row r="67" spans="1:47" ht="15.75" customHeight="1" thickBot="1" x14ac:dyDescent="0.3">
      <c r="A67" s="1">
        <v>66</v>
      </c>
      <c r="B67" s="54"/>
      <c r="C67" s="57"/>
      <c r="D67" s="44" t="s">
        <v>88</v>
      </c>
      <c r="E67" s="10"/>
      <c r="F67" s="22" t="s">
        <v>147</v>
      </c>
      <c r="G67" s="11" t="s">
        <v>7</v>
      </c>
      <c r="H67" s="21"/>
      <c r="I67" s="59"/>
      <c r="J67" s="59"/>
      <c r="K67" s="59"/>
      <c r="L67" s="59"/>
      <c r="M67" s="73" t="e">
        <f t="shared" ref="M67:M89" si="3">DATE(L67,J67,I67)</f>
        <v>#NUM!</v>
      </c>
      <c r="N67" s="23" t="e">
        <f t="shared" si="2"/>
        <v>#NUM!</v>
      </c>
      <c r="O67" s="73" t="e">
        <f t="shared" ref="O67:O89" si="4">DATE(S67,Q67,P67)</f>
        <v>#NUM!</v>
      </c>
      <c r="P67" s="59"/>
      <c r="Q67" s="59"/>
      <c r="R67" s="59"/>
      <c r="S67" s="59"/>
      <c r="T67" s="12" t="s">
        <v>13</v>
      </c>
      <c r="U67" s="12" t="s">
        <v>14</v>
      </c>
      <c r="V67" s="90" t="s">
        <v>15</v>
      </c>
      <c r="W67" s="28" t="s">
        <v>195</v>
      </c>
      <c r="X67" s="28"/>
      <c r="Y67" s="43"/>
      <c r="Z67" s="28"/>
      <c r="AA67" s="28"/>
      <c r="AB67" s="28"/>
      <c r="AC67" s="65"/>
      <c r="AD67" s="28"/>
      <c r="AE67" s="66"/>
      <c r="AF67" s="65"/>
      <c r="AG67" s="28"/>
      <c r="AH67" s="65"/>
      <c r="AI67" s="20"/>
      <c r="AJ67" s="65"/>
      <c r="AK67" s="16"/>
      <c r="AL67" s="16"/>
      <c r="AM67" s="29"/>
      <c r="AN67" s="16"/>
      <c r="AO67" s="29"/>
      <c r="AP67" s="16"/>
      <c r="AQ67" s="16"/>
      <c r="AR67" s="29"/>
      <c r="AS67" s="16"/>
      <c r="AT67" s="29"/>
      <c r="AU67" s="16"/>
    </row>
    <row r="68" spans="1:47" ht="15.75" customHeight="1" thickBot="1" x14ac:dyDescent="0.3">
      <c r="A68" s="1">
        <v>67</v>
      </c>
      <c r="B68" s="54"/>
      <c r="C68" s="57"/>
      <c r="D68" s="44" t="s">
        <v>89</v>
      </c>
      <c r="E68" s="10"/>
      <c r="F68" s="22" t="s">
        <v>147</v>
      </c>
      <c r="G68" s="11" t="s">
        <v>7</v>
      </c>
      <c r="H68" s="21"/>
      <c r="I68" s="59"/>
      <c r="J68" s="71"/>
      <c r="K68" s="59"/>
      <c r="L68" s="71"/>
      <c r="M68" s="73" t="e">
        <f t="shared" si="3"/>
        <v>#NUM!</v>
      </c>
      <c r="N68" s="23" t="e">
        <f t="shared" ref="N68:N89" si="5">DATEDIF(M68,O68,"m")</f>
        <v>#NUM!</v>
      </c>
      <c r="O68" s="73" t="e">
        <f t="shared" si="4"/>
        <v>#NUM!</v>
      </c>
      <c r="P68" s="59"/>
      <c r="Q68" s="59"/>
      <c r="R68" s="59"/>
      <c r="S68" s="59"/>
      <c r="T68" s="12" t="s">
        <v>13</v>
      </c>
      <c r="U68" s="12" t="s">
        <v>14</v>
      </c>
      <c r="V68" s="90" t="s">
        <v>15</v>
      </c>
      <c r="W68" s="11" t="s">
        <v>182</v>
      </c>
      <c r="X68" s="28"/>
      <c r="Y68" s="43"/>
      <c r="Z68" s="28"/>
      <c r="AA68" s="28"/>
      <c r="AB68" s="15"/>
      <c r="AC68" s="15"/>
      <c r="AD68" s="15"/>
      <c r="AE68" s="68"/>
      <c r="AF68" s="15"/>
      <c r="AG68" s="15"/>
      <c r="AH68" s="15"/>
      <c r="AI68" s="81"/>
      <c r="AJ68" s="15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</row>
    <row r="69" spans="1:47" ht="15.75" customHeight="1" thickBot="1" x14ac:dyDescent="0.3">
      <c r="A69" s="1">
        <v>68</v>
      </c>
      <c r="B69" s="54"/>
      <c r="C69" s="57"/>
      <c r="D69" s="44" t="s">
        <v>90</v>
      </c>
      <c r="E69" s="10"/>
      <c r="F69" s="22" t="s">
        <v>147</v>
      </c>
      <c r="G69" s="11" t="s">
        <v>7</v>
      </c>
      <c r="H69" s="21"/>
      <c r="I69" s="59"/>
      <c r="J69" s="59"/>
      <c r="K69" s="59"/>
      <c r="L69" s="59"/>
      <c r="M69" s="73" t="e">
        <f t="shared" si="3"/>
        <v>#NUM!</v>
      </c>
      <c r="N69" s="23" t="e">
        <f t="shared" si="5"/>
        <v>#NUM!</v>
      </c>
      <c r="O69" s="73" t="e">
        <f t="shared" si="4"/>
        <v>#NUM!</v>
      </c>
      <c r="P69" s="59"/>
      <c r="Q69" s="59"/>
      <c r="R69" s="59"/>
      <c r="S69" s="59"/>
      <c r="T69" s="12" t="s">
        <v>13</v>
      </c>
      <c r="U69" s="12" t="s">
        <v>14</v>
      </c>
      <c r="V69" s="90" t="s">
        <v>15</v>
      </c>
      <c r="W69" s="28"/>
      <c r="X69" s="28"/>
      <c r="Y69" s="43"/>
      <c r="Z69" s="28"/>
      <c r="AA69" s="28"/>
      <c r="AB69" s="15"/>
      <c r="AC69" s="15"/>
      <c r="AD69" s="15"/>
      <c r="AE69" s="68"/>
      <c r="AF69" s="15"/>
      <c r="AG69" s="15"/>
      <c r="AH69" s="15"/>
      <c r="AI69" s="81"/>
      <c r="AJ69" s="15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</row>
    <row r="70" spans="1:47" ht="15.75" customHeight="1" thickBot="1" x14ac:dyDescent="0.3">
      <c r="A70" s="1">
        <v>69</v>
      </c>
      <c r="B70" s="54"/>
      <c r="C70" s="57"/>
      <c r="D70" s="44" t="s">
        <v>91</v>
      </c>
      <c r="E70" s="10"/>
      <c r="F70" s="22" t="s">
        <v>147</v>
      </c>
      <c r="G70" s="11" t="s">
        <v>7</v>
      </c>
      <c r="H70" s="21"/>
      <c r="I70" s="59"/>
      <c r="J70" s="59"/>
      <c r="K70" s="59"/>
      <c r="L70" s="59"/>
      <c r="M70" s="73" t="e">
        <f t="shared" si="3"/>
        <v>#NUM!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13</v>
      </c>
      <c r="U70" s="12" t="s">
        <v>14</v>
      </c>
      <c r="V70" s="90" t="s">
        <v>15</v>
      </c>
      <c r="W70" s="28"/>
      <c r="X70" s="28"/>
      <c r="Y70" s="43"/>
      <c r="Z70" s="28"/>
      <c r="AA70" s="28"/>
      <c r="AB70" s="15"/>
      <c r="AC70" s="15"/>
      <c r="AD70" s="15"/>
      <c r="AE70" s="68"/>
      <c r="AF70" s="15"/>
      <c r="AG70" s="15"/>
      <c r="AH70" s="15"/>
      <c r="AI70" s="81"/>
      <c r="AJ70" s="15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</row>
    <row r="71" spans="1:47" ht="15.75" customHeight="1" thickBot="1" x14ac:dyDescent="0.3">
      <c r="A71" s="1">
        <v>70</v>
      </c>
      <c r="B71" s="54"/>
      <c r="C71" s="57"/>
      <c r="D71" s="44" t="s">
        <v>92</v>
      </c>
      <c r="E71" s="10"/>
      <c r="F71" s="22" t="s">
        <v>147</v>
      </c>
      <c r="G71" s="11" t="s">
        <v>7</v>
      </c>
      <c r="H71" s="21"/>
      <c r="I71" s="59"/>
      <c r="J71" s="59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13</v>
      </c>
      <c r="U71" s="12" t="s">
        <v>14</v>
      </c>
      <c r="V71" s="90" t="s">
        <v>15</v>
      </c>
      <c r="W71" s="11"/>
      <c r="X71" s="28"/>
      <c r="Y71" s="43"/>
      <c r="Z71" s="28"/>
      <c r="AA71" s="28"/>
      <c r="AB71" s="65"/>
      <c r="AC71" s="65"/>
      <c r="AD71" s="65"/>
      <c r="AE71" s="67"/>
      <c r="AF71" s="65"/>
      <c r="AG71" s="65"/>
      <c r="AH71" s="65"/>
      <c r="AI71" s="82"/>
      <c r="AJ71" s="65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</row>
    <row r="72" spans="1:47" ht="15.75" customHeight="1" thickBot="1" x14ac:dyDescent="0.3">
      <c r="A72" s="1">
        <v>71</v>
      </c>
      <c r="B72" s="54"/>
      <c r="C72" s="57"/>
      <c r="D72" s="44" t="s">
        <v>93</v>
      </c>
      <c r="E72" s="10"/>
      <c r="F72" s="22" t="s">
        <v>147</v>
      </c>
      <c r="G72" s="11" t="s">
        <v>7</v>
      </c>
      <c r="H72" s="21"/>
      <c r="I72" s="59"/>
      <c r="J72" s="71"/>
      <c r="K72" s="59"/>
      <c r="L72" s="59"/>
      <c r="M72" s="73" t="e">
        <f t="shared" si="3"/>
        <v>#NUM!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13</v>
      </c>
      <c r="U72" s="12" t="s">
        <v>14</v>
      </c>
      <c r="V72" s="90" t="s">
        <v>15</v>
      </c>
      <c r="W72" s="11" t="s">
        <v>182</v>
      </c>
      <c r="X72" s="28"/>
      <c r="Y72" s="43"/>
      <c r="Z72" s="28"/>
      <c r="AA72" s="28"/>
      <c r="AB72" s="15"/>
      <c r="AC72" s="15"/>
      <c r="AD72" s="15"/>
      <c r="AE72" s="68"/>
      <c r="AF72" s="15"/>
      <c r="AG72" s="15"/>
      <c r="AH72" s="15"/>
      <c r="AI72" s="81"/>
      <c r="AJ72" s="15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</row>
    <row r="73" spans="1:47" ht="15.75" customHeight="1" thickBot="1" x14ac:dyDescent="0.3">
      <c r="A73" s="1">
        <v>72</v>
      </c>
      <c r="B73" s="54"/>
      <c r="C73" s="57"/>
      <c r="D73" s="44" t="s">
        <v>94</v>
      </c>
      <c r="E73" s="10"/>
      <c r="F73" s="22" t="s">
        <v>147</v>
      </c>
      <c r="G73" s="11" t="s">
        <v>7</v>
      </c>
      <c r="H73" s="23"/>
      <c r="I73" s="59"/>
      <c r="J73" s="71"/>
      <c r="K73" s="59"/>
      <c r="L73" s="59"/>
      <c r="M73" s="73" t="e">
        <f t="shared" si="3"/>
        <v>#NUM!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13</v>
      </c>
      <c r="U73" s="12" t="s">
        <v>14</v>
      </c>
      <c r="V73" s="90" t="s">
        <v>164</v>
      </c>
      <c r="W73" s="11" t="s">
        <v>179</v>
      </c>
      <c r="X73" s="28"/>
      <c r="Y73" s="43"/>
      <c r="Z73" s="28"/>
      <c r="AA73" s="28"/>
      <c r="AB73" s="15"/>
      <c r="AC73" s="15"/>
      <c r="AD73" s="15"/>
      <c r="AE73" s="68"/>
      <c r="AF73" s="15"/>
      <c r="AG73" s="15"/>
      <c r="AH73" s="15"/>
      <c r="AI73" s="81"/>
      <c r="AJ73" s="15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</row>
    <row r="74" spans="1:47" ht="15.75" customHeight="1" thickBot="1" x14ac:dyDescent="0.3">
      <c r="A74" s="1">
        <v>73</v>
      </c>
      <c r="B74" s="54"/>
      <c r="C74" s="57"/>
      <c r="D74" s="44" t="s">
        <v>95</v>
      </c>
      <c r="E74" s="10"/>
      <c r="F74" s="22" t="s">
        <v>147</v>
      </c>
      <c r="G74" s="11" t="s">
        <v>7</v>
      </c>
      <c r="H74" s="23"/>
      <c r="I74" s="59"/>
      <c r="J74" s="71"/>
      <c r="K74" s="59"/>
      <c r="L74" s="59"/>
      <c r="M74" s="73" t="e">
        <f t="shared" si="3"/>
        <v>#NUM!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13</v>
      </c>
      <c r="U74" s="12" t="s">
        <v>14</v>
      </c>
      <c r="V74" s="90" t="s">
        <v>15</v>
      </c>
      <c r="W74" s="11" t="s">
        <v>175</v>
      </c>
      <c r="X74" s="28"/>
      <c r="Y74" s="43"/>
      <c r="Z74" s="28"/>
      <c r="AA74" s="28"/>
      <c r="AB74" s="15"/>
      <c r="AC74" s="15"/>
      <c r="AD74" s="15"/>
      <c r="AE74" s="68"/>
      <c r="AF74" s="15"/>
      <c r="AG74" s="15"/>
      <c r="AH74" s="15"/>
      <c r="AI74" s="81"/>
      <c r="AJ74" s="15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</row>
    <row r="75" spans="1:47" ht="15.75" customHeight="1" thickBot="1" x14ac:dyDescent="0.3">
      <c r="A75" s="1">
        <v>74</v>
      </c>
      <c r="B75" s="54"/>
      <c r="C75" s="57"/>
      <c r="D75" s="44" t="s">
        <v>96</v>
      </c>
      <c r="E75" s="10"/>
      <c r="F75" s="22" t="s">
        <v>147</v>
      </c>
      <c r="G75" s="11" t="s">
        <v>7</v>
      </c>
      <c r="H75" s="23"/>
      <c r="I75" s="59"/>
      <c r="J75" s="71"/>
      <c r="K75" s="59"/>
      <c r="L75" s="59"/>
      <c r="M75" s="73" t="e">
        <f t="shared" si="3"/>
        <v>#NUM!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13</v>
      </c>
      <c r="U75" s="12" t="s">
        <v>14</v>
      </c>
      <c r="V75" s="90" t="s">
        <v>21</v>
      </c>
      <c r="W75" s="11" t="s">
        <v>22</v>
      </c>
      <c r="X75" s="28"/>
      <c r="Y75" s="43"/>
      <c r="Z75" s="28"/>
      <c r="AA75" s="28"/>
      <c r="AB75" s="15"/>
      <c r="AC75" s="15"/>
      <c r="AD75" s="15"/>
      <c r="AE75" s="68"/>
      <c r="AF75" s="15"/>
      <c r="AG75" s="15"/>
      <c r="AH75" s="15"/>
      <c r="AI75" s="81"/>
      <c r="AJ75" s="15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</row>
    <row r="76" spans="1:47" ht="15.75" customHeight="1" thickBot="1" x14ac:dyDescent="0.3">
      <c r="A76" s="1">
        <v>75</v>
      </c>
      <c r="B76" s="54"/>
      <c r="C76" s="57"/>
      <c r="D76" s="44" t="s">
        <v>97</v>
      </c>
      <c r="E76" s="10"/>
      <c r="F76" s="22" t="s">
        <v>147</v>
      </c>
      <c r="G76" s="11" t="s">
        <v>7</v>
      </c>
      <c r="H76" s="21"/>
      <c r="I76" s="59"/>
      <c r="J76" s="71"/>
      <c r="K76" s="59"/>
      <c r="L76" s="59"/>
      <c r="M76" s="73" t="e">
        <f t="shared" si="3"/>
        <v>#NUM!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13</v>
      </c>
      <c r="U76" s="12" t="s">
        <v>14</v>
      </c>
      <c r="V76" s="90" t="s">
        <v>165</v>
      </c>
      <c r="W76" s="28" t="s">
        <v>179</v>
      </c>
      <c r="X76" s="28"/>
      <c r="Y76" s="43"/>
      <c r="Z76" s="28"/>
      <c r="AA76" s="28"/>
      <c r="AB76" s="15"/>
      <c r="AC76" s="15"/>
      <c r="AD76" s="15"/>
      <c r="AE76" s="68"/>
      <c r="AF76" s="15"/>
      <c r="AG76" s="15"/>
      <c r="AH76" s="15"/>
      <c r="AI76" s="81"/>
      <c r="AJ76" s="15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</row>
    <row r="77" spans="1:47" ht="15.75" customHeight="1" thickBot="1" x14ac:dyDescent="0.3">
      <c r="A77" s="1">
        <v>76</v>
      </c>
      <c r="B77" s="54"/>
      <c r="C77" s="57"/>
      <c r="D77" s="44" t="s">
        <v>98</v>
      </c>
      <c r="E77" s="10"/>
      <c r="F77" s="22" t="s">
        <v>147</v>
      </c>
      <c r="G77" s="11" t="s">
        <v>7</v>
      </c>
      <c r="H77" s="21"/>
      <c r="I77" s="59"/>
      <c r="J77" s="71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13</v>
      </c>
      <c r="U77" s="12" t="s">
        <v>14</v>
      </c>
      <c r="V77" s="90" t="s">
        <v>15</v>
      </c>
      <c r="W77" s="28" t="s">
        <v>183</v>
      </c>
      <c r="X77" s="28"/>
      <c r="Y77" s="43"/>
      <c r="Z77" s="28"/>
      <c r="AA77" s="28"/>
      <c r="AB77" s="15"/>
      <c r="AC77" s="15"/>
      <c r="AD77" s="15"/>
      <c r="AE77" s="68"/>
      <c r="AF77" s="15"/>
      <c r="AG77" s="15"/>
      <c r="AH77" s="15"/>
      <c r="AI77" s="81"/>
      <c r="AJ77" s="15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</row>
    <row r="78" spans="1:47" ht="15.75" customHeight="1" thickBot="1" x14ac:dyDescent="0.3">
      <c r="A78" s="1">
        <v>77</v>
      </c>
      <c r="B78" s="54"/>
      <c r="C78" s="57"/>
      <c r="D78" s="44" t="s">
        <v>99</v>
      </c>
      <c r="E78" s="10"/>
      <c r="F78" s="22" t="s">
        <v>147</v>
      </c>
      <c r="G78" s="11" t="s">
        <v>7</v>
      </c>
      <c r="H78" s="21"/>
      <c r="I78" s="59"/>
      <c r="J78" s="71"/>
      <c r="K78" s="59"/>
      <c r="L78" s="59"/>
      <c r="M78" s="73" t="e">
        <f t="shared" si="3"/>
        <v>#NUM!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13</v>
      </c>
      <c r="U78" s="12" t="s">
        <v>14</v>
      </c>
      <c r="V78" s="90" t="s">
        <v>164</v>
      </c>
      <c r="W78" s="28" t="s">
        <v>179</v>
      </c>
      <c r="X78" s="28"/>
      <c r="Y78" s="43"/>
      <c r="Z78" s="28"/>
      <c r="AA78" s="28"/>
      <c r="AB78" s="15"/>
      <c r="AC78" s="15"/>
      <c r="AD78" s="15"/>
      <c r="AE78" s="68"/>
      <c r="AF78" s="15"/>
      <c r="AG78" s="15"/>
      <c r="AH78" s="15"/>
      <c r="AI78" s="81"/>
      <c r="AJ78" s="15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</row>
    <row r="79" spans="1:47" ht="15.75" customHeight="1" thickBot="1" x14ac:dyDescent="0.3">
      <c r="A79" s="1">
        <v>78</v>
      </c>
      <c r="B79" s="54"/>
      <c r="C79" s="57"/>
      <c r="D79" s="44" t="s">
        <v>100</v>
      </c>
      <c r="E79" s="10"/>
      <c r="F79" s="22" t="s">
        <v>147</v>
      </c>
      <c r="G79" s="11" t="s">
        <v>7</v>
      </c>
      <c r="H79" s="21"/>
      <c r="I79" s="59"/>
      <c r="J79" s="71"/>
      <c r="K79" s="59"/>
      <c r="L79" s="59"/>
      <c r="M79" s="73" t="e">
        <f t="shared" si="3"/>
        <v>#NUM!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13</v>
      </c>
      <c r="U79" s="12" t="s">
        <v>14</v>
      </c>
      <c r="V79" s="90" t="s">
        <v>15</v>
      </c>
      <c r="W79" s="28" t="s">
        <v>184</v>
      </c>
      <c r="X79" s="28"/>
      <c r="Y79" s="43"/>
      <c r="Z79" s="28"/>
      <c r="AA79" s="28"/>
      <c r="AB79" s="15"/>
      <c r="AC79" s="15"/>
      <c r="AD79" s="15"/>
      <c r="AE79" s="68"/>
      <c r="AF79" s="15"/>
      <c r="AG79" s="15"/>
      <c r="AH79" s="15"/>
      <c r="AI79" s="81"/>
      <c r="AJ79" s="15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</row>
    <row r="80" spans="1:47" ht="15.75" customHeight="1" thickBot="1" x14ac:dyDescent="0.3">
      <c r="A80" s="1">
        <v>79</v>
      </c>
      <c r="B80" s="54"/>
      <c r="C80" s="57"/>
      <c r="D80" s="44" t="s">
        <v>101</v>
      </c>
      <c r="E80" s="10"/>
      <c r="F80" s="22" t="s">
        <v>147</v>
      </c>
      <c r="G80" s="11" t="s">
        <v>7</v>
      </c>
      <c r="H80" s="21"/>
      <c r="I80" s="59"/>
      <c r="J80" s="59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13</v>
      </c>
      <c r="U80" s="12" t="s">
        <v>14</v>
      </c>
      <c r="V80" s="90" t="s">
        <v>15</v>
      </c>
      <c r="W80" s="28" t="s">
        <v>203</v>
      </c>
      <c r="X80" s="28"/>
      <c r="Y80" s="43"/>
      <c r="Z80" s="28"/>
      <c r="AA80" s="28"/>
      <c r="AB80" s="15"/>
      <c r="AC80" s="15"/>
      <c r="AD80" s="15"/>
      <c r="AE80" s="68"/>
      <c r="AF80" s="15"/>
      <c r="AG80" s="15"/>
      <c r="AH80" s="15"/>
      <c r="AI80" s="81"/>
      <c r="AJ80" s="15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</row>
    <row r="81" spans="1:47" ht="15.75" customHeight="1" thickBot="1" x14ac:dyDescent="0.3">
      <c r="A81" s="1">
        <v>80</v>
      </c>
      <c r="B81" s="54"/>
      <c r="C81" s="57"/>
      <c r="D81" s="44" t="s">
        <v>102</v>
      </c>
      <c r="E81" s="10"/>
      <c r="F81" s="22" t="s">
        <v>147</v>
      </c>
      <c r="G81" s="11" t="s">
        <v>7</v>
      </c>
      <c r="H81" s="21"/>
      <c r="I81" s="59"/>
      <c r="J81" s="59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13</v>
      </c>
      <c r="U81" s="12" t="s">
        <v>14</v>
      </c>
      <c r="V81" s="90" t="s">
        <v>15</v>
      </c>
      <c r="W81" s="28" t="s">
        <v>185</v>
      </c>
      <c r="X81" s="28"/>
      <c r="Y81" s="43"/>
      <c r="Z81" s="28"/>
      <c r="AA81" s="28"/>
      <c r="AB81" s="15"/>
      <c r="AC81" s="15"/>
      <c r="AD81" s="15"/>
      <c r="AE81" s="68"/>
      <c r="AF81" s="15"/>
      <c r="AG81" s="15"/>
      <c r="AH81" s="15"/>
      <c r="AI81" s="81"/>
      <c r="AJ81" s="15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</row>
    <row r="82" spans="1:47" ht="15.75" customHeight="1" thickBot="1" x14ac:dyDescent="0.3">
      <c r="A82" s="1">
        <v>81</v>
      </c>
      <c r="B82" s="54"/>
      <c r="C82" s="57"/>
      <c r="D82" s="44" t="s">
        <v>103</v>
      </c>
      <c r="E82" s="10"/>
      <c r="F82" s="22" t="s">
        <v>147</v>
      </c>
      <c r="G82" s="11" t="s">
        <v>7</v>
      </c>
      <c r="H82" s="21"/>
      <c r="I82" s="59"/>
      <c r="J82" s="59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13</v>
      </c>
      <c r="U82" s="12" t="s">
        <v>14</v>
      </c>
      <c r="V82" s="90" t="s">
        <v>165</v>
      </c>
      <c r="W82" s="11" t="s">
        <v>179</v>
      </c>
      <c r="X82" s="28"/>
      <c r="Y82" s="43"/>
      <c r="Z82" s="28"/>
      <c r="AA82" s="28"/>
      <c r="AB82" s="15"/>
      <c r="AC82" s="15"/>
      <c r="AD82" s="15"/>
      <c r="AE82" s="68"/>
      <c r="AF82" s="15"/>
      <c r="AG82" s="15"/>
      <c r="AH82" s="15"/>
      <c r="AI82" s="81"/>
      <c r="AJ82" s="15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</row>
    <row r="83" spans="1:47" ht="15.75" customHeight="1" thickBot="1" x14ac:dyDescent="0.3">
      <c r="A83" s="1">
        <v>82</v>
      </c>
      <c r="B83" s="54"/>
      <c r="C83" s="57"/>
      <c r="D83" s="44" t="s">
        <v>104</v>
      </c>
      <c r="E83" s="10"/>
      <c r="F83" s="22" t="s">
        <v>147</v>
      </c>
      <c r="G83" s="11" t="s">
        <v>7</v>
      </c>
      <c r="H83" s="21"/>
      <c r="I83" s="59"/>
      <c r="J83" s="71"/>
      <c r="K83" s="59"/>
      <c r="L83" s="59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13</v>
      </c>
      <c r="U83" s="12" t="s">
        <v>14</v>
      </c>
      <c r="V83" s="90" t="s">
        <v>165</v>
      </c>
      <c r="W83" s="11" t="s">
        <v>179</v>
      </c>
      <c r="X83" s="28"/>
      <c r="Y83" s="43"/>
      <c r="Z83" s="28"/>
      <c r="AA83" s="28"/>
      <c r="AB83" s="15"/>
      <c r="AC83" s="15"/>
      <c r="AD83" s="15"/>
      <c r="AE83" s="68"/>
      <c r="AF83" s="15"/>
      <c r="AG83" s="15"/>
      <c r="AH83" s="15"/>
      <c r="AI83" s="81"/>
      <c r="AJ83" s="15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</row>
    <row r="84" spans="1:47" ht="15.75" customHeight="1" thickBot="1" x14ac:dyDescent="0.3">
      <c r="A84" s="1">
        <v>83</v>
      </c>
      <c r="B84" s="54"/>
      <c r="C84" s="57"/>
      <c r="D84" s="44" t="s">
        <v>105</v>
      </c>
      <c r="E84" s="10"/>
      <c r="F84" s="22" t="s">
        <v>147</v>
      </c>
      <c r="G84" s="11" t="s">
        <v>7</v>
      </c>
      <c r="H84" s="21"/>
      <c r="I84" s="59"/>
      <c r="J84" s="71"/>
      <c r="K84" s="59"/>
      <c r="L84" s="59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13</v>
      </c>
      <c r="U84" s="12" t="s">
        <v>14</v>
      </c>
      <c r="V84" s="90" t="s">
        <v>164</v>
      </c>
      <c r="W84" s="11" t="s">
        <v>179</v>
      </c>
      <c r="X84" s="28"/>
      <c r="Y84" s="43"/>
      <c r="Z84" s="28"/>
      <c r="AA84" s="28"/>
      <c r="AB84" s="15"/>
      <c r="AC84" s="15"/>
      <c r="AD84" s="15"/>
      <c r="AE84" s="68"/>
      <c r="AF84" s="15"/>
      <c r="AG84" s="15"/>
      <c r="AH84" s="15"/>
      <c r="AI84" s="81"/>
      <c r="AJ84" s="15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</row>
    <row r="85" spans="1:47" ht="15.75" customHeight="1" thickBot="1" x14ac:dyDescent="0.3">
      <c r="A85" s="1">
        <v>84</v>
      </c>
      <c r="B85" s="54"/>
      <c r="C85" s="57"/>
      <c r="D85" s="44" t="s">
        <v>106</v>
      </c>
      <c r="E85" s="10"/>
      <c r="F85" s="22" t="s">
        <v>147</v>
      </c>
      <c r="G85" s="11" t="s">
        <v>7</v>
      </c>
      <c r="H85" s="21"/>
      <c r="I85" s="59"/>
      <c r="J85" s="71"/>
      <c r="K85" s="59"/>
      <c r="L85" s="59"/>
      <c r="M85" s="73" t="e">
        <f t="shared" si="3"/>
        <v>#NUM!</v>
      </c>
      <c r="N85" s="23" t="e">
        <f t="shared" si="5"/>
        <v>#NUM!</v>
      </c>
      <c r="O85" s="73" t="e">
        <f t="shared" si="4"/>
        <v>#NUM!</v>
      </c>
      <c r="P85" s="59"/>
      <c r="Q85" s="59"/>
      <c r="R85" s="59"/>
      <c r="S85" s="59"/>
      <c r="T85" s="12" t="s">
        <v>13</v>
      </c>
      <c r="U85" s="12" t="s">
        <v>14</v>
      </c>
      <c r="V85" s="90" t="s">
        <v>15</v>
      </c>
      <c r="W85" s="11" t="s">
        <v>161</v>
      </c>
      <c r="X85" s="28"/>
      <c r="Y85" s="43"/>
      <c r="Z85" s="28"/>
      <c r="AA85" s="28"/>
      <c r="AB85" s="15"/>
      <c r="AC85" s="15"/>
      <c r="AD85" s="15"/>
      <c r="AE85" s="68"/>
      <c r="AF85" s="15"/>
      <c r="AG85" s="15"/>
      <c r="AH85" s="15"/>
      <c r="AI85" s="81"/>
      <c r="AJ85" s="15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</row>
    <row r="86" spans="1:47" ht="15.75" customHeight="1" thickBot="1" x14ac:dyDescent="0.3">
      <c r="A86" s="1">
        <v>85</v>
      </c>
      <c r="B86" s="54"/>
      <c r="C86" s="57"/>
      <c r="D86" s="44" t="s">
        <v>107</v>
      </c>
      <c r="E86" s="10"/>
      <c r="F86" s="22" t="s">
        <v>147</v>
      </c>
      <c r="G86" s="11" t="s">
        <v>7</v>
      </c>
      <c r="H86" s="21"/>
      <c r="I86" s="59"/>
      <c r="J86" s="71"/>
      <c r="K86" s="59"/>
      <c r="L86" s="59"/>
      <c r="M86" s="73" t="e">
        <f t="shared" si="3"/>
        <v>#NUM!</v>
      </c>
      <c r="N86" s="23" t="e">
        <f t="shared" si="5"/>
        <v>#NUM!</v>
      </c>
      <c r="O86" s="73" t="e">
        <f t="shared" si="4"/>
        <v>#NUM!</v>
      </c>
      <c r="P86" s="59"/>
      <c r="Q86" s="59"/>
      <c r="R86" s="59"/>
      <c r="S86" s="59"/>
      <c r="T86" s="12" t="s">
        <v>13</v>
      </c>
      <c r="U86" s="12" t="s">
        <v>14</v>
      </c>
      <c r="V86" s="90" t="s">
        <v>164</v>
      </c>
      <c r="W86" s="28" t="s">
        <v>179</v>
      </c>
      <c r="X86" s="28"/>
      <c r="Y86" s="43"/>
      <c r="Z86" s="28"/>
      <c r="AA86" s="28"/>
      <c r="AB86" s="15"/>
      <c r="AC86" s="15"/>
      <c r="AD86" s="15"/>
      <c r="AE86" s="68"/>
      <c r="AF86" s="15"/>
      <c r="AG86" s="15"/>
      <c r="AH86" s="15"/>
      <c r="AI86" s="81"/>
      <c r="AJ86" s="15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</row>
    <row r="87" spans="1:47" ht="15.75" customHeight="1" thickBot="1" x14ac:dyDescent="0.3">
      <c r="A87" s="1">
        <v>86</v>
      </c>
      <c r="B87" s="54"/>
      <c r="C87" s="57"/>
      <c r="D87" s="44" t="s">
        <v>108</v>
      </c>
      <c r="E87" s="13"/>
      <c r="F87" s="22" t="s">
        <v>147</v>
      </c>
      <c r="G87" s="11" t="s">
        <v>7</v>
      </c>
      <c r="H87" s="21"/>
      <c r="I87" s="59"/>
      <c r="J87" s="71"/>
      <c r="K87" s="59"/>
      <c r="L87" s="59"/>
      <c r="M87" s="73" t="e">
        <f t="shared" si="3"/>
        <v>#NUM!</v>
      </c>
      <c r="N87" s="23" t="e">
        <f t="shared" si="5"/>
        <v>#NUM!</v>
      </c>
      <c r="O87" s="73" t="e">
        <f t="shared" si="4"/>
        <v>#NUM!</v>
      </c>
      <c r="P87" s="59"/>
      <c r="Q87" s="59"/>
      <c r="R87" s="59"/>
      <c r="S87" s="59"/>
      <c r="T87" s="12" t="s">
        <v>13</v>
      </c>
      <c r="U87" s="12" t="s">
        <v>14</v>
      </c>
      <c r="V87" s="90" t="s">
        <v>164</v>
      </c>
      <c r="W87" s="11" t="s">
        <v>179</v>
      </c>
      <c r="X87" s="28"/>
      <c r="Y87" s="43"/>
      <c r="Z87" s="28"/>
      <c r="AA87" s="28"/>
      <c r="AB87" s="15"/>
      <c r="AC87" s="15"/>
      <c r="AD87" s="15"/>
      <c r="AE87" s="68"/>
      <c r="AF87" s="15"/>
      <c r="AG87" s="15"/>
      <c r="AH87" s="15"/>
      <c r="AI87" s="81"/>
      <c r="AJ87" s="15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</row>
    <row r="88" spans="1:47" ht="15.75" customHeight="1" thickBot="1" x14ac:dyDescent="0.3">
      <c r="A88" s="1">
        <v>87</v>
      </c>
      <c r="B88" s="54"/>
      <c r="C88" s="57"/>
      <c r="D88" s="44" t="s">
        <v>109</v>
      </c>
      <c r="E88" s="13"/>
      <c r="F88" s="22" t="s">
        <v>147</v>
      </c>
      <c r="G88" s="11" t="s">
        <v>7</v>
      </c>
      <c r="H88" s="21"/>
      <c r="I88" s="59"/>
      <c r="J88" s="71"/>
      <c r="K88" s="59"/>
      <c r="L88" s="59"/>
      <c r="M88" s="73" t="e">
        <f t="shared" si="3"/>
        <v>#NUM!</v>
      </c>
      <c r="N88" s="23" t="e">
        <f t="shared" si="5"/>
        <v>#NUM!</v>
      </c>
      <c r="O88" s="73" t="e">
        <f t="shared" si="4"/>
        <v>#NUM!</v>
      </c>
      <c r="P88" s="59"/>
      <c r="Q88" s="59"/>
      <c r="R88" s="59"/>
      <c r="S88" s="59"/>
      <c r="T88" s="12" t="s">
        <v>13</v>
      </c>
      <c r="U88" s="12" t="s">
        <v>14</v>
      </c>
      <c r="V88" s="90" t="s">
        <v>164</v>
      </c>
      <c r="W88" s="11" t="s">
        <v>179</v>
      </c>
      <c r="X88" s="28"/>
      <c r="Y88" s="43"/>
      <c r="Z88" s="28"/>
      <c r="AA88" s="28"/>
      <c r="AB88" s="15"/>
      <c r="AC88" s="15"/>
      <c r="AD88" s="15"/>
      <c r="AE88" s="68"/>
      <c r="AF88" s="15"/>
      <c r="AG88" s="15"/>
      <c r="AH88" s="15"/>
      <c r="AI88" s="81"/>
      <c r="AJ88" s="15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</row>
    <row r="89" spans="1:47" ht="15.75" customHeight="1" thickBot="1" x14ac:dyDescent="0.3">
      <c r="A89" s="1">
        <v>88</v>
      </c>
      <c r="B89" s="54"/>
      <c r="C89" s="57"/>
      <c r="D89" s="44" t="s">
        <v>110</v>
      </c>
      <c r="E89" s="14"/>
      <c r="F89" s="22" t="s">
        <v>147</v>
      </c>
      <c r="G89" s="11" t="s">
        <v>7</v>
      </c>
      <c r="H89" s="26"/>
      <c r="I89" s="63"/>
      <c r="J89" s="72"/>
      <c r="K89" s="63"/>
      <c r="L89" s="63"/>
      <c r="M89" s="73" t="e">
        <f t="shared" si="3"/>
        <v>#NUM!</v>
      </c>
      <c r="N89" s="23" t="e">
        <f t="shared" si="5"/>
        <v>#NUM!</v>
      </c>
      <c r="O89" s="73" t="e">
        <f t="shared" si="4"/>
        <v>#NUM!</v>
      </c>
      <c r="P89" s="63"/>
      <c r="Q89" s="63"/>
      <c r="R89" s="63"/>
      <c r="S89" s="63"/>
      <c r="T89" s="27" t="s">
        <v>13</v>
      </c>
      <c r="U89" s="27" t="s">
        <v>14</v>
      </c>
      <c r="V89" s="91" t="s">
        <v>15</v>
      </c>
      <c r="W89" s="28" t="s">
        <v>175</v>
      </c>
      <c r="X89" s="28"/>
      <c r="Y89" s="43"/>
      <c r="Z89" s="28"/>
      <c r="AA89" s="28"/>
      <c r="AB89" s="15"/>
      <c r="AC89" s="15"/>
      <c r="AD89" s="15"/>
      <c r="AE89" s="68"/>
      <c r="AF89" s="15"/>
      <c r="AG89" s="15"/>
      <c r="AH89" s="15"/>
      <c r="AI89" s="81"/>
      <c r="AJ89" s="15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</row>
    <row r="90" spans="1:47" ht="15.75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83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</row>
    <row r="91" spans="1:47" ht="15.7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84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</row>
    <row r="92" spans="1:47" ht="15.7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84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</row>
    <row r="93" spans="1:47" ht="15.7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84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</row>
    <row r="94" spans="1:47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84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</row>
    <row r="95" spans="1:47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84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</row>
    <row r="96" spans="1:47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84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</row>
    <row r="97" spans="1:47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84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</row>
    <row r="98" spans="1:47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84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</row>
    <row r="99" spans="1:47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84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</row>
    <row r="100" spans="1:47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84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</row>
    <row r="101" spans="1:47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84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</row>
    <row r="102" spans="1:47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84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</row>
    <row r="103" spans="1:47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84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</row>
    <row r="104" spans="1:47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84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</row>
    <row r="105" spans="1:47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84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</row>
    <row r="106" spans="1:47" ht="15.7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84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</row>
    <row r="107" spans="1:47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84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</row>
    <row r="108" spans="1:47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84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</row>
    <row r="109" spans="1:47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84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</row>
    <row r="110" spans="1:47" ht="15.75" customHeight="1" x14ac:dyDescent="0.25">
      <c r="A110" s="48"/>
      <c r="B110" s="48"/>
      <c r="C110" s="48"/>
      <c r="D110" s="48"/>
      <c r="E110" s="48"/>
      <c r="F110" s="48">
        <v>8</v>
      </c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84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</row>
    <row r="111" spans="1:47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84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</row>
    <row r="112" spans="1:47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84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</row>
    <row r="113" spans="1:47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84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</row>
    <row r="114" spans="1:47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84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</row>
    <row r="115" spans="1:47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84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</row>
    <row r="116" spans="1:47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84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</row>
    <row r="117" spans="1:47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84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</row>
    <row r="118" spans="1:47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84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</row>
    <row r="119" spans="1:47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84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</row>
    <row r="120" spans="1:47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84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</row>
    <row r="121" spans="1:47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84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</row>
    <row r="122" spans="1:47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84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</row>
    <row r="123" spans="1:47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84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</row>
    <row r="124" spans="1:47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84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</row>
    <row r="125" spans="1:47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84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</row>
    <row r="126" spans="1:47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84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</row>
    <row r="127" spans="1:47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84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</row>
    <row r="128" spans="1:47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84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</row>
    <row r="129" spans="1:47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84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</row>
    <row r="130" spans="1:47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84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</row>
    <row r="131" spans="1:47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84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</row>
    <row r="132" spans="1:47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84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</row>
    <row r="133" spans="1:47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84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</row>
    <row r="134" spans="1:47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84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</row>
    <row r="135" spans="1:47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84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</row>
    <row r="136" spans="1:47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84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</row>
    <row r="137" spans="1:47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84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</row>
    <row r="138" spans="1:47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84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</row>
    <row r="139" spans="1:47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84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</row>
    <row r="140" spans="1:47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84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</row>
    <row r="141" spans="1:47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84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</row>
    <row r="142" spans="1:47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84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</row>
    <row r="143" spans="1:47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84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</row>
    <row r="144" spans="1:47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84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</row>
    <row r="145" spans="1:47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84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</row>
    <row r="146" spans="1:47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84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</row>
    <row r="147" spans="1:47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84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</row>
    <row r="148" spans="1:47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84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</row>
    <row r="149" spans="1:47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84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</row>
    <row r="150" spans="1:47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84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</row>
    <row r="151" spans="1:47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84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</row>
    <row r="152" spans="1:47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84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</row>
    <row r="153" spans="1:47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84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</row>
    <row r="154" spans="1:47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84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</row>
    <row r="155" spans="1:47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84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</row>
    <row r="156" spans="1:47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84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</row>
    <row r="157" spans="1:47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84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</row>
    <row r="158" spans="1:47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84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</row>
    <row r="159" spans="1:47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84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</row>
    <row r="160" spans="1:47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84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</row>
    <row r="161" spans="1:47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84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</row>
    <row r="162" spans="1:47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84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</row>
    <row r="163" spans="1:47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84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</row>
    <row r="164" spans="1:47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84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</row>
    <row r="165" spans="1:47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84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</row>
    <row r="166" spans="1:47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84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</row>
    <row r="167" spans="1:47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84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</row>
    <row r="168" spans="1:47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84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</row>
    <row r="169" spans="1:47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84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</row>
    <row r="170" spans="1:47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84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</row>
    <row r="171" spans="1:47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84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</row>
    <row r="172" spans="1:47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84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</row>
    <row r="173" spans="1:47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84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</row>
    <row r="174" spans="1:47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84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</row>
    <row r="175" spans="1:47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84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</row>
    <row r="176" spans="1:47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84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</row>
    <row r="177" spans="1:47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84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</row>
    <row r="178" spans="1:47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84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</row>
    <row r="179" spans="1:47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84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</row>
    <row r="180" spans="1:47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84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</row>
    <row r="181" spans="1:47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84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</row>
    <row r="182" spans="1:47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84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</row>
    <row r="183" spans="1:47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84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</row>
    <row r="184" spans="1:47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84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</row>
    <row r="185" spans="1:47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84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</row>
    <row r="186" spans="1:47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84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</row>
    <row r="187" spans="1:47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84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</row>
    <row r="188" spans="1:47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84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</row>
    <row r="189" spans="1:47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84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</row>
    <row r="190" spans="1:47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84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</row>
    <row r="191" spans="1:47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84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</row>
    <row r="192" spans="1:47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84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</row>
    <row r="193" spans="1:47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84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</row>
    <row r="194" spans="1:47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84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</row>
    <row r="195" spans="1:47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84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</row>
    <row r="196" spans="1:47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84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</row>
    <row r="197" spans="1:47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84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</row>
    <row r="198" spans="1:47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84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</row>
    <row r="199" spans="1:47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84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</row>
    <row r="200" spans="1:47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84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</row>
    <row r="201" spans="1:47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84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</row>
    <row r="202" spans="1:47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84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</row>
    <row r="203" spans="1:47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84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</row>
    <row r="204" spans="1:47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84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</row>
    <row r="205" spans="1:47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84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</row>
    <row r="206" spans="1:47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84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</row>
    <row r="207" spans="1:47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84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</row>
    <row r="208" spans="1:47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84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</row>
    <row r="209" spans="1:47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84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</row>
    <row r="210" spans="1:47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84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</row>
    <row r="211" spans="1:47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84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</row>
    <row r="212" spans="1:47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84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</row>
    <row r="213" spans="1:47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84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</row>
    <row r="214" spans="1:47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84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</row>
    <row r="215" spans="1:47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84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</row>
    <row r="216" spans="1:47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84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</row>
    <row r="217" spans="1:47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84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</row>
    <row r="218" spans="1:47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84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</row>
    <row r="219" spans="1:47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84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</row>
    <row r="220" spans="1:47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84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</row>
    <row r="221" spans="1:47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84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</row>
    <row r="222" spans="1:47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84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</row>
    <row r="223" spans="1:47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84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</row>
    <row r="224" spans="1:47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84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</row>
    <row r="225" spans="1:47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84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</row>
    <row r="226" spans="1:47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84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</row>
    <row r="227" spans="1:47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84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</row>
    <row r="228" spans="1:47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84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</row>
    <row r="229" spans="1:47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84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</row>
    <row r="230" spans="1:47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84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</row>
    <row r="231" spans="1:47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84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</row>
    <row r="232" spans="1:47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84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</row>
    <row r="233" spans="1:47" ht="15.75" customHeight="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84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</row>
    <row r="234" spans="1:47" ht="15.75" customHeight="1" x14ac:dyDescent="0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84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</row>
    <row r="235" spans="1:47" ht="15.75" customHeight="1" x14ac:dyDescent="0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84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</row>
    <row r="236" spans="1:47" ht="15.75" customHeight="1" x14ac:dyDescent="0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84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</row>
    <row r="237" spans="1:47" ht="15.75" customHeight="1" x14ac:dyDescent="0.2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84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</row>
    <row r="238" spans="1:47" ht="15.75" customHeight="1" x14ac:dyDescent="0.25"/>
    <row r="239" spans="1:47" ht="15.75" customHeight="1" x14ac:dyDescent="0.25"/>
    <row r="240" spans="1:4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autoFilter ref="A1:AW89"/>
  <conditionalFormatting sqref="N2:N89">
    <cfRule type="cellIs" dxfId="34" priority="1" operator="greaterThan">
      <formula>5</formula>
    </cfRule>
    <cfRule type="cellIs" dxfId="33" priority="2" operator="lessThan">
      <formula>6</formula>
    </cfRule>
    <cfRule type="cellIs" dxfId="32" priority="4" operator="greaterThan">
      <formula>6</formula>
    </cfRule>
    <cfRule type="cellIs" dxfId="31" priority="5" operator="lessThan">
      <formula>6</formula>
    </cfRule>
  </conditionalFormatting>
  <conditionalFormatting sqref="N1:N1048576">
    <cfRule type="cellIs" dxfId="30" priority="3" operator="greaterThan">
      <formula>6</formula>
    </cfRule>
  </conditionalFormatting>
  <dataValidations count="2">
    <dataValidation type="list" allowBlank="1" showInputMessage="1" showErrorMessage="1" sqref="X2:X89">
      <formula1>$W$1:$W$89</formula1>
    </dataValidation>
    <dataValidation type="list" allowBlank="1" showInputMessage="1" showErrorMessage="1" sqref="Y2:Y89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9" max="47" man="1"/>
    <brk id="89" max="47" man="1"/>
    <brk id="146" max="35" man="1"/>
  </rowBreaks>
  <colBreaks count="2" manualBreakCount="2">
    <brk id="21" max="241" man="1"/>
    <brk id="36" max="2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54"/>
  <sheetViews>
    <sheetView view="pageBreakPreview" zoomScale="90" zoomScaleNormal="70" zoomScaleSheetLayoutView="90" workbookViewId="0">
      <pane ySplit="1" topLeftCell="A2" activePane="bottomLeft" state="frozen"/>
      <selection pane="bottomLeft" activeCell="AL5" sqref="AL5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883</v>
      </c>
      <c r="C2" s="87"/>
      <c r="D2" s="20" t="s">
        <v>23</v>
      </c>
      <c r="E2" s="10" t="s">
        <v>205</v>
      </c>
      <c r="F2" s="22" t="s">
        <v>147</v>
      </c>
      <c r="G2" s="11" t="s">
        <v>9</v>
      </c>
      <c r="H2" s="21">
        <v>24422070060267</v>
      </c>
      <c r="I2" s="58" t="s">
        <v>778</v>
      </c>
      <c r="J2" s="58" t="s">
        <v>157</v>
      </c>
      <c r="K2" s="58" t="s">
        <v>187</v>
      </c>
      <c r="L2" s="58" t="s">
        <v>770</v>
      </c>
      <c r="M2" s="73">
        <f>DATE(L2,J2,I2)</f>
        <v>46029</v>
      </c>
      <c r="N2" s="23" t="e">
        <f>DATEDIF(M2,O2,"m")</f>
        <v>#NUM!</v>
      </c>
      <c r="O2" s="73" t="e">
        <f>DATE(S2,Q2,P2)</f>
        <v>#NUM!</v>
      </c>
      <c r="P2" s="58"/>
      <c r="Q2" s="58"/>
      <c r="R2" s="58"/>
      <c r="S2" s="58"/>
      <c r="T2" s="12" t="s">
        <v>885</v>
      </c>
      <c r="U2" s="12" t="s">
        <v>886</v>
      </c>
      <c r="V2" s="90" t="s">
        <v>165</v>
      </c>
      <c r="W2" s="28" t="s">
        <v>795</v>
      </c>
      <c r="X2" s="43" t="s">
        <v>155</v>
      </c>
      <c r="Y2" s="61" t="s">
        <v>796</v>
      </c>
      <c r="Z2" s="28">
        <v>1</v>
      </c>
      <c r="AA2" s="28">
        <v>1</v>
      </c>
      <c r="AB2" s="28">
        <v>1</v>
      </c>
      <c r="AC2" s="28">
        <v>1</v>
      </c>
      <c r="AD2" s="66">
        <v>1</v>
      </c>
      <c r="AE2" s="28"/>
      <c r="AF2" s="28"/>
      <c r="AG2" s="28"/>
      <c r="AH2" s="20"/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883</v>
      </c>
      <c r="C3" s="118">
        <v>1</v>
      </c>
      <c r="D3" s="20" t="s">
        <v>25</v>
      </c>
      <c r="E3" s="10" t="s">
        <v>206</v>
      </c>
      <c r="F3" s="22" t="s">
        <v>147</v>
      </c>
      <c r="G3" s="11" t="s">
        <v>9</v>
      </c>
      <c r="H3" s="21">
        <v>24422070060268</v>
      </c>
      <c r="I3" s="58"/>
      <c r="J3" s="70"/>
      <c r="K3" s="58"/>
      <c r="L3" s="58"/>
      <c r="M3" s="73" t="e">
        <f t="shared" ref="M3:M66" si="0">DATE(L3,J3,I3)</f>
        <v>#NUM!</v>
      </c>
      <c r="N3" s="23" t="e">
        <f>DATEDIF(M3,O3,"m")</f>
        <v>#NUM!</v>
      </c>
      <c r="O3" s="73" t="e">
        <f t="shared" ref="O3:O66" si="1">DATE(S3,Q3,P3)</f>
        <v>#NUM!</v>
      </c>
      <c r="P3" s="58"/>
      <c r="Q3" s="58"/>
      <c r="R3" s="58"/>
      <c r="S3" s="58"/>
      <c r="T3" s="12" t="s">
        <v>885</v>
      </c>
      <c r="U3" s="12" t="s">
        <v>886</v>
      </c>
      <c r="V3" s="90"/>
      <c r="W3" s="28"/>
      <c r="X3" s="43"/>
      <c r="Y3" s="28"/>
      <c r="Z3" s="28"/>
      <c r="AA3" s="28"/>
      <c r="AB3" s="28"/>
      <c r="AC3" s="28"/>
      <c r="AD3" s="66"/>
      <c r="AE3" s="28"/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882</v>
      </c>
      <c r="C4" s="87"/>
      <c r="D4" s="20" t="s">
        <v>26</v>
      </c>
      <c r="E4" s="10" t="s">
        <v>207</v>
      </c>
      <c r="F4" s="22" t="s">
        <v>147</v>
      </c>
      <c r="G4" s="11" t="s">
        <v>9</v>
      </c>
      <c r="H4" s="21">
        <v>24422070060269</v>
      </c>
      <c r="I4" s="58"/>
      <c r="J4" s="70"/>
      <c r="K4" s="58"/>
      <c r="L4" s="58"/>
      <c r="M4" s="73" t="e">
        <f t="shared" si="0"/>
        <v>#NUM!</v>
      </c>
      <c r="N4" s="23" t="e">
        <f t="shared" ref="N4:N68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885</v>
      </c>
      <c r="U4" s="12" t="s">
        <v>886</v>
      </c>
      <c r="V4" s="90" t="s">
        <v>777</v>
      </c>
      <c r="W4" s="28" t="s">
        <v>887</v>
      </c>
      <c r="X4" s="43" t="s">
        <v>771</v>
      </c>
      <c r="Y4" s="28"/>
      <c r="Z4" s="28">
        <v>1</v>
      </c>
      <c r="AA4" s="28">
        <v>1</v>
      </c>
      <c r="AB4" s="28">
        <v>2</v>
      </c>
      <c r="AC4" s="28"/>
      <c r="AD4" s="66">
        <v>1</v>
      </c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882</v>
      </c>
      <c r="C5" s="87"/>
      <c r="D5" s="20" t="s">
        <v>27</v>
      </c>
      <c r="E5" s="10" t="s">
        <v>208</v>
      </c>
      <c r="F5" s="22" t="s">
        <v>147</v>
      </c>
      <c r="G5" s="11" t="s">
        <v>9</v>
      </c>
      <c r="H5" s="21">
        <v>24422070060133</v>
      </c>
      <c r="I5" s="58" t="s">
        <v>775</v>
      </c>
      <c r="J5" s="58" t="s">
        <v>810</v>
      </c>
      <c r="K5" s="58" t="s">
        <v>187</v>
      </c>
      <c r="L5" s="58" t="s">
        <v>770</v>
      </c>
      <c r="M5" s="73">
        <f t="shared" si="0"/>
        <v>46034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885</v>
      </c>
      <c r="U5" s="12" t="s">
        <v>886</v>
      </c>
      <c r="V5" s="90" t="s">
        <v>777</v>
      </c>
      <c r="W5" s="28" t="s">
        <v>730</v>
      </c>
      <c r="X5" s="43" t="s">
        <v>155</v>
      </c>
      <c r="Y5" s="28"/>
      <c r="Z5" s="28">
        <v>1</v>
      </c>
      <c r="AA5" s="28">
        <v>1</v>
      </c>
      <c r="AB5" s="28">
        <v>1</v>
      </c>
      <c r="AC5" s="28">
        <v>2</v>
      </c>
      <c r="AD5" s="66">
        <v>1</v>
      </c>
      <c r="AE5" s="28">
        <v>2</v>
      </c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882</v>
      </c>
      <c r="C6" s="87"/>
      <c r="D6" s="20" t="s">
        <v>24</v>
      </c>
      <c r="E6" s="10" t="s">
        <v>209</v>
      </c>
      <c r="F6" s="22" t="s">
        <v>147</v>
      </c>
      <c r="G6" s="11" t="s">
        <v>9</v>
      </c>
      <c r="H6" s="21">
        <v>24422070060270</v>
      </c>
      <c r="I6" s="58" t="s">
        <v>775</v>
      </c>
      <c r="J6" s="70">
        <v>1</v>
      </c>
      <c r="K6" s="58" t="s">
        <v>187</v>
      </c>
      <c r="L6" s="58" t="s">
        <v>770</v>
      </c>
      <c r="M6" s="73">
        <f t="shared" si="0"/>
        <v>46034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885</v>
      </c>
      <c r="U6" s="12" t="s">
        <v>886</v>
      </c>
      <c r="V6" s="90" t="s">
        <v>165</v>
      </c>
      <c r="W6" s="28" t="s">
        <v>188</v>
      </c>
      <c r="X6" s="43" t="s">
        <v>155</v>
      </c>
      <c r="Y6" s="28" t="s">
        <v>167</v>
      </c>
      <c r="Z6" s="28">
        <v>1</v>
      </c>
      <c r="AA6" s="28">
        <v>1</v>
      </c>
      <c r="AB6" s="28">
        <v>1</v>
      </c>
      <c r="AC6" s="28">
        <v>1</v>
      </c>
      <c r="AD6" s="66">
        <v>1</v>
      </c>
      <c r="AE6" s="28">
        <v>2</v>
      </c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thickBot="1" x14ac:dyDescent="0.3">
      <c r="A7" s="1" t="s">
        <v>126</v>
      </c>
      <c r="B7" s="3" t="s">
        <v>882</v>
      </c>
      <c r="C7" s="87"/>
      <c r="D7" s="20" t="s">
        <v>28</v>
      </c>
      <c r="E7" s="10" t="s">
        <v>210</v>
      </c>
      <c r="F7" s="22" t="s">
        <v>147</v>
      </c>
      <c r="G7" s="11" t="s">
        <v>9</v>
      </c>
      <c r="H7" s="21">
        <v>24422070060557</v>
      </c>
      <c r="I7" s="58"/>
      <c r="J7" s="70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885</v>
      </c>
      <c r="U7" s="12" t="s">
        <v>886</v>
      </c>
      <c r="V7" s="90" t="s">
        <v>777</v>
      </c>
      <c r="W7" s="28" t="s">
        <v>733</v>
      </c>
      <c r="X7" s="43" t="s">
        <v>155</v>
      </c>
      <c r="Y7" s="28"/>
      <c r="Z7" s="28">
        <v>1</v>
      </c>
      <c r="AA7" s="28">
        <v>1</v>
      </c>
      <c r="AB7" s="28">
        <v>2</v>
      </c>
      <c r="AC7" s="28"/>
      <c r="AD7" s="66">
        <v>1</v>
      </c>
      <c r="AE7" s="28"/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883</v>
      </c>
      <c r="C8" s="118">
        <v>1</v>
      </c>
      <c r="D8" s="20" t="s">
        <v>29</v>
      </c>
      <c r="E8" s="10" t="s">
        <v>211</v>
      </c>
      <c r="F8" s="22" t="s">
        <v>147</v>
      </c>
      <c r="G8" s="11" t="s">
        <v>9</v>
      </c>
      <c r="H8" s="21">
        <v>24422070060272</v>
      </c>
      <c r="I8" s="58"/>
      <c r="J8" s="58"/>
      <c r="K8" s="58"/>
      <c r="L8" s="58"/>
      <c r="M8" s="73" t="e">
        <f t="shared" si="0"/>
        <v>#NUM!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885</v>
      </c>
      <c r="U8" s="12" t="s">
        <v>886</v>
      </c>
      <c r="V8" s="90"/>
      <c r="W8" s="28"/>
      <c r="X8" s="43"/>
      <c r="Y8" s="28"/>
      <c r="Z8" s="28"/>
      <c r="AA8" s="28"/>
      <c r="AB8" s="28"/>
      <c r="AC8" s="28"/>
      <c r="AD8" s="66"/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883</v>
      </c>
      <c r="C9" s="87"/>
      <c r="D9" s="20" t="s">
        <v>30</v>
      </c>
      <c r="E9" s="10" t="s">
        <v>212</v>
      </c>
      <c r="F9" s="22" t="s">
        <v>147</v>
      </c>
      <c r="G9" s="11" t="s">
        <v>9</v>
      </c>
      <c r="H9" s="21">
        <v>24422070060273</v>
      </c>
      <c r="I9" s="58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885</v>
      </c>
      <c r="U9" s="12" t="s">
        <v>886</v>
      </c>
      <c r="V9" s="90"/>
      <c r="W9" s="28"/>
      <c r="X9" s="43"/>
      <c r="Y9" s="28"/>
      <c r="Z9" s="28"/>
      <c r="AA9" s="28"/>
      <c r="AB9" s="28"/>
      <c r="AC9" s="28"/>
      <c r="AD9" s="66"/>
      <c r="AE9" s="28"/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882</v>
      </c>
      <c r="C10" s="118">
        <v>2</v>
      </c>
      <c r="D10" s="20" t="s">
        <v>31</v>
      </c>
      <c r="E10" s="10" t="s">
        <v>213</v>
      </c>
      <c r="F10" s="22" t="s">
        <v>147</v>
      </c>
      <c r="G10" s="11" t="s">
        <v>9</v>
      </c>
      <c r="H10" s="21">
        <v>24422070060274</v>
      </c>
      <c r="I10" s="58"/>
      <c r="J10" s="70"/>
      <c r="K10" s="58"/>
      <c r="L10" s="58"/>
      <c r="M10" s="73" t="e">
        <f t="shared" si="0"/>
        <v>#NUM!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885</v>
      </c>
      <c r="U10" s="12" t="s">
        <v>886</v>
      </c>
      <c r="V10" s="90"/>
      <c r="W10" s="28"/>
      <c r="X10" s="43"/>
      <c r="Y10" s="28"/>
      <c r="Z10" s="28"/>
      <c r="AA10" s="28"/>
      <c r="AB10" s="28"/>
      <c r="AC10" s="28"/>
      <c r="AD10" s="66"/>
      <c r="AE10" s="28"/>
      <c r="AF10" s="28"/>
      <c r="AG10" s="28"/>
      <c r="AH10" s="20"/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882</v>
      </c>
      <c r="C11" s="87"/>
      <c r="D11" s="20" t="s">
        <v>32</v>
      </c>
      <c r="E11" s="10" t="s">
        <v>214</v>
      </c>
      <c r="F11" s="22" t="s">
        <v>147</v>
      </c>
      <c r="G11" s="11" t="s">
        <v>9</v>
      </c>
      <c r="H11" s="21">
        <v>24422070060275</v>
      </c>
      <c r="I11" s="58"/>
      <c r="J11" s="70"/>
      <c r="K11" s="58"/>
      <c r="L11" s="58"/>
      <c r="M11" s="73" t="e">
        <f t="shared" si="0"/>
        <v>#NUM!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885</v>
      </c>
      <c r="U11" s="12" t="s">
        <v>886</v>
      </c>
      <c r="V11" s="90"/>
      <c r="W11" s="28"/>
      <c r="X11" s="43"/>
      <c r="Y11" s="28"/>
      <c r="Z11" s="28"/>
      <c r="AA11" s="28"/>
      <c r="AB11" s="28"/>
      <c r="AC11" s="28"/>
      <c r="AD11" s="66"/>
      <c r="AE11" s="28"/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883</v>
      </c>
      <c r="C12" s="87"/>
      <c r="D12" s="20" t="s">
        <v>33</v>
      </c>
      <c r="E12" s="10" t="s">
        <v>215</v>
      </c>
      <c r="F12" s="22" t="s">
        <v>147</v>
      </c>
      <c r="G12" s="11" t="s">
        <v>9</v>
      </c>
      <c r="H12" s="21">
        <v>24422070060277</v>
      </c>
      <c r="I12" s="58" t="s">
        <v>785</v>
      </c>
      <c r="J12" s="70">
        <v>1</v>
      </c>
      <c r="K12" s="58" t="s">
        <v>187</v>
      </c>
      <c r="L12" s="58" t="s">
        <v>770</v>
      </c>
      <c r="M12" s="73">
        <f t="shared" si="0"/>
        <v>46035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885</v>
      </c>
      <c r="U12" s="12" t="s">
        <v>888</v>
      </c>
      <c r="V12" s="90" t="s">
        <v>777</v>
      </c>
      <c r="W12" s="28" t="s">
        <v>772</v>
      </c>
      <c r="X12" s="43" t="s">
        <v>771</v>
      </c>
      <c r="Y12" s="28"/>
      <c r="Z12" s="28">
        <v>1</v>
      </c>
      <c r="AA12" s="28">
        <v>1</v>
      </c>
      <c r="AB12" s="28">
        <v>0</v>
      </c>
      <c r="AC12" s="28">
        <v>0</v>
      </c>
      <c r="AD12" s="66">
        <v>1</v>
      </c>
      <c r="AE12" s="28"/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882</v>
      </c>
      <c r="C13" s="118">
        <v>1</v>
      </c>
      <c r="D13" s="20" t="s">
        <v>34</v>
      </c>
      <c r="E13" s="10" t="s">
        <v>216</v>
      </c>
      <c r="F13" s="22" t="s">
        <v>147</v>
      </c>
      <c r="G13" s="11" t="s">
        <v>9</v>
      </c>
      <c r="H13" s="21">
        <v>24422070060325</v>
      </c>
      <c r="I13" s="58"/>
      <c r="J13" s="58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885</v>
      </c>
      <c r="U13" s="12" t="s">
        <v>886</v>
      </c>
      <c r="V13" s="90"/>
      <c r="W13" s="28"/>
      <c r="X13" s="43"/>
      <c r="Y13" s="28"/>
      <c r="Z13" s="28"/>
      <c r="AA13" s="28"/>
      <c r="AB13" s="28"/>
      <c r="AC13" s="28"/>
      <c r="AD13" s="66"/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882</v>
      </c>
      <c r="C14" s="87"/>
      <c r="D14" s="20" t="s">
        <v>35</v>
      </c>
      <c r="E14" s="10" t="s">
        <v>217</v>
      </c>
      <c r="F14" s="22" t="s">
        <v>147</v>
      </c>
      <c r="G14" s="11" t="s">
        <v>9</v>
      </c>
      <c r="H14" s="21">
        <v>24422070060146</v>
      </c>
      <c r="I14" s="58" t="s">
        <v>775</v>
      </c>
      <c r="J14" s="58" t="s">
        <v>810</v>
      </c>
      <c r="K14" s="58" t="s">
        <v>187</v>
      </c>
      <c r="L14" s="58" t="s">
        <v>770</v>
      </c>
      <c r="M14" s="73">
        <f t="shared" si="0"/>
        <v>46034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885</v>
      </c>
      <c r="U14" s="12" t="s">
        <v>886</v>
      </c>
      <c r="V14" s="90" t="s">
        <v>777</v>
      </c>
      <c r="W14" s="28" t="s">
        <v>889</v>
      </c>
      <c r="X14" s="43" t="s">
        <v>155</v>
      </c>
      <c r="Y14" s="28"/>
      <c r="Z14" s="28">
        <v>1</v>
      </c>
      <c r="AA14" s="28">
        <v>1</v>
      </c>
      <c r="AB14" s="28">
        <v>2</v>
      </c>
      <c r="AC14" s="28">
        <v>2</v>
      </c>
      <c r="AD14" s="66">
        <v>1</v>
      </c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882</v>
      </c>
      <c r="C15" s="87"/>
      <c r="D15" s="20" t="s">
        <v>36</v>
      </c>
      <c r="E15" s="10" t="s">
        <v>218</v>
      </c>
      <c r="F15" s="22" t="s">
        <v>147</v>
      </c>
      <c r="G15" s="11" t="s">
        <v>9</v>
      </c>
      <c r="H15" s="21">
        <v>24422070060278</v>
      </c>
      <c r="I15" s="58" t="s">
        <v>159</v>
      </c>
      <c r="J15" s="70">
        <v>12</v>
      </c>
      <c r="K15" s="58" t="s">
        <v>768</v>
      </c>
      <c r="L15" s="58" t="s">
        <v>153</v>
      </c>
      <c r="M15" s="73">
        <f t="shared" si="0"/>
        <v>46001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885</v>
      </c>
      <c r="U15" s="12" t="s">
        <v>886</v>
      </c>
      <c r="V15" s="90" t="s">
        <v>777</v>
      </c>
      <c r="W15" s="28" t="s">
        <v>730</v>
      </c>
      <c r="X15" s="43" t="s">
        <v>155</v>
      </c>
      <c r="Y15" s="28"/>
      <c r="Z15" s="28">
        <v>1</v>
      </c>
      <c r="AA15" s="28">
        <v>1</v>
      </c>
      <c r="AB15" s="28">
        <v>2</v>
      </c>
      <c r="AC15" s="28">
        <v>2</v>
      </c>
      <c r="AD15" s="66">
        <v>1</v>
      </c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882</v>
      </c>
      <c r="C16" s="87"/>
      <c r="D16" s="20" t="s">
        <v>37</v>
      </c>
      <c r="E16" s="10" t="s">
        <v>219</v>
      </c>
      <c r="F16" s="22" t="s">
        <v>147</v>
      </c>
      <c r="G16" s="11" t="s">
        <v>9</v>
      </c>
      <c r="H16" s="21">
        <v>24422070060279</v>
      </c>
      <c r="I16" s="58" t="s">
        <v>792</v>
      </c>
      <c r="J16" s="70">
        <v>1</v>
      </c>
      <c r="K16" s="58" t="s">
        <v>187</v>
      </c>
      <c r="L16" s="58" t="s">
        <v>770</v>
      </c>
      <c r="M16" s="73">
        <f t="shared" si="0"/>
        <v>46048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885</v>
      </c>
      <c r="U16" s="12" t="s">
        <v>886</v>
      </c>
      <c r="V16" s="90" t="s">
        <v>777</v>
      </c>
      <c r="W16" s="28" t="s">
        <v>201</v>
      </c>
      <c r="X16" s="43" t="s">
        <v>155</v>
      </c>
      <c r="Y16" s="28"/>
      <c r="Z16" s="28">
        <v>1</v>
      </c>
      <c r="AA16" s="28">
        <v>1</v>
      </c>
      <c r="AB16" s="28">
        <v>1</v>
      </c>
      <c r="AC16" s="28">
        <v>1</v>
      </c>
      <c r="AD16" s="66">
        <v>1</v>
      </c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882</v>
      </c>
      <c r="C17" s="118">
        <v>1</v>
      </c>
      <c r="D17" s="20" t="s">
        <v>38</v>
      </c>
      <c r="E17" s="10" t="s">
        <v>220</v>
      </c>
      <c r="F17" s="22" t="s">
        <v>147</v>
      </c>
      <c r="G17" s="11" t="s">
        <v>9</v>
      </c>
      <c r="H17" s="21">
        <v>24422070060281</v>
      </c>
      <c r="I17" s="58"/>
      <c r="J17" s="58"/>
      <c r="K17" s="58"/>
      <c r="L17" s="58"/>
      <c r="M17" s="73" t="e">
        <f t="shared" si="0"/>
        <v>#NUM!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885</v>
      </c>
      <c r="U17" s="12" t="s">
        <v>886</v>
      </c>
      <c r="V17" s="90"/>
      <c r="W17" s="28"/>
      <c r="X17" s="43"/>
      <c r="Y17" s="28"/>
      <c r="Z17" s="28"/>
      <c r="AA17" s="28"/>
      <c r="AB17" s="28"/>
      <c r="AC17" s="28"/>
      <c r="AD17" s="66"/>
      <c r="AE17" s="28"/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883</v>
      </c>
      <c r="C18" s="118">
        <v>1</v>
      </c>
      <c r="D18" s="20" t="s">
        <v>39</v>
      </c>
      <c r="E18" s="10" t="s">
        <v>221</v>
      </c>
      <c r="F18" s="22" t="s">
        <v>147</v>
      </c>
      <c r="G18" s="11" t="s">
        <v>9</v>
      </c>
      <c r="H18" s="21">
        <v>24422070060283</v>
      </c>
      <c r="I18" s="58"/>
      <c r="J18" s="70"/>
      <c r="K18" s="58"/>
      <c r="L18" s="58"/>
      <c r="M18" s="73" t="e">
        <f t="shared" si="0"/>
        <v>#NUM!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885</v>
      </c>
      <c r="U18" s="12" t="s">
        <v>886</v>
      </c>
      <c r="V18" s="90"/>
      <c r="W18" s="28"/>
      <c r="X18" s="43"/>
      <c r="Y18" s="28"/>
      <c r="Z18" s="28"/>
      <c r="AA18" s="28"/>
      <c r="AB18" s="28"/>
      <c r="AC18" s="28"/>
      <c r="AD18" s="66"/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54" t="s">
        <v>882</v>
      </c>
      <c r="C19" s="57"/>
      <c r="D19" s="20" t="s">
        <v>40</v>
      </c>
      <c r="E19" s="10" t="s">
        <v>266</v>
      </c>
      <c r="F19" s="22" t="s">
        <v>147</v>
      </c>
      <c r="G19" s="11" t="s">
        <v>9</v>
      </c>
      <c r="H19" s="24">
        <v>24422070060331</v>
      </c>
      <c r="I19" s="59"/>
      <c r="J19" s="71"/>
      <c r="K19" s="59"/>
      <c r="L19" s="59"/>
      <c r="M19" s="73" t="e">
        <f>DATE(L19,J19,I19)</f>
        <v>#NUM!</v>
      </c>
      <c r="N19" s="23" t="e">
        <f>DATEDIF(M19,O19,"m")</f>
        <v>#NUM!</v>
      </c>
      <c r="O19" s="73" t="e">
        <f>DATE(S19,Q19,P19)</f>
        <v>#NUM!</v>
      </c>
      <c r="P19" s="59"/>
      <c r="Q19" s="59"/>
      <c r="R19" s="59"/>
      <c r="S19" s="59"/>
      <c r="T19" s="12" t="s">
        <v>885</v>
      </c>
      <c r="U19" s="12" t="s">
        <v>886</v>
      </c>
      <c r="V19" s="90" t="s">
        <v>777</v>
      </c>
      <c r="W19" s="28" t="s">
        <v>835</v>
      </c>
      <c r="X19" s="43" t="s">
        <v>155</v>
      </c>
      <c r="Y19" s="28"/>
      <c r="Z19" s="28">
        <v>1</v>
      </c>
      <c r="AA19" s="15">
        <v>1</v>
      </c>
      <c r="AB19" s="28"/>
      <c r="AC19" s="15"/>
      <c r="AD19" s="68">
        <v>1</v>
      </c>
      <c r="AE19" s="28"/>
      <c r="AF19" s="15"/>
      <c r="AG19" s="28"/>
      <c r="AH19" s="81"/>
      <c r="AI19" s="28"/>
      <c r="AJ19" s="86"/>
      <c r="AK19" s="86"/>
      <c r="AL19" s="16"/>
      <c r="AM19" s="86"/>
      <c r="AN19" s="16"/>
      <c r="AO19" s="86"/>
      <c r="AP19" s="86"/>
      <c r="AQ19" s="16"/>
      <c r="AR19" s="86"/>
      <c r="AS19" s="16"/>
      <c r="AT19" s="86"/>
    </row>
    <row r="20" spans="1:46" ht="15.75" customHeight="1" thickBot="1" x14ac:dyDescent="0.3">
      <c r="A20" s="1" t="s">
        <v>126</v>
      </c>
      <c r="B20" s="3" t="s">
        <v>882</v>
      </c>
      <c r="C20" s="118">
        <v>1</v>
      </c>
      <c r="D20" s="20" t="s">
        <v>41</v>
      </c>
      <c r="E20" s="10" t="s">
        <v>222</v>
      </c>
      <c r="F20" s="22" t="s">
        <v>147</v>
      </c>
      <c r="G20" s="11" t="s">
        <v>9</v>
      </c>
      <c r="H20" s="21">
        <v>24422070060285</v>
      </c>
      <c r="I20" s="58"/>
      <c r="J20" s="70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885</v>
      </c>
      <c r="U20" s="12" t="s">
        <v>886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3" t="s">
        <v>883</v>
      </c>
      <c r="C21" s="118">
        <v>1</v>
      </c>
      <c r="D21" s="20" t="s">
        <v>42</v>
      </c>
      <c r="E21" s="10" t="s">
        <v>223</v>
      </c>
      <c r="F21" s="22" t="s">
        <v>147</v>
      </c>
      <c r="G21" s="11" t="s">
        <v>9</v>
      </c>
      <c r="H21" s="21">
        <v>24422070060286</v>
      </c>
      <c r="I21" s="58"/>
      <c r="J21" s="58"/>
      <c r="K21" s="58"/>
      <c r="L21" s="58"/>
      <c r="M21" s="73" t="e">
        <f t="shared" si="0"/>
        <v>#NUM!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885</v>
      </c>
      <c r="U21" s="12" t="s">
        <v>886</v>
      </c>
      <c r="V21" s="90"/>
      <c r="W21" s="28"/>
      <c r="X21" s="43"/>
      <c r="Y21" s="28"/>
      <c r="Z21" s="28"/>
      <c r="AA21" s="28"/>
      <c r="AB21" s="28"/>
      <c r="AC21" s="28"/>
      <c r="AD21" s="66"/>
      <c r="AE21" s="28"/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3" t="s">
        <v>882</v>
      </c>
      <c r="C22" s="87"/>
      <c r="D22" s="20" t="s">
        <v>43</v>
      </c>
      <c r="E22" s="10" t="s">
        <v>224</v>
      </c>
      <c r="F22" s="22" t="s">
        <v>147</v>
      </c>
      <c r="G22" s="11" t="s">
        <v>9</v>
      </c>
      <c r="H22" s="21">
        <v>24422070060287</v>
      </c>
      <c r="I22" s="58"/>
      <c r="J22" s="70"/>
      <c r="K22" s="58"/>
      <c r="L22" s="58"/>
      <c r="M22" s="73" t="e">
        <f t="shared" si="0"/>
        <v>#NUM!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885</v>
      </c>
      <c r="U22" s="12" t="s">
        <v>886</v>
      </c>
      <c r="V22" s="90" t="s">
        <v>777</v>
      </c>
      <c r="W22" s="28" t="s">
        <v>824</v>
      </c>
      <c r="X22" s="43" t="s">
        <v>771</v>
      </c>
      <c r="Y22" s="28"/>
      <c r="Z22" s="28">
        <v>2</v>
      </c>
      <c r="AA22" s="28">
        <v>2</v>
      </c>
      <c r="AB22" s="28"/>
      <c r="AC22" s="28"/>
      <c r="AD22" s="66">
        <v>2</v>
      </c>
      <c r="AE22" s="28"/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883</v>
      </c>
      <c r="C23" s="87"/>
      <c r="D23" s="20" t="s">
        <v>44</v>
      </c>
      <c r="E23" s="10" t="s">
        <v>225</v>
      </c>
      <c r="F23" s="22" t="s">
        <v>147</v>
      </c>
      <c r="G23" s="11" t="s">
        <v>9</v>
      </c>
      <c r="H23" s="21">
        <v>24422070060288</v>
      </c>
      <c r="I23" s="58"/>
      <c r="J23" s="70"/>
      <c r="K23" s="58"/>
      <c r="L23" s="58"/>
      <c r="M23" s="73" t="e">
        <f t="shared" si="0"/>
        <v>#NUM!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885</v>
      </c>
      <c r="U23" s="12" t="s">
        <v>886</v>
      </c>
      <c r="V23" s="90"/>
      <c r="W23" s="28"/>
      <c r="X23" s="43"/>
      <c r="Y23" s="28"/>
      <c r="Z23" s="28"/>
      <c r="AA23" s="28"/>
      <c r="AB23" s="28"/>
      <c r="AC23" s="28"/>
      <c r="AD23" s="66"/>
      <c r="AE23" s="28"/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882</v>
      </c>
      <c r="C24" s="87"/>
      <c r="D24" s="20" t="s">
        <v>45</v>
      </c>
      <c r="E24" s="10" t="s">
        <v>226</v>
      </c>
      <c r="F24" s="22" t="s">
        <v>147</v>
      </c>
      <c r="G24" s="11" t="s">
        <v>9</v>
      </c>
      <c r="H24" s="21">
        <v>24422070060335</v>
      </c>
      <c r="I24" s="58" t="s">
        <v>839</v>
      </c>
      <c r="J24" s="70">
        <v>2</v>
      </c>
      <c r="K24" s="58" t="s">
        <v>798</v>
      </c>
      <c r="L24" s="58" t="s">
        <v>770</v>
      </c>
      <c r="M24" s="73">
        <f t="shared" si="0"/>
        <v>46056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885</v>
      </c>
      <c r="U24" s="12" t="s">
        <v>886</v>
      </c>
      <c r="V24" s="90" t="s">
        <v>777</v>
      </c>
      <c r="W24" s="28" t="s">
        <v>201</v>
      </c>
      <c r="X24" s="43" t="s">
        <v>155</v>
      </c>
      <c r="Y24" s="28"/>
      <c r="Z24" s="28">
        <v>1</v>
      </c>
      <c r="AA24" s="28">
        <v>1</v>
      </c>
      <c r="AB24" s="28"/>
      <c r="AC24" s="28">
        <v>2</v>
      </c>
      <c r="AD24" s="66">
        <v>1</v>
      </c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883</v>
      </c>
      <c r="C25" s="87"/>
      <c r="D25" s="20" t="s">
        <v>46</v>
      </c>
      <c r="E25" s="10" t="s">
        <v>227</v>
      </c>
      <c r="F25" s="22" t="s">
        <v>147</v>
      </c>
      <c r="G25" s="11" t="s">
        <v>9</v>
      </c>
      <c r="H25" s="21">
        <v>24422070060289</v>
      </c>
      <c r="I25" s="58" t="s">
        <v>788</v>
      </c>
      <c r="J25" s="70">
        <v>2</v>
      </c>
      <c r="K25" s="58" t="s">
        <v>798</v>
      </c>
      <c r="L25" s="58" t="s">
        <v>770</v>
      </c>
      <c r="M25" s="73">
        <f t="shared" si="0"/>
        <v>46070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885</v>
      </c>
      <c r="U25" s="12" t="s">
        <v>886</v>
      </c>
      <c r="V25" s="90" t="s">
        <v>777</v>
      </c>
      <c r="W25" s="28" t="s">
        <v>797</v>
      </c>
      <c r="X25" s="43" t="s">
        <v>155</v>
      </c>
      <c r="Y25" s="28"/>
      <c r="Z25" s="28">
        <v>1</v>
      </c>
      <c r="AA25" s="28">
        <v>1</v>
      </c>
      <c r="AB25" s="28">
        <v>2</v>
      </c>
      <c r="AC25" s="28">
        <v>2</v>
      </c>
      <c r="AD25" s="66">
        <v>1</v>
      </c>
      <c r="AE25" s="28"/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883</v>
      </c>
      <c r="C26" s="87"/>
      <c r="D26" s="20" t="s">
        <v>47</v>
      </c>
      <c r="E26" s="10" t="s">
        <v>228</v>
      </c>
      <c r="F26" s="22" t="s">
        <v>147</v>
      </c>
      <c r="G26" s="11" t="s">
        <v>9</v>
      </c>
      <c r="H26" s="21">
        <v>24422070060290</v>
      </c>
      <c r="I26" s="58" t="s">
        <v>784</v>
      </c>
      <c r="J26" s="58" t="s">
        <v>780</v>
      </c>
      <c r="K26" s="58" t="s">
        <v>837</v>
      </c>
      <c r="L26" s="58" t="s">
        <v>770</v>
      </c>
      <c r="M26" s="73">
        <f t="shared" si="0"/>
        <v>46092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885</v>
      </c>
      <c r="U26" s="12" t="s">
        <v>886</v>
      </c>
      <c r="V26" s="90" t="s">
        <v>777</v>
      </c>
      <c r="W26" s="28" t="s">
        <v>823</v>
      </c>
      <c r="X26" s="43" t="s">
        <v>155</v>
      </c>
      <c r="Y26" s="28"/>
      <c r="Z26" s="28">
        <v>1</v>
      </c>
      <c r="AA26" s="28">
        <v>1</v>
      </c>
      <c r="AB26" s="28">
        <v>2</v>
      </c>
      <c r="AC26" s="28">
        <v>2</v>
      </c>
      <c r="AD26" s="66">
        <v>1</v>
      </c>
      <c r="AE26" s="28"/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882</v>
      </c>
      <c r="C27" s="87"/>
      <c r="D27" s="20" t="s">
        <v>48</v>
      </c>
      <c r="E27" s="10" t="s">
        <v>229</v>
      </c>
      <c r="F27" s="22" t="s">
        <v>147</v>
      </c>
      <c r="G27" s="11" t="s">
        <v>9</v>
      </c>
      <c r="H27" s="21">
        <v>24422070060292</v>
      </c>
      <c r="I27" s="58" t="s">
        <v>787</v>
      </c>
      <c r="J27" s="58" t="s">
        <v>775</v>
      </c>
      <c r="K27" s="58" t="s">
        <v>768</v>
      </c>
      <c r="L27" s="58" t="s">
        <v>153</v>
      </c>
      <c r="M27" s="73">
        <f t="shared" si="0"/>
        <v>46006</v>
      </c>
      <c r="N27" s="23" t="e">
        <f t="shared" si="2"/>
        <v>#NUM!</v>
      </c>
      <c r="O27" s="73" t="e">
        <f t="shared" si="1"/>
        <v>#NUM!</v>
      </c>
      <c r="P27" s="58"/>
      <c r="Q27" s="58"/>
      <c r="R27" s="58"/>
      <c r="S27" s="58"/>
      <c r="T27" s="12" t="s">
        <v>885</v>
      </c>
      <c r="U27" s="12" t="s">
        <v>886</v>
      </c>
      <c r="V27" s="90" t="s">
        <v>777</v>
      </c>
      <c r="W27" s="28" t="s">
        <v>890</v>
      </c>
      <c r="X27" s="43" t="s">
        <v>771</v>
      </c>
      <c r="Y27" s="28"/>
      <c r="Z27" s="28">
        <v>1</v>
      </c>
      <c r="AA27" s="28">
        <v>1</v>
      </c>
      <c r="AB27" s="28">
        <v>1</v>
      </c>
      <c r="AC27" s="28">
        <v>1</v>
      </c>
      <c r="AD27" s="66">
        <v>1</v>
      </c>
      <c r="AE27" s="28">
        <v>2</v>
      </c>
      <c r="AF27" s="28"/>
      <c r="AG27" s="28"/>
      <c r="AH27" s="20"/>
      <c r="AI27" s="28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882</v>
      </c>
      <c r="C28" s="87"/>
      <c r="D28" s="20" t="s">
        <v>49</v>
      </c>
      <c r="E28" s="10" t="s">
        <v>230</v>
      </c>
      <c r="F28" s="22" t="s">
        <v>147</v>
      </c>
      <c r="G28" s="11" t="s">
        <v>9</v>
      </c>
      <c r="H28" s="21">
        <v>24422070060293</v>
      </c>
      <c r="I28" s="58" t="s">
        <v>785</v>
      </c>
      <c r="J28" s="70">
        <v>1</v>
      </c>
      <c r="K28" s="58" t="s">
        <v>187</v>
      </c>
      <c r="L28" s="58" t="s">
        <v>770</v>
      </c>
      <c r="M28" s="73">
        <f t="shared" si="0"/>
        <v>46035</v>
      </c>
      <c r="N28" s="23" t="e">
        <f t="shared" si="2"/>
        <v>#NUM!</v>
      </c>
      <c r="O28" s="73" t="e">
        <f t="shared" si="1"/>
        <v>#NUM!</v>
      </c>
      <c r="P28" s="58"/>
      <c r="Q28" s="58"/>
      <c r="R28" s="58"/>
      <c r="S28" s="58"/>
      <c r="T28" s="12" t="s">
        <v>885</v>
      </c>
      <c r="U28" s="12" t="s">
        <v>886</v>
      </c>
      <c r="V28" s="90" t="s">
        <v>777</v>
      </c>
      <c r="W28" s="107" t="s">
        <v>20</v>
      </c>
      <c r="X28" s="43" t="s">
        <v>155</v>
      </c>
      <c r="Y28" s="28"/>
      <c r="Z28" s="28">
        <v>1</v>
      </c>
      <c r="AA28" s="28">
        <v>1</v>
      </c>
      <c r="AB28" s="28">
        <v>2</v>
      </c>
      <c r="AC28" s="28">
        <v>2</v>
      </c>
      <c r="AD28" s="66">
        <v>1</v>
      </c>
      <c r="AE28" s="28"/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882</v>
      </c>
      <c r="C29" s="87"/>
      <c r="D29" s="20" t="s">
        <v>50</v>
      </c>
      <c r="E29" s="10" t="s">
        <v>231</v>
      </c>
      <c r="F29" s="22" t="s">
        <v>147</v>
      </c>
      <c r="G29" s="11" t="s">
        <v>9</v>
      </c>
      <c r="H29" s="21">
        <v>24422070060294</v>
      </c>
      <c r="I29" s="58"/>
      <c r="J29" s="58"/>
      <c r="K29" s="58"/>
      <c r="L29" s="58"/>
      <c r="M29" s="73" t="e">
        <f t="shared" si="0"/>
        <v>#NUM!</v>
      </c>
      <c r="N29" s="23" t="e">
        <f t="shared" si="2"/>
        <v>#NUM!</v>
      </c>
      <c r="O29" s="73" t="e">
        <f t="shared" si="1"/>
        <v>#NUM!</v>
      </c>
      <c r="P29" s="58"/>
      <c r="Q29" s="58"/>
      <c r="R29" s="58"/>
      <c r="S29" s="58"/>
      <c r="T29" s="12" t="s">
        <v>885</v>
      </c>
      <c r="U29" s="12" t="s">
        <v>886</v>
      </c>
      <c r="V29" s="90" t="s">
        <v>777</v>
      </c>
      <c r="W29" s="28" t="s">
        <v>835</v>
      </c>
      <c r="X29" s="43" t="s">
        <v>155</v>
      </c>
      <c r="Y29" s="28"/>
      <c r="Z29" s="28">
        <v>1</v>
      </c>
      <c r="AA29" s="28">
        <v>1</v>
      </c>
      <c r="AB29" s="28"/>
      <c r="AC29" s="28"/>
      <c r="AD29" s="66">
        <v>1</v>
      </c>
      <c r="AE29" s="28"/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882</v>
      </c>
      <c r="C30" s="87"/>
      <c r="D30" s="20" t="s">
        <v>51</v>
      </c>
      <c r="E30" s="10" t="s">
        <v>232</v>
      </c>
      <c r="F30" s="22" t="s">
        <v>147</v>
      </c>
      <c r="G30" s="11" t="s">
        <v>9</v>
      </c>
      <c r="H30" s="21">
        <v>24422070060295</v>
      </c>
      <c r="I30" s="58" t="s">
        <v>769</v>
      </c>
      <c r="J30" s="70">
        <v>2</v>
      </c>
      <c r="K30" s="58" t="s">
        <v>798</v>
      </c>
      <c r="L30" s="58" t="s">
        <v>770</v>
      </c>
      <c r="M30" s="73">
        <f t="shared" si="0"/>
        <v>46069</v>
      </c>
      <c r="N30" s="23" t="e">
        <f t="shared" si="2"/>
        <v>#NUM!</v>
      </c>
      <c r="O30" s="73" t="e">
        <f t="shared" si="1"/>
        <v>#NUM!</v>
      </c>
      <c r="P30" s="58"/>
      <c r="Q30" s="58"/>
      <c r="R30" s="58"/>
      <c r="S30" s="58"/>
      <c r="T30" s="12" t="s">
        <v>885</v>
      </c>
      <c r="U30" s="12" t="s">
        <v>886</v>
      </c>
      <c r="V30" s="90" t="s">
        <v>777</v>
      </c>
      <c r="W30" s="28" t="s">
        <v>891</v>
      </c>
      <c r="X30" s="43" t="s">
        <v>155</v>
      </c>
      <c r="Y30" s="28"/>
      <c r="Z30" s="28">
        <v>1</v>
      </c>
      <c r="AA30" s="28">
        <v>1</v>
      </c>
      <c r="AB30" s="28">
        <v>1</v>
      </c>
      <c r="AC30" s="28">
        <v>1</v>
      </c>
      <c r="AD30" s="66">
        <v>1</v>
      </c>
      <c r="AE30" s="28"/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882</v>
      </c>
      <c r="C31" s="118">
        <v>1</v>
      </c>
      <c r="D31" s="20" t="s">
        <v>52</v>
      </c>
      <c r="E31" s="10" t="s">
        <v>233</v>
      </c>
      <c r="F31" s="22" t="s">
        <v>147</v>
      </c>
      <c r="G31" s="11" t="s">
        <v>9</v>
      </c>
      <c r="H31" s="21">
        <v>24422070060296</v>
      </c>
      <c r="I31" s="59"/>
      <c r="J31" s="71"/>
      <c r="K31" s="59"/>
      <c r="L31" s="59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9"/>
      <c r="Q31" s="59"/>
      <c r="R31" s="59"/>
      <c r="S31" s="59"/>
      <c r="T31" s="12" t="s">
        <v>885</v>
      </c>
      <c r="U31" s="12" t="s">
        <v>886</v>
      </c>
      <c r="V31" s="90"/>
      <c r="W31" s="28"/>
      <c r="X31" s="43"/>
      <c r="Y31" s="28"/>
      <c r="Z31" s="28"/>
      <c r="AA31" s="28"/>
      <c r="AB31" s="28"/>
      <c r="AC31" s="28"/>
      <c r="AD31" s="66"/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883</v>
      </c>
      <c r="C32" s="87"/>
      <c r="D32" s="20" t="s">
        <v>53</v>
      </c>
      <c r="E32" s="10" t="s">
        <v>234</v>
      </c>
      <c r="F32" s="22" t="s">
        <v>147</v>
      </c>
      <c r="G32" s="11" t="s">
        <v>9</v>
      </c>
      <c r="H32" s="21">
        <v>24422070060297</v>
      </c>
      <c r="I32" s="59" t="s">
        <v>775</v>
      </c>
      <c r="J32" s="71">
        <v>1</v>
      </c>
      <c r="K32" s="59" t="s">
        <v>187</v>
      </c>
      <c r="L32" s="59" t="s">
        <v>770</v>
      </c>
      <c r="M32" s="73">
        <f t="shared" si="0"/>
        <v>46034</v>
      </c>
      <c r="N32" s="23" t="e">
        <f t="shared" si="2"/>
        <v>#NUM!</v>
      </c>
      <c r="O32" s="73" t="e">
        <f t="shared" si="1"/>
        <v>#NUM!</v>
      </c>
      <c r="P32" s="59"/>
      <c r="Q32" s="59"/>
      <c r="R32" s="59"/>
      <c r="S32" s="59"/>
      <c r="T32" s="12" t="s">
        <v>885</v>
      </c>
      <c r="U32" s="12" t="s">
        <v>886</v>
      </c>
      <c r="V32" s="90" t="s">
        <v>777</v>
      </c>
      <c r="W32" s="28" t="s">
        <v>889</v>
      </c>
      <c r="X32" s="43" t="s">
        <v>155</v>
      </c>
      <c r="Y32" s="38"/>
      <c r="Z32" s="38">
        <v>1</v>
      </c>
      <c r="AA32" s="28">
        <v>1</v>
      </c>
      <c r="AB32" s="28">
        <v>2</v>
      </c>
      <c r="AC32" s="28">
        <v>2</v>
      </c>
      <c r="AD32" s="66">
        <v>1</v>
      </c>
      <c r="AE32" s="28"/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883</v>
      </c>
      <c r="C33" s="87"/>
      <c r="D33" s="20" t="s">
        <v>54</v>
      </c>
      <c r="E33" s="10" t="s">
        <v>235</v>
      </c>
      <c r="F33" s="22" t="s">
        <v>147</v>
      </c>
      <c r="G33" s="11" t="s">
        <v>9</v>
      </c>
      <c r="H33" s="21">
        <v>24422070060298</v>
      </c>
      <c r="I33" s="59"/>
      <c r="J33" s="71"/>
      <c r="K33" s="59"/>
      <c r="L33" s="59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9"/>
      <c r="Q33" s="59"/>
      <c r="R33" s="59"/>
      <c r="S33" s="59"/>
      <c r="T33" s="12" t="s">
        <v>885</v>
      </c>
      <c r="U33" s="12" t="s">
        <v>886</v>
      </c>
      <c r="V33" s="90" t="s">
        <v>165</v>
      </c>
      <c r="W33" s="28" t="s">
        <v>795</v>
      </c>
      <c r="X33" s="43" t="s">
        <v>155</v>
      </c>
      <c r="Y33" s="28"/>
      <c r="Z33" s="28">
        <v>1</v>
      </c>
      <c r="AA33" s="28">
        <v>1</v>
      </c>
      <c r="AB33" s="28"/>
      <c r="AC33" s="28"/>
      <c r="AD33" s="66">
        <v>1</v>
      </c>
      <c r="AE33" s="28"/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883</v>
      </c>
      <c r="C34" s="118">
        <v>1</v>
      </c>
      <c r="D34" s="20" t="s">
        <v>55</v>
      </c>
      <c r="E34" s="10" t="s">
        <v>236</v>
      </c>
      <c r="F34" s="22" t="s">
        <v>147</v>
      </c>
      <c r="G34" s="11" t="s">
        <v>9</v>
      </c>
      <c r="H34" s="21">
        <v>24422070060299</v>
      </c>
      <c r="I34" s="59"/>
      <c r="J34" s="71"/>
      <c r="K34" s="59"/>
      <c r="L34" s="59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9"/>
      <c r="Q34" s="59"/>
      <c r="R34" s="59"/>
      <c r="S34" s="59"/>
      <c r="T34" s="12" t="s">
        <v>885</v>
      </c>
      <c r="U34" s="12" t="s">
        <v>886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126</v>
      </c>
      <c r="B35" s="2" t="s">
        <v>883</v>
      </c>
      <c r="C35" s="118">
        <v>2</v>
      </c>
      <c r="D35" s="20" t="s">
        <v>56</v>
      </c>
      <c r="E35" s="10" t="s">
        <v>237</v>
      </c>
      <c r="F35" s="22" t="s">
        <v>147</v>
      </c>
      <c r="G35" s="11" t="s">
        <v>9</v>
      </c>
      <c r="H35" s="21">
        <v>24422070060300</v>
      </c>
      <c r="I35" s="58"/>
      <c r="J35" s="70"/>
      <c r="K35" s="58"/>
      <c r="L35" s="58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8"/>
      <c r="Q35" s="58"/>
      <c r="R35" s="58"/>
      <c r="S35" s="58"/>
      <c r="T35" s="12" t="s">
        <v>885</v>
      </c>
      <c r="U35" s="12" t="s">
        <v>886</v>
      </c>
      <c r="V35" s="90"/>
      <c r="W35" s="28"/>
      <c r="X35" s="43"/>
      <c r="Y35" s="28"/>
      <c r="Z35" s="28"/>
      <c r="AA35" s="28"/>
      <c r="AB35" s="28"/>
      <c r="AC35" s="28"/>
      <c r="AD35" s="66"/>
      <c r="AE35" s="28"/>
      <c r="AF35" s="28"/>
      <c r="AG35" s="28"/>
      <c r="AH35" s="20"/>
      <c r="AI35" s="28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883</v>
      </c>
      <c r="C36" s="87"/>
      <c r="D36" s="20" t="s">
        <v>57</v>
      </c>
      <c r="E36" s="10" t="s">
        <v>238</v>
      </c>
      <c r="F36" s="22" t="s">
        <v>147</v>
      </c>
      <c r="G36" s="11" t="s">
        <v>9</v>
      </c>
      <c r="H36" s="21">
        <v>24422070060599</v>
      </c>
      <c r="I36" s="58"/>
      <c r="J36" s="70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885</v>
      </c>
      <c r="U36" s="12" t="s">
        <v>886</v>
      </c>
      <c r="V36" s="90"/>
      <c r="W36" s="28"/>
      <c r="X36" s="43"/>
      <c r="Y36" s="28"/>
      <c r="Z36" s="28"/>
      <c r="AA36" s="28"/>
      <c r="AB36" s="28"/>
      <c r="AC36" s="28"/>
      <c r="AD36" s="66"/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883</v>
      </c>
      <c r="C37" s="87"/>
      <c r="D37" s="20" t="s">
        <v>58</v>
      </c>
      <c r="E37" s="10" t="s">
        <v>239</v>
      </c>
      <c r="F37" s="22" t="s">
        <v>147</v>
      </c>
      <c r="G37" s="11" t="s">
        <v>9</v>
      </c>
      <c r="H37" s="21">
        <v>24422070060301</v>
      </c>
      <c r="I37" s="58"/>
      <c r="J37" s="58"/>
      <c r="K37" s="58"/>
      <c r="L37" s="58"/>
      <c r="M37" s="73" t="e">
        <f t="shared" si="0"/>
        <v>#NUM!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885</v>
      </c>
      <c r="U37" s="12" t="s">
        <v>886</v>
      </c>
      <c r="V37" s="90"/>
      <c r="W37" s="28"/>
      <c r="X37" s="43"/>
      <c r="Y37" s="28"/>
      <c r="Z37" s="28"/>
      <c r="AA37" s="28"/>
      <c r="AB37" s="28"/>
      <c r="AC37" s="28"/>
      <c r="AD37" s="66"/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882</v>
      </c>
      <c r="C38" s="118">
        <v>1</v>
      </c>
      <c r="D38" s="20" t="s">
        <v>59</v>
      </c>
      <c r="E38" s="10" t="s">
        <v>240</v>
      </c>
      <c r="F38" s="22" t="s">
        <v>147</v>
      </c>
      <c r="G38" s="11" t="s">
        <v>9</v>
      </c>
      <c r="H38" s="21">
        <v>24422070060302</v>
      </c>
      <c r="I38" s="58" t="s">
        <v>791</v>
      </c>
      <c r="J38" s="70">
        <v>3</v>
      </c>
      <c r="K38" s="58" t="s">
        <v>837</v>
      </c>
      <c r="L38" s="58" t="s">
        <v>770</v>
      </c>
      <c r="M38" s="73">
        <f t="shared" si="0"/>
        <v>46104</v>
      </c>
      <c r="N38" s="23" t="e">
        <f t="shared" si="2"/>
        <v>#NUM!</v>
      </c>
      <c r="O38" s="73" t="e">
        <f t="shared" si="1"/>
        <v>#NUM!</v>
      </c>
      <c r="P38" s="58"/>
      <c r="Q38" s="58"/>
      <c r="R38" s="58"/>
      <c r="S38" s="58"/>
      <c r="T38" s="12" t="s">
        <v>885</v>
      </c>
      <c r="U38" s="12" t="s">
        <v>886</v>
      </c>
      <c r="V38" s="90" t="s">
        <v>777</v>
      </c>
      <c r="W38" s="28" t="s">
        <v>865</v>
      </c>
      <c r="X38" s="43" t="s">
        <v>771</v>
      </c>
      <c r="Y38" s="28"/>
      <c r="Z38" s="28">
        <v>2</v>
      </c>
      <c r="AA38" s="28">
        <v>2</v>
      </c>
      <c r="AB38" s="28">
        <v>2</v>
      </c>
      <c r="AC38" s="28">
        <v>2</v>
      </c>
      <c r="AD38" s="66">
        <v>2</v>
      </c>
      <c r="AE38" s="28"/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883</v>
      </c>
      <c r="C39" s="87"/>
      <c r="D39" s="20" t="s">
        <v>60</v>
      </c>
      <c r="E39" s="10" t="s">
        <v>241</v>
      </c>
      <c r="F39" s="22" t="s">
        <v>147</v>
      </c>
      <c r="G39" s="11" t="s">
        <v>9</v>
      </c>
      <c r="H39" s="21">
        <v>24422070060303</v>
      </c>
      <c r="I39" s="58" t="s">
        <v>775</v>
      </c>
      <c r="J39" s="70">
        <v>2</v>
      </c>
      <c r="K39" s="58" t="s">
        <v>798</v>
      </c>
      <c r="L39" s="58" t="s">
        <v>770</v>
      </c>
      <c r="M39" s="73">
        <f t="shared" si="0"/>
        <v>46065</v>
      </c>
      <c r="N39" s="23" t="e">
        <f t="shared" si="2"/>
        <v>#NUM!</v>
      </c>
      <c r="O39" s="73" t="e">
        <f t="shared" si="1"/>
        <v>#NUM!</v>
      </c>
      <c r="P39" s="58"/>
      <c r="Q39" s="58"/>
      <c r="R39" s="58"/>
      <c r="S39" s="58"/>
      <c r="T39" s="12" t="s">
        <v>885</v>
      </c>
      <c r="U39" s="12" t="s">
        <v>886</v>
      </c>
      <c r="V39" s="90" t="s">
        <v>777</v>
      </c>
      <c r="W39" s="28" t="s">
        <v>168</v>
      </c>
      <c r="X39" s="43" t="s">
        <v>771</v>
      </c>
      <c r="Y39" s="28"/>
      <c r="Z39" s="28">
        <v>1</v>
      </c>
      <c r="AA39" s="28">
        <v>1</v>
      </c>
      <c r="AB39" s="28">
        <v>1</v>
      </c>
      <c r="AC39" s="28">
        <v>1</v>
      </c>
      <c r="AD39" s="66">
        <v>1</v>
      </c>
      <c r="AE39" s="28"/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883</v>
      </c>
      <c r="C40" s="87"/>
      <c r="D40" s="20" t="s">
        <v>61</v>
      </c>
      <c r="E40" s="10" t="s">
        <v>242</v>
      </c>
      <c r="F40" s="22" t="s">
        <v>147</v>
      </c>
      <c r="G40" s="11" t="s">
        <v>9</v>
      </c>
      <c r="H40" s="21">
        <v>24422070060304</v>
      </c>
      <c r="I40" s="58" t="s">
        <v>839</v>
      </c>
      <c r="J40" s="58" t="s">
        <v>801</v>
      </c>
      <c r="K40" s="58" t="s">
        <v>798</v>
      </c>
      <c r="L40" s="58" t="s">
        <v>770</v>
      </c>
      <c r="M40" s="73">
        <f t="shared" si="0"/>
        <v>46056</v>
      </c>
      <c r="N40" s="23" t="e">
        <f t="shared" si="2"/>
        <v>#NUM!</v>
      </c>
      <c r="O40" s="73" t="e">
        <f t="shared" si="1"/>
        <v>#NUM!</v>
      </c>
      <c r="P40" s="58"/>
      <c r="Q40" s="58"/>
      <c r="R40" s="58"/>
      <c r="S40" s="58"/>
      <c r="T40" s="12" t="s">
        <v>885</v>
      </c>
      <c r="U40" s="12" t="s">
        <v>886</v>
      </c>
      <c r="V40" s="90" t="s">
        <v>777</v>
      </c>
      <c r="W40" s="28" t="s">
        <v>799</v>
      </c>
      <c r="X40" s="43" t="s">
        <v>155</v>
      </c>
      <c r="Y40" s="28"/>
      <c r="Z40" s="28">
        <v>1</v>
      </c>
      <c r="AA40" s="28">
        <v>1</v>
      </c>
      <c r="AB40" s="28">
        <v>2</v>
      </c>
      <c r="AC40" s="28">
        <v>2</v>
      </c>
      <c r="AD40" s="66">
        <v>1</v>
      </c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2" t="s">
        <v>882</v>
      </c>
      <c r="C41" s="87"/>
      <c r="D41" s="20" t="s">
        <v>62</v>
      </c>
      <c r="E41" s="10" t="s">
        <v>243</v>
      </c>
      <c r="F41" s="22" t="s">
        <v>147</v>
      </c>
      <c r="G41" s="11" t="s">
        <v>9</v>
      </c>
      <c r="H41" s="21">
        <v>24422070060305</v>
      </c>
      <c r="I41" s="58"/>
      <c r="J41" s="70"/>
      <c r="K41" s="58"/>
      <c r="L41" s="58"/>
      <c r="M41" s="73" t="e">
        <f t="shared" si="0"/>
        <v>#NUM!</v>
      </c>
      <c r="N41" s="23" t="e">
        <f t="shared" si="2"/>
        <v>#NUM!</v>
      </c>
      <c r="O41" s="73" t="e">
        <f t="shared" si="1"/>
        <v>#NUM!</v>
      </c>
      <c r="P41" s="58"/>
      <c r="Q41" s="58"/>
      <c r="R41" s="58"/>
      <c r="S41" s="58"/>
      <c r="T41" s="12" t="s">
        <v>885</v>
      </c>
      <c r="U41" s="12" t="s">
        <v>886</v>
      </c>
      <c r="V41" s="90" t="s">
        <v>777</v>
      </c>
      <c r="W41" s="28" t="s">
        <v>773</v>
      </c>
      <c r="X41" s="43" t="s">
        <v>771</v>
      </c>
      <c r="Y41" s="28"/>
      <c r="Z41" s="28">
        <v>1</v>
      </c>
      <c r="AA41" s="28">
        <v>1</v>
      </c>
      <c r="AB41" s="28"/>
      <c r="AC41" s="28"/>
      <c r="AD41" s="66">
        <v>1</v>
      </c>
      <c r="AE41" s="28"/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2" t="s">
        <v>883</v>
      </c>
      <c r="C42" s="87"/>
      <c r="D42" s="20" t="s">
        <v>63</v>
      </c>
      <c r="E42" s="10" t="s">
        <v>244</v>
      </c>
      <c r="F42" s="22" t="s">
        <v>147</v>
      </c>
      <c r="G42" s="11" t="s">
        <v>9</v>
      </c>
      <c r="H42" s="21">
        <v>24422070060307</v>
      </c>
      <c r="I42" s="59" t="s">
        <v>775</v>
      </c>
      <c r="J42" s="71">
        <v>1</v>
      </c>
      <c r="K42" s="59" t="s">
        <v>187</v>
      </c>
      <c r="L42" s="59" t="s">
        <v>770</v>
      </c>
      <c r="M42" s="73">
        <f t="shared" si="0"/>
        <v>46034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885</v>
      </c>
      <c r="U42" s="12" t="s">
        <v>886</v>
      </c>
      <c r="V42" s="90" t="s">
        <v>777</v>
      </c>
      <c r="W42" s="28" t="s">
        <v>20</v>
      </c>
      <c r="X42" s="43" t="s">
        <v>155</v>
      </c>
      <c r="Y42" s="28"/>
      <c r="Z42" s="28">
        <v>1</v>
      </c>
      <c r="AA42" s="28">
        <v>1</v>
      </c>
      <c r="AB42" s="28">
        <v>2</v>
      </c>
      <c r="AC42" s="28">
        <v>2</v>
      </c>
      <c r="AD42" s="66">
        <v>1</v>
      </c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spans="1:48" ht="15.75" customHeight="1" thickBot="1" x14ac:dyDescent="0.3">
      <c r="A43" s="1" t="s">
        <v>126</v>
      </c>
      <c r="B43" s="2" t="s">
        <v>882</v>
      </c>
      <c r="C43" s="87"/>
      <c r="D43" s="20" t="s">
        <v>64</v>
      </c>
      <c r="E43" s="10" t="s">
        <v>245</v>
      </c>
      <c r="F43" s="22" t="s">
        <v>147</v>
      </c>
      <c r="G43" s="11" t="s">
        <v>9</v>
      </c>
      <c r="H43" s="21">
        <v>24422070060308</v>
      </c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885</v>
      </c>
      <c r="U43" s="12" t="s">
        <v>886</v>
      </c>
      <c r="V43" s="90" t="s">
        <v>777</v>
      </c>
      <c r="W43" s="28" t="s">
        <v>835</v>
      </c>
      <c r="X43" s="43" t="s">
        <v>155</v>
      </c>
      <c r="Y43" s="28"/>
      <c r="Z43" s="28">
        <v>1</v>
      </c>
      <c r="AA43" s="28">
        <v>1</v>
      </c>
      <c r="AB43" s="28"/>
      <c r="AC43" s="28"/>
      <c r="AD43" s="66">
        <v>1</v>
      </c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spans="1:48" ht="15.75" customHeight="1" thickBot="1" x14ac:dyDescent="0.3">
      <c r="A44" s="1" t="s">
        <v>126</v>
      </c>
      <c r="B44" s="2" t="s">
        <v>882</v>
      </c>
      <c r="C44" s="87"/>
      <c r="D44" s="20" t="s">
        <v>65</v>
      </c>
      <c r="E44" s="10" t="s">
        <v>246</v>
      </c>
      <c r="F44" s="22" t="s">
        <v>147</v>
      </c>
      <c r="G44" s="11" t="s">
        <v>9</v>
      </c>
      <c r="H44" s="21">
        <v>24422070060309</v>
      </c>
      <c r="I44" s="59"/>
      <c r="J44" s="71"/>
      <c r="K44" s="59"/>
      <c r="L44" s="59"/>
      <c r="M44" s="73" t="e">
        <f t="shared" si="0"/>
        <v>#NUM!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885</v>
      </c>
      <c r="U44" s="12" t="s">
        <v>886</v>
      </c>
      <c r="V44" s="90"/>
      <c r="W44" s="28"/>
      <c r="X44" s="43"/>
      <c r="Y44" s="28"/>
      <c r="Z44" s="28"/>
      <c r="AA44" s="28"/>
      <c r="AB44" s="28"/>
      <c r="AC44" s="28"/>
      <c r="AD44" s="66"/>
      <c r="AE44" s="28"/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126</v>
      </c>
      <c r="B45" s="2" t="s">
        <v>882</v>
      </c>
      <c r="C45" s="87"/>
      <c r="D45" s="20" t="s">
        <v>66</v>
      </c>
      <c r="E45" s="10" t="s">
        <v>247</v>
      </c>
      <c r="F45" s="22" t="s">
        <v>147</v>
      </c>
      <c r="G45" s="11" t="s">
        <v>9</v>
      </c>
      <c r="H45" s="23">
        <v>24422070060310</v>
      </c>
      <c r="I45" s="59" t="s">
        <v>866</v>
      </c>
      <c r="J45" s="71">
        <v>2</v>
      </c>
      <c r="K45" s="59" t="s">
        <v>798</v>
      </c>
      <c r="L45" s="59" t="s">
        <v>770</v>
      </c>
      <c r="M45" s="73">
        <f t="shared" si="0"/>
        <v>46078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885</v>
      </c>
      <c r="U45" s="12" t="s">
        <v>886</v>
      </c>
      <c r="V45" s="90" t="s">
        <v>777</v>
      </c>
      <c r="W45" s="28" t="s">
        <v>737</v>
      </c>
      <c r="X45" s="43" t="s">
        <v>155</v>
      </c>
      <c r="Y45" s="28"/>
      <c r="Z45" s="28">
        <v>1</v>
      </c>
      <c r="AA45" s="28">
        <v>1</v>
      </c>
      <c r="AB45" s="28">
        <v>2</v>
      </c>
      <c r="AC45" s="28">
        <v>2</v>
      </c>
      <c r="AD45" s="66">
        <v>1</v>
      </c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126</v>
      </c>
      <c r="B46" s="4" t="s">
        <v>883</v>
      </c>
      <c r="C46" s="118">
        <v>1</v>
      </c>
      <c r="D46" s="20" t="s">
        <v>67</v>
      </c>
      <c r="E46" s="10" t="s">
        <v>248</v>
      </c>
      <c r="F46" s="22" t="s">
        <v>147</v>
      </c>
      <c r="G46" s="11" t="s">
        <v>9</v>
      </c>
      <c r="H46" s="23">
        <v>24422070060311</v>
      </c>
      <c r="I46" s="59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885</v>
      </c>
      <c r="U46" s="12" t="s">
        <v>886</v>
      </c>
      <c r="V46" s="90"/>
      <c r="W46" s="28"/>
      <c r="X46" s="43"/>
      <c r="Y46" s="28"/>
      <c r="Z46" s="28"/>
      <c r="AA46" s="28"/>
      <c r="AB46" s="28"/>
      <c r="AC46" s="28"/>
      <c r="AD46" s="66"/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 t="s">
        <v>126</v>
      </c>
      <c r="B47" s="5" t="s">
        <v>882</v>
      </c>
      <c r="C47" s="88"/>
      <c r="D47" s="20" t="s">
        <v>68</v>
      </c>
      <c r="E47" s="10" t="s">
        <v>249</v>
      </c>
      <c r="F47" s="22" t="s">
        <v>147</v>
      </c>
      <c r="G47" s="11" t="s">
        <v>9</v>
      </c>
      <c r="H47" s="21">
        <v>24422070060312</v>
      </c>
      <c r="I47" s="59"/>
      <c r="J47" s="71"/>
      <c r="K47" s="59"/>
      <c r="L47" s="59"/>
      <c r="M47" s="73" t="e">
        <f t="shared" si="0"/>
        <v>#NUM!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885</v>
      </c>
      <c r="U47" s="12" t="s">
        <v>886</v>
      </c>
      <c r="V47" s="90" t="s">
        <v>777</v>
      </c>
      <c r="W47" s="28" t="s">
        <v>743</v>
      </c>
      <c r="X47" s="43" t="s">
        <v>155</v>
      </c>
      <c r="Y47" s="28"/>
      <c r="Z47" s="28">
        <v>2</v>
      </c>
      <c r="AA47" s="28">
        <v>2</v>
      </c>
      <c r="AB47" s="28"/>
      <c r="AC47" s="28"/>
      <c r="AD47" s="66">
        <v>2</v>
      </c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6"/>
      <c r="AV47" s="6"/>
    </row>
    <row r="48" spans="1:48" ht="15.75" customHeight="1" thickBot="1" x14ac:dyDescent="0.3">
      <c r="A48" s="1" t="s">
        <v>126</v>
      </c>
      <c r="B48" s="45" t="s">
        <v>882</v>
      </c>
      <c r="C48" s="89"/>
      <c r="D48" s="20" t="s">
        <v>69</v>
      </c>
      <c r="E48" s="10" t="s">
        <v>250</v>
      </c>
      <c r="F48" s="22" t="s">
        <v>147</v>
      </c>
      <c r="G48" s="11" t="s">
        <v>9</v>
      </c>
      <c r="H48" s="21">
        <v>24422070060313</v>
      </c>
      <c r="I48" s="59" t="s">
        <v>792</v>
      </c>
      <c r="J48" s="71">
        <v>1</v>
      </c>
      <c r="K48" s="59" t="s">
        <v>187</v>
      </c>
      <c r="L48" s="59" t="s">
        <v>770</v>
      </c>
      <c r="M48" s="73">
        <f t="shared" si="0"/>
        <v>46048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885</v>
      </c>
      <c r="U48" s="12" t="s">
        <v>886</v>
      </c>
      <c r="V48" s="90" t="s">
        <v>777</v>
      </c>
      <c r="W48" s="28" t="s">
        <v>773</v>
      </c>
      <c r="X48" s="43" t="s">
        <v>771</v>
      </c>
      <c r="Y48" s="28"/>
      <c r="Z48" s="28">
        <v>1</v>
      </c>
      <c r="AA48" s="28">
        <v>1</v>
      </c>
      <c r="AB48" s="28">
        <v>2</v>
      </c>
      <c r="AC48" s="28">
        <v>2</v>
      </c>
      <c r="AD48" s="66">
        <v>1</v>
      </c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6"/>
      <c r="AV48" s="6"/>
    </row>
    <row r="49" spans="1:48" ht="15.75" customHeight="1" thickBot="1" x14ac:dyDescent="0.3">
      <c r="A49" s="1" t="s">
        <v>126</v>
      </c>
      <c r="B49" s="46" t="s">
        <v>882</v>
      </c>
      <c r="C49" s="50"/>
      <c r="D49" s="20" t="s">
        <v>70</v>
      </c>
      <c r="E49" s="10" t="s">
        <v>251</v>
      </c>
      <c r="F49" s="22" t="s">
        <v>147</v>
      </c>
      <c r="G49" s="11" t="s">
        <v>9</v>
      </c>
      <c r="H49" s="21">
        <v>24422070060314</v>
      </c>
      <c r="I49" s="59"/>
      <c r="J49" s="59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885</v>
      </c>
      <c r="U49" s="12" t="s">
        <v>886</v>
      </c>
      <c r="V49" s="90"/>
      <c r="W49" s="28"/>
      <c r="X49" s="43"/>
      <c r="Y49" s="28"/>
      <c r="Z49" s="28"/>
      <c r="AA49" s="28"/>
      <c r="AB49" s="28"/>
      <c r="AC49" s="28"/>
      <c r="AD49" s="66"/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6"/>
      <c r="AV49" s="6"/>
    </row>
    <row r="50" spans="1:48" ht="15.75" customHeight="1" thickBot="1" x14ac:dyDescent="0.3">
      <c r="A50" s="1" t="s">
        <v>17</v>
      </c>
      <c r="B50" s="46" t="s">
        <v>882</v>
      </c>
      <c r="C50" s="50"/>
      <c r="D50" s="20" t="s">
        <v>71</v>
      </c>
      <c r="E50" s="10" t="s">
        <v>252</v>
      </c>
      <c r="F50" s="22" t="s">
        <v>147</v>
      </c>
      <c r="G50" s="11" t="s">
        <v>7</v>
      </c>
      <c r="H50" s="21">
        <v>24422070060315</v>
      </c>
      <c r="I50" s="59"/>
      <c r="J50" s="71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885</v>
      </c>
      <c r="U50" s="12" t="s">
        <v>886</v>
      </c>
      <c r="V50" s="90"/>
      <c r="W50" s="28"/>
      <c r="X50" s="43"/>
      <c r="Y50" s="28"/>
      <c r="Z50" s="28"/>
      <c r="AA50" s="28"/>
      <c r="AB50" s="28"/>
      <c r="AC50" s="28"/>
      <c r="AD50" s="66"/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8" ht="15.75" customHeight="1" thickBot="1" x14ac:dyDescent="0.3">
      <c r="A51" s="1" t="s">
        <v>17</v>
      </c>
      <c r="B51" s="46" t="s">
        <v>883</v>
      </c>
      <c r="C51" s="50"/>
      <c r="D51" s="20" t="s">
        <v>72</v>
      </c>
      <c r="E51" s="10" t="s">
        <v>253</v>
      </c>
      <c r="F51" s="22" t="s">
        <v>147</v>
      </c>
      <c r="G51" s="11" t="s">
        <v>7</v>
      </c>
      <c r="H51" s="21">
        <v>24422070060316</v>
      </c>
      <c r="I51" s="59"/>
      <c r="J51" s="71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885</v>
      </c>
      <c r="U51" s="12" t="s">
        <v>886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8" ht="15.75" customHeight="1" thickBot="1" x14ac:dyDescent="0.3">
      <c r="A52" s="1" t="s">
        <v>17</v>
      </c>
      <c r="B52" s="46" t="s">
        <v>883</v>
      </c>
      <c r="C52" s="50"/>
      <c r="D52" s="20" t="s">
        <v>73</v>
      </c>
      <c r="E52" s="10" t="s">
        <v>254</v>
      </c>
      <c r="F52" s="22" t="s">
        <v>147</v>
      </c>
      <c r="G52" s="11" t="s">
        <v>7</v>
      </c>
      <c r="H52" s="21">
        <v>24422070060317</v>
      </c>
      <c r="I52" s="59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885</v>
      </c>
      <c r="U52" s="12" t="s">
        <v>886</v>
      </c>
      <c r="V52" s="90" t="s">
        <v>777</v>
      </c>
      <c r="W52" s="28" t="s">
        <v>730</v>
      </c>
      <c r="X52" s="43" t="s">
        <v>155</v>
      </c>
      <c r="Y52" s="28"/>
      <c r="Z52" s="28">
        <v>1</v>
      </c>
      <c r="AA52" s="28">
        <v>1</v>
      </c>
      <c r="AB52" s="28"/>
      <c r="AC52" s="28"/>
      <c r="AD52" s="66">
        <v>1</v>
      </c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8" ht="15.75" customHeight="1" thickBot="1" x14ac:dyDescent="0.3">
      <c r="A53" s="1" t="s">
        <v>17</v>
      </c>
      <c r="B53" s="46" t="s">
        <v>882</v>
      </c>
      <c r="C53" s="50"/>
      <c r="D53" s="20" t="s">
        <v>74</v>
      </c>
      <c r="E53" s="10" t="s">
        <v>255</v>
      </c>
      <c r="F53" s="22" t="s">
        <v>147</v>
      </c>
      <c r="G53" s="11" t="s">
        <v>7</v>
      </c>
      <c r="H53" s="21">
        <v>24422070060318</v>
      </c>
      <c r="I53" s="59"/>
      <c r="J53" s="71"/>
      <c r="K53" s="59"/>
      <c r="L53" s="59"/>
      <c r="M53" s="73" t="e">
        <f t="shared" si="0"/>
        <v>#NUM!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885</v>
      </c>
      <c r="U53" s="12" t="s">
        <v>886</v>
      </c>
      <c r="V53" s="90" t="s">
        <v>777</v>
      </c>
      <c r="W53" s="28" t="s">
        <v>730</v>
      </c>
      <c r="X53" s="43" t="s">
        <v>155</v>
      </c>
      <c r="Y53" s="28"/>
      <c r="Z53" s="28">
        <v>1</v>
      </c>
      <c r="AA53" s="28">
        <v>1</v>
      </c>
      <c r="AB53" s="28"/>
      <c r="AC53" s="28"/>
      <c r="AD53" s="66">
        <v>1</v>
      </c>
      <c r="AE53" s="28"/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8" ht="15.75" customHeight="1" thickBot="1" x14ac:dyDescent="0.3">
      <c r="A54" s="1" t="s">
        <v>17</v>
      </c>
      <c r="B54" s="46" t="s">
        <v>882</v>
      </c>
      <c r="C54" s="50"/>
      <c r="D54" s="20" t="s">
        <v>75</v>
      </c>
      <c r="E54" s="10" t="s">
        <v>256</v>
      </c>
      <c r="F54" s="22" t="s">
        <v>147</v>
      </c>
      <c r="G54" s="11" t="s">
        <v>7</v>
      </c>
      <c r="H54" s="21">
        <v>24422070060580</v>
      </c>
      <c r="I54" s="59"/>
      <c r="J54" s="71"/>
      <c r="K54" s="59"/>
      <c r="L54" s="59"/>
      <c r="M54" s="73" t="e">
        <f t="shared" si="0"/>
        <v>#NUM!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885</v>
      </c>
      <c r="U54" s="12" t="s">
        <v>886</v>
      </c>
      <c r="V54" s="90" t="s">
        <v>777</v>
      </c>
      <c r="W54" s="28" t="s">
        <v>730</v>
      </c>
      <c r="X54" s="43" t="s">
        <v>155</v>
      </c>
      <c r="Y54" s="28"/>
      <c r="Z54" s="28">
        <v>1</v>
      </c>
      <c r="AA54" s="28">
        <v>1</v>
      </c>
      <c r="AB54" s="28"/>
      <c r="AC54" s="28"/>
      <c r="AD54" s="66">
        <v>1</v>
      </c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8" ht="15.75" customHeight="1" thickBot="1" x14ac:dyDescent="0.3">
      <c r="A55" s="1" t="s">
        <v>17</v>
      </c>
      <c r="B55" s="46" t="s">
        <v>883</v>
      </c>
      <c r="C55" s="50"/>
      <c r="D55" s="20" t="s">
        <v>76</v>
      </c>
      <c r="E55" s="10" t="s">
        <v>257</v>
      </c>
      <c r="F55" s="22" t="s">
        <v>147</v>
      </c>
      <c r="G55" s="11" t="s">
        <v>7</v>
      </c>
      <c r="H55" s="21">
        <v>24422070060319</v>
      </c>
      <c r="I55" s="59"/>
      <c r="J55" s="71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885</v>
      </c>
      <c r="U55" s="12" t="s">
        <v>886</v>
      </c>
      <c r="V55" s="90" t="s">
        <v>777</v>
      </c>
      <c r="W55" s="28" t="s">
        <v>892</v>
      </c>
      <c r="X55" s="43" t="s">
        <v>155</v>
      </c>
      <c r="Y55" s="28"/>
      <c r="Z55" s="28">
        <v>2</v>
      </c>
      <c r="AA55" s="28">
        <v>2</v>
      </c>
      <c r="AB55" s="28">
        <v>2</v>
      </c>
      <c r="AC55" s="28"/>
      <c r="AD55" s="66">
        <v>2</v>
      </c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8" ht="15.75" customHeight="1" thickBot="1" x14ac:dyDescent="0.3">
      <c r="A56" s="1" t="s">
        <v>17</v>
      </c>
      <c r="B56" s="46" t="s">
        <v>883</v>
      </c>
      <c r="C56" s="50"/>
      <c r="D56" s="20" t="s">
        <v>77</v>
      </c>
      <c r="E56" s="10" t="s">
        <v>258</v>
      </c>
      <c r="F56" s="22" t="s">
        <v>147</v>
      </c>
      <c r="G56" s="11" t="s">
        <v>7</v>
      </c>
      <c r="H56" s="21">
        <v>24422070060320</v>
      </c>
      <c r="I56" s="59" t="s">
        <v>866</v>
      </c>
      <c r="J56" s="71">
        <v>2</v>
      </c>
      <c r="K56" s="59" t="s">
        <v>798</v>
      </c>
      <c r="L56" s="59" t="s">
        <v>770</v>
      </c>
      <c r="M56" s="73">
        <f t="shared" si="0"/>
        <v>46078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885</v>
      </c>
      <c r="U56" s="12" t="s">
        <v>886</v>
      </c>
      <c r="V56" s="90" t="s">
        <v>777</v>
      </c>
      <c r="W56" s="107" t="s">
        <v>20</v>
      </c>
      <c r="X56" s="43" t="s">
        <v>155</v>
      </c>
      <c r="Y56" s="28"/>
      <c r="Z56" s="28">
        <v>2</v>
      </c>
      <c r="AA56" s="28">
        <v>2</v>
      </c>
      <c r="AB56" s="28">
        <v>2</v>
      </c>
      <c r="AC56" s="28">
        <v>2</v>
      </c>
      <c r="AD56" s="66">
        <v>2</v>
      </c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8" ht="15.75" customHeight="1" thickBot="1" x14ac:dyDescent="0.3">
      <c r="A57" s="1" t="s">
        <v>17</v>
      </c>
      <c r="B57" s="46" t="s">
        <v>883</v>
      </c>
      <c r="C57" s="50"/>
      <c r="D57" s="20" t="s">
        <v>78</v>
      </c>
      <c r="E57" s="10" t="s">
        <v>259</v>
      </c>
      <c r="F57" s="22" t="s">
        <v>147</v>
      </c>
      <c r="G57" s="11" t="s">
        <v>7</v>
      </c>
      <c r="H57" s="21">
        <v>24422070060321</v>
      </c>
      <c r="I57" s="59"/>
      <c r="J57" s="59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885</v>
      </c>
      <c r="U57" s="12" t="s">
        <v>886</v>
      </c>
      <c r="V57" s="90"/>
      <c r="W57" s="28"/>
      <c r="X57" s="43"/>
      <c r="Y57" s="28"/>
      <c r="Z57" s="28"/>
      <c r="AA57" s="28"/>
      <c r="AB57" s="28"/>
      <c r="AC57" s="28"/>
      <c r="AD57" s="66"/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8" ht="15.75" customHeight="1" thickBot="1" x14ac:dyDescent="0.3">
      <c r="A58" s="1" t="s">
        <v>17</v>
      </c>
      <c r="B58" s="52" t="s">
        <v>882</v>
      </c>
      <c r="C58" s="115">
        <v>1</v>
      </c>
      <c r="D58" s="20" t="s">
        <v>79</v>
      </c>
      <c r="E58" s="10" t="s">
        <v>260</v>
      </c>
      <c r="F58" s="22" t="s">
        <v>147</v>
      </c>
      <c r="G58" s="11" t="s">
        <v>7</v>
      </c>
      <c r="H58" s="21">
        <v>24422070060586</v>
      </c>
      <c r="I58" s="59"/>
      <c r="J58" s="71"/>
      <c r="K58" s="59"/>
      <c r="L58" s="59"/>
      <c r="M58" s="73" t="e">
        <f t="shared" si="0"/>
        <v>#NUM!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885</v>
      </c>
      <c r="U58" s="12" t="s">
        <v>886</v>
      </c>
      <c r="V58" s="90"/>
      <c r="W58" s="28"/>
      <c r="X58" s="43"/>
      <c r="Y58" s="28"/>
      <c r="Z58" s="28"/>
      <c r="AA58" s="28"/>
      <c r="AB58" s="28"/>
      <c r="AC58" s="28"/>
      <c r="AD58" s="66"/>
      <c r="AE58" s="28"/>
      <c r="AF58" s="28"/>
      <c r="AG58" s="28"/>
      <c r="AH58" s="20"/>
      <c r="AI58" s="28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1:48" ht="15.75" customHeight="1" thickBot="1" x14ac:dyDescent="0.3">
      <c r="A59" s="1" t="s">
        <v>17</v>
      </c>
      <c r="B59" s="53" t="s">
        <v>882</v>
      </c>
      <c r="C59" s="56"/>
      <c r="D59" s="20" t="s">
        <v>80</v>
      </c>
      <c r="E59" s="10" t="s">
        <v>261</v>
      </c>
      <c r="F59" s="22" t="s">
        <v>147</v>
      </c>
      <c r="G59" s="11" t="s">
        <v>7</v>
      </c>
      <c r="H59" s="21">
        <v>24422070060326</v>
      </c>
      <c r="I59" s="59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885</v>
      </c>
      <c r="U59" s="12" t="s">
        <v>886</v>
      </c>
      <c r="V59" s="90" t="s">
        <v>777</v>
      </c>
      <c r="W59" s="28" t="s">
        <v>818</v>
      </c>
      <c r="X59" s="43" t="s">
        <v>155</v>
      </c>
      <c r="Y59" s="28"/>
      <c r="Z59" s="28">
        <v>1</v>
      </c>
      <c r="AA59" s="28">
        <v>1</v>
      </c>
      <c r="AB59" s="28">
        <v>2</v>
      </c>
      <c r="AC59" s="28"/>
      <c r="AD59" s="66">
        <v>1</v>
      </c>
      <c r="AE59" s="28"/>
      <c r="AF59" s="28"/>
      <c r="AG59" s="28"/>
      <c r="AH59" s="20"/>
      <c r="AI59" s="28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1:48" ht="15.75" customHeight="1" thickBot="1" x14ac:dyDescent="0.3">
      <c r="A60" s="1" t="s">
        <v>17</v>
      </c>
      <c r="B60" s="54" t="s">
        <v>882</v>
      </c>
      <c r="C60" s="57"/>
      <c r="D60" s="20" t="s">
        <v>81</v>
      </c>
      <c r="E60" s="10" t="s">
        <v>262</v>
      </c>
      <c r="F60" s="22" t="s">
        <v>147</v>
      </c>
      <c r="G60" s="11" t="s">
        <v>7</v>
      </c>
      <c r="H60" s="21">
        <v>24422070060327</v>
      </c>
      <c r="I60" s="59"/>
      <c r="J60" s="71"/>
      <c r="K60" s="59"/>
      <c r="L60" s="59"/>
      <c r="M60" s="73" t="e">
        <f t="shared" si="0"/>
        <v>#NUM!</v>
      </c>
      <c r="N60" s="23" t="e">
        <f t="shared" si="2"/>
        <v>#NUM!</v>
      </c>
      <c r="O60" s="73" t="e">
        <f t="shared" si="1"/>
        <v>#NUM!</v>
      </c>
      <c r="P60" s="59"/>
      <c r="Q60" s="59"/>
      <c r="R60" s="59"/>
      <c r="S60" s="59"/>
      <c r="T60" s="12" t="s">
        <v>885</v>
      </c>
      <c r="U60" s="12" t="s">
        <v>886</v>
      </c>
      <c r="V60" s="90" t="s">
        <v>777</v>
      </c>
      <c r="W60" s="28" t="s">
        <v>730</v>
      </c>
      <c r="X60" s="43" t="s">
        <v>155</v>
      </c>
      <c r="Y60" s="28"/>
      <c r="Z60" s="28">
        <v>2</v>
      </c>
      <c r="AA60" s="28">
        <v>2</v>
      </c>
      <c r="AB60" s="28"/>
      <c r="AC60" s="28"/>
      <c r="AD60" s="66">
        <v>2</v>
      </c>
      <c r="AE60" s="28"/>
      <c r="AF60" s="28"/>
      <c r="AG60" s="28"/>
      <c r="AH60" s="20"/>
      <c r="AI60" s="28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1:48" ht="17.25" customHeight="1" thickBot="1" x14ac:dyDescent="0.3">
      <c r="A61" s="1" t="s">
        <v>17</v>
      </c>
      <c r="B61" s="52" t="s">
        <v>883</v>
      </c>
      <c r="C61" s="55"/>
      <c r="D61" s="20" t="s">
        <v>82</v>
      </c>
      <c r="E61" s="10" t="s">
        <v>263</v>
      </c>
      <c r="F61" s="22" t="s">
        <v>147</v>
      </c>
      <c r="G61" s="11" t="s">
        <v>7</v>
      </c>
      <c r="H61" s="21">
        <v>24422070060328</v>
      </c>
      <c r="I61" s="59"/>
      <c r="J61" s="59"/>
      <c r="K61" s="59"/>
      <c r="L61" s="59"/>
      <c r="M61" s="73" t="e">
        <f t="shared" si="0"/>
        <v>#NUM!</v>
      </c>
      <c r="N61" s="23" t="e">
        <f t="shared" si="2"/>
        <v>#NUM!</v>
      </c>
      <c r="O61" s="73" t="e">
        <f t="shared" si="1"/>
        <v>#NUM!</v>
      </c>
      <c r="P61" s="59"/>
      <c r="Q61" s="59"/>
      <c r="R61" s="59"/>
      <c r="S61" s="59"/>
      <c r="T61" s="12" t="s">
        <v>885</v>
      </c>
      <c r="U61" s="12" t="s">
        <v>886</v>
      </c>
      <c r="V61" s="90" t="s">
        <v>777</v>
      </c>
      <c r="W61" s="107" t="s">
        <v>730</v>
      </c>
      <c r="X61" s="43" t="s">
        <v>155</v>
      </c>
      <c r="Y61" s="28"/>
      <c r="Z61" s="28">
        <v>2</v>
      </c>
      <c r="AA61" s="28">
        <v>2</v>
      </c>
      <c r="AB61" s="28"/>
      <c r="AC61" s="28"/>
      <c r="AD61" s="66">
        <v>2</v>
      </c>
      <c r="AE61" s="28"/>
      <c r="AF61" s="28"/>
      <c r="AG61" s="28"/>
      <c r="AH61" s="20"/>
      <c r="AI61" s="28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1:48" ht="15.75" customHeight="1" thickBot="1" x14ac:dyDescent="0.3">
      <c r="A62" s="1" t="s">
        <v>17</v>
      </c>
      <c r="B62" s="54" t="s">
        <v>882</v>
      </c>
      <c r="C62" s="57"/>
      <c r="D62" s="20" t="s">
        <v>83</v>
      </c>
      <c r="E62" s="10" t="s">
        <v>264</v>
      </c>
      <c r="F62" s="22" t="s">
        <v>147</v>
      </c>
      <c r="G62" s="11" t="s">
        <v>7</v>
      </c>
      <c r="H62" s="21">
        <v>24422070060329</v>
      </c>
      <c r="I62" s="59"/>
      <c r="J62" s="71"/>
      <c r="K62" s="59"/>
      <c r="L62" s="59"/>
      <c r="M62" s="73" t="e">
        <f t="shared" si="0"/>
        <v>#NUM!</v>
      </c>
      <c r="N62" s="23" t="e">
        <f t="shared" si="2"/>
        <v>#NUM!</v>
      </c>
      <c r="O62" s="73" t="e">
        <f t="shared" si="1"/>
        <v>#NUM!</v>
      </c>
      <c r="P62" s="59"/>
      <c r="Q62" s="59"/>
      <c r="R62" s="59"/>
      <c r="S62" s="59"/>
      <c r="T62" s="12" t="s">
        <v>885</v>
      </c>
      <c r="U62" s="12" t="s">
        <v>886</v>
      </c>
      <c r="V62" s="90"/>
      <c r="W62" s="28"/>
      <c r="X62" s="43"/>
      <c r="Y62" s="28"/>
      <c r="Z62" s="28"/>
      <c r="AA62" s="28"/>
      <c r="AB62" s="28"/>
      <c r="AC62" s="28"/>
      <c r="AD62" s="66"/>
      <c r="AE62" s="28"/>
      <c r="AF62" s="28"/>
      <c r="AG62" s="28"/>
      <c r="AH62" s="20"/>
      <c r="AI62" s="28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</row>
    <row r="63" spans="1:48" ht="15.75" customHeight="1" thickBot="1" x14ac:dyDescent="0.3">
      <c r="A63" s="1" t="s">
        <v>17</v>
      </c>
      <c r="B63" s="54" t="s">
        <v>882</v>
      </c>
      <c r="C63" s="116">
        <v>2</v>
      </c>
      <c r="D63" s="20" t="s">
        <v>84</v>
      </c>
      <c r="E63" s="10" t="s">
        <v>265</v>
      </c>
      <c r="F63" s="22" t="s">
        <v>147</v>
      </c>
      <c r="G63" s="11" t="s">
        <v>7</v>
      </c>
      <c r="H63" s="21">
        <v>24422070060330</v>
      </c>
      <c r="I63" s="59"/>
      <c r="J63" s="71"/>
      <c r="K63" s="59"/>
      <c r="L63" s="59"/>
      <c r="M63" s="73" t="e">
        <f t="shared" si="0"/>
        <v>#NUM!</v>
      </c>
      <c r="N63" s="23" t="e">
        <f t="shared" si="2"/>
        <v>#NUM!</v>
      </c>
      <c r="O63" s="73" t="e">
        <f t="shared" si="1"/>
        <v>#NUM!</v>
      </c>
      <c r="P63" s="59"/>
      <c r="Q63" s="59"/>
      <c r="R63" s="59"/>
      <c r="S63" s="59"/>
      <c r="T63" s="12" t="s">
        <v>885</v>
      </c>
      <c r="U63" s="12" t="s">
        <v>886</v>
      </c>
      <c r="V63" s="90"/>
      <c r="W63" s="28"/>
      <c r="X63" s="43"/>
      <c r="Y63" s="28"/>
      <c r="Z63" s="28"/>
      <c r="AA63" s="28"/>
      <c r="AB63" s="28"/>
      <c r="AC63" s="28"/>
      <c r="AD63" s="66"/>
      <c r="AE63" s="28"/>
      <c r="AF63" s="28"/>
      <c r="AG63" s="28"/>
      <c r="AH63" s="20"/>
      <c r="AI63" s="28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</row>
    <row r="64" spans="1:48" ht="15.75" customHeight="1" thickBot="1" x14ac:dyDescent="0.3">
      <c r="A64" s="1" t="s">
        <v>17</v>
      </c>
      <c r="B64" s="54" t="s">
        <v>883</v>
      </c>
      <c r="C64" s="116">
        <v>1</v>
      </c>
      <c r="D64" s="20" t="s">
        <v>85</v>
      </c>
      <c r="E64" s="10" t="s">
        <v>267</v>
      </c>
      <c r="F64" s="22" t="s">
        <v>147</v>
      </c>
      <c r="G64" s="11" t="s">
        <v>7</v>
      </c>
      <c r="H64" s="21">
        <v>24422070060333</v>
      </c>
      <c r="I64" s="59"/>
      <c r="J64" s="71"/>
      <c r="K64" s="59"/>
      <c r="L64" s="59"/>
      <c r="M64" s="73" t="e">
        <f t="shared" si="0"/>
        <v>#NUM!</v>
      </c>
      <c r="N64" s="23" t="e">
        <f t="shared" si="2"/>
        <v>#NUM!</v>
      </c>
      <c r="O64" s="73" t="e">
        <f t="shared" si="1"/>
        <v>#NUM!</v>
      </c>
      <c r="P64" s="59"/>
      <c r="Q64" s="59"/>
      <c r="R64" s="59"/>
      <c r="S64" s="59"/>
      <c r="T64" s="12" t="s">
        <v>885</v>
      </c>
      <c r="U64" s="12" t="s">
        <v>886</v>
      </c>
      <c r="V64" s="90"/>
      <c r="W64" s="28"/>
      <c r="X64" s="43"/>
      <c r="Y64" s="28"/>
      <c r="Z64" s="28"/>
      <c r="AA64" s="65"/>
      <c r="AB64" s="65"/>
      <c r="AC64" s="65"/>
      <c r="AD64" s="67"/>
      <c r="AE64" s="65"/>
      <c r="AF64" s="65"/>
      <c r="AG64" s="65"/>
      <c r="AH64" s="82"/>
      <c r="AI64" s="65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</row>
    <row r="65" spans="1:46" ht="15.75" customHeight="1" thickBot="1" x14ac:dyDescent="0.3">
      <c r="A65" s="1" t="s">
        <v>17</v>
      </c>
      <c r="B65" s="54" t="s">
        <v>883</v>
      </c>
      <c r="C65" s="57"/>
      <c r="D65" s="20" t="s">
        <v>86</v>
      </c>
      <c r="E65" s="10" t="s">
        <v>268</v>
      </c>
      <c r="F65" s="22" t="s">
        <v>147</v>
      </c>
      <c r="G65" s="11" t="s">
        <v>7</v>
      </c>
      <c r="H65" s="21">
        <v>24422070060590</v>
      </c>
      <c r="I65" s="59" t="s">
        <v>160</v>
      </c>
      <c r="J65" s="71">
        <v>2</v>
      </c>
      <c r="K65" s="59" t="s">
        <v>798</v>
      </c>
      <c r="L65" s="59" t="s">
        <v>770</v>
      </c>
      <c r="M65" s="73">
        <f t="shared" si="0"/>
        <v>46071</v>
      </c>
      <c r="N65" s="23" t="e">
        <f t="shared" si="2"/>
        <v>#NUM!</v>
      </c>
      <c r="O65" s="73" t="e">
        <f t="shared" si="1"/>
        <v>#NUM!</v>
      </c>
      <c r="P65" s="59"/>
      <c r="Q65" s="59"/>
      <c r="R65" s="59"/>
      <c r="S65" s="59"/>
      <c r="T65" s="12" t="s">
        <v>885</v>
      </c>
      <c r="U65" s="12" t="s">
        <v>886</v>
      </c>
      <c r="V65" s="90" t="s">
        <v>777</v>
      </c>
      <c r="W65" s="28" t="s">
        <v>755</v>
      </c>
      <c r="X65" s="43" t="s">
        <v>155</v>
      </c>
      <c r="Y65" s="28"/>
      <c r="Z65" s="28">
        <v>2</v>
      </c>
      <c r="AA65" s="28">
        <v>2</v>
      </c>
      <c r="AB65" s="65">
        <v>2</v>
      </c>
      <c r="AC65" s="28">
        <v>2</v>
      </c>
      <c r="AD65" s="66">
        <v>2</v>
      </c>
      <c r="AE65" s="65"/>
      <c r="AF65" s="28"/>
      <c r="AG65" s="65"/>
      <c r="AH65" s="20"/>
      <c r="AI65" s="65"/>
      <c r="AJ65" s="16"/>
      <c r="AK65" s="16"/>
      <c r="AL65" s="29"/>
      <c r="AM65" s="16"/>
      <c r="AN65" s="29"/>
      <c r="AO65" s="16"/>
      <c r="AP65" s="16"/>
      <c r="AQ65" s="29"/>
      <c r="AR65" s="16"/>
      <c r="AS65" s="29"/>
      <c r="AT65" s="16"/>
    </row>
    <row r="66" spans="1:46" ht="15.75" customHeight="1" thickBot="1" x14ac:dyDescent="0.3">
      <c r="A66" s="1" t="s">
        <v>17</v>
      </c>
      <c r="B66" s="54" t="s">
        <v>883</v>
      </c>
      <c r="C66" s="57"/>
      <c r="D66" s="20" t="s">
        <v>87</v>
      </c>
      <c r="E66" s="10" t="s">
        <v>269</v>
      </c>
      <c r="F66" s="22" t="s">
        <v>147</v>
      </c>
      <c r="G66" s="11" t="s">
        <v>7</v>
      </c>
      <c r="H66" s="21">
        <v>24422070060591</v>
      </c>
      <c r="I66" s="59"/>
      <c r="J66" s="59"/>
      <c r="K66" s="59"/>
      <c r="L66" s="59"/>
      <c r="M66" s="73" t="e">
        <f t="shared" si="0"/>
        <v>#NUM!</v>
      </c>
      <c r="N66" s="23" t="e">
        <f t="shared" si="2"/>
        <v>#NUM!</v>
      </c>
      <c r="O66" s="73" t="e">
        <f t="shared" si="1"/>
        <v>#NUM!</v>
      </c>
      <c r="P66" s="59"/>
      <c r="Q66" s="59"/>
      <c r="R66" s="59"/>
      <c r="S66" s="59"/>
      <c r="T66" s="12" t="s">
        <v>885</v>
      </c>
      <c r="U66" s="12" t="s">
        <v>886</v>
      </c>
      <c r="V66" s="90"/>
      <c r="W66" s="28"/>
      <c r="X66" s="43"/>
      <c r="Y66" s="28"/>
      <c r="Z66" s="28"/>
      <c r="AA66" s="28"/>
      <c r="AB66" s="65"/>
      <c r="AC66" s="28"/>
      <c r="AD66" s="66"/>
      <c r="AE66" s="65"/>
      <c r="AF66" s="28"/>
      <c r="AG66" s="65"/>
      <c r="AH66" s="20"/>
      <c r="AI66" s="65"/>
      <c r="AJ66" s="16"/>
      <c r="AK66" s="16"/>
      <c r="AL66" s="29"/>
      <c r="AM66" s="16"/>
      <c r="AN66" s="29"/>
      <c r="AO66" s="16"/>
      <c r="AP66" s="16"/>
      <c r="AQ66" s="29"/>
      <c r="AR66" s="16"/>
      <c r="AS66" s="29"/>
      <c r="AT66" s="16"/>
    </row>
    <row r="67" spans="1:46" ht="15.75" customHeight="1" thickBot="1" x14ac:dyDescent="0.3">
      <c r="A67" s="1" t="s">
        <v>17</v>
      </c>
      <c r="B67" s="54" t="s">
        <v>882</v>
      </c>
      <c r="C67" s="57"/>
      <c r="D67" s="20" t="s">
        <v>88</v>
      </c>
      <c r="E67" s="10" t="s">
        <v>270</v>
      </c>
      <c r="F67" s="22" t="s">
        <v>147</v>
      </c>
      <c r="G67" s="11" t="s">
        <v>7</v>
      </c>
      <c r="H67" s="21">
        <v>24422070060334</v>
      </c>
      <c r="I67" s="59"/>
      <c r="J67" s="59"/>
      <c r="K67" s="59"/>
      <c r="L67" s="59"/>
      <c r="M67" s="73" t="e">
        <f t="shared" ref="M67:M93" si="3">DATE(L67,J67,I67)</f>
        <v>#NUM!</v>
      </c>
      <c r="N67" s="23" t="e">
        <f t="shared" si="2"/>
        <v>#NUM!</v>
      </c>
      <c r="O67" s="73" t="e">
        <f t="shared" ref="O67:O93" si="4">DATE(S67,Q67,P67)</f>
        <v>#NUM!</v>
      </c>
      <c r="P67" s="59"/>
      <c r="Q67" s="59"/>
      <c r="R67" s="59"/>
      <c r="S67" s="59"/>
      <c r="T67" s="12" t="s">
        <v>885</v>
      </c>
      <c r="U67" s="12" t="s">
        <v>886</v>
      </c>
      <c r="V67" s="90"/>
      <c r="W67" s="28"/>
      <c r="X67" s="43"/>
      <c r="Y67" s="28"/>
      <c r="Z67" s="28"/>
      <c r="AA67" s="28"/>
      <c r="AB67" s="65"/>
      <c r="AC67" s="28"/>
      <c r="AD67" s="66"/>
      <c r="AE67" s="65"/>
      <c r="AF67" s="28"/>
      <c r="AG67" s="65"/>
      <c r="AH67" s="20"/>
      <c r="AI67" s="65"/>
      <c r="AJ67" s="16"/>
      <c r="AK67" s="16"/>
      <c r="AL67" s="29"/>
      <c r="AM67" s="16"/>
      <c r="AN67" s="29"/>
      <c r="AO67" s="16"/>
      <c r="AP67" s="16"/>
      <c r="AQ67" s="29"/>
      <c r="AR67" s="16"/>
      <c r="AS67" s="29"/>
      <c r="AT67" s="16"/>
    </row>
    <row r="68" spans="1:46" ht="15.75" customHeight="1" thickBot="1" x14ac:dyDescent="0.3">
      <c r="A68" s="1"/>
      <c r="B68" s="54" t="s">
        <v>882</v>
      </c>
      <c r="C68" s="57"/>
      <c r="D68" s="20" t="s">
        <v>89</v>
      </c>
      <c r="E68" s="10" t="s">
        <v>843</v>
      </c>
      <c r="F68" s="22" t="s">
        <v>147</v>
      </c>
      <c r="G68" s="11" t="s">
        <v>7</v>
      </c>
      <c r="H68" s="21">
        <v>24422070060636</v>
      </c>
      <c r="I68" s="59"/>
      <c r="J68" s="59"/>
      <c r="K68" s="59"/>
      <c r="L68" s="59"/>
      <c r="M68" s="73" t="e">
        <f t="shared" si="3"/>
        <v>#NUM!</v>
      </c>
      <c r="N68" s="23" t="e">
        <f t="shared" si="2"/>
        <v>#NUM!</v>
      </c>
      <c r="O68" s="73" t="e">
        <f t="shared" si="4"/>
        <v>#NUM!</v>
      </c>
      <c r="P68" s="59"/>
      <c r="Q68" s="59"/>
      <c r="R68" s="59"/>
      <c r="S68" s="59"/>
      <c r="T68" s="12" t="s">
        <v>885</v>
      </c>
      <c r="U68" s="12" t="s">
        <v>886</v>
      </c>
      <c r="V68" s="90" t="s">
        <v>777</v>
      </c>
      <c r="W68" s="28" t="s">
        <v>811</v>
      </c>
      <c r="X68" s="43" t="s">
        <v>771</v>
      </c>
      <c r="Y68" s="28"/>
      <c r="Z68" s="28">
        <v>2</v>
      </c>
      <c r="AA68" s="28">
        <v>2</v>
      </c>
      <c r="AB68" s="65"/>
      <c r="AC68" s="28"/>
      <c r="AD68" s="66">
        <v>2</v>
      </c>
      <c r="AE68" s="65"/>
      <c r="AF68" s="28"/>
      <c r="AG68" s="65"/>
      <c r="AH68" s="20"/>
      <c r="AI68" s="65"/>
      <c r="AJ68" s="16"/>
      <c r="AK68" s="16"/>
      <c r="AL68" s="29"/>
      <c r="AM68" s="16"/>
      <c r="AN68" s="29"/>
      <c r="AO68" s="16"/>
      <c r="AP68" s="16"/>
      <c r="AQ68" s="29"/>
      <c r="AR68" s="16"/>
      <c r="AS68" s="29"/>
      <c r="AT68" s="16"/>
    </row>
    <row r="69" spans="1:46" ht="15.75" customHeight="1" thickBot="1" x14ac:dyDescent="0.3">
      <c r="A69" s="1" t="s">
        <v>17</v>
      </c>
      <c r="B69" s="54" t="s">
        <v>882</v>
      </c>
      <c r="C69" s="57"/>
      <c r="D69" s="20" t="s">
        <v>90</v>
      </c>
      <c r="E69" s="10" t="s">
        <v>271</v>
      </c>
      <c r="F69" s="22" t="s">
        <v>147</v>
      </c>
      <c r="G69" s="11" t="s">
        <v>7</v>
      </c>
      <c r="H69" s="21">
        <v>24422070060594</v>
      </c>
      <c r="I69" s="59" t="s">
        <v>790</v>
      </c>
      <c r="J69" s="71">
        <v>1</v>
      </c>
      <c r="K69" s="59" t="s">
        <v>187</v>
      </c>
      <c r="L69" s="71">
        <v>2026</v>
      </c>
      <c r="M69" s="73">
        <f t="shared" si="3"/>
        <v>46042</v>
      </c>
      <c r="N69" s="23" t="e">
        <f t="shared" ref="N69:N93" si="5">DATEDIF(M69,O69,"m")</f>
        <v>#NUM!</v>
      </c>
      <c r="O69" s="73" t="e">
        <f t="shared" si="4"/>
        <v>#NUM!</v>
      </c>
      <c r="P69" s="59"/>
      <c r="Q69" s="59"/>
      <c r="R69" s="59"/>
      <c r="S69" s="59"/>
      <c r="T69" s="12" t="s">
        <v>885</v>
      </c>
      <c r="U69" s="12" t="s">
        <v>886</v>
      </c>
      <c r="V69" s="90" t="s">
        <v>777</v>
      </c>
      <c r="W69" s="28" t="s">
        <v>828</v>
      </c>
      <c r="X69" s="43" t="s">
        <v>771</v>
      </c>
      <c r="Y69" s="28"/>
      <c r="Z69" s="28">
        <v>2</v>
      </c>
      <c r="AA69" s="15">
        <v>2</v>
      </c>
      <c r="AB69" s="15"/>
      <c r="AC69" s="15">
        <v>2</v>
      </c>
      <c r="AD69" s="68">
        <v>2</v>
      </c>
      <c r="AE69" s="15"/>
      <c r="AF69" s="15"/>
      <c r="AG69" s="15"/>
      <c r="AH69" s="81"/>
      <c r="AI69" s="1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882</v>
      </c>
      <c r="C70" s="57"/>
      <c r="D70" s="20" t="s">
        <v>91</v>
      </c>
      <c r="E70" s="10" t="s">
        <v>272</v>
      </c>
      <c r="F70" s="22" t="s">
        <v>147</v>
      </c>
      <c r="G70" s="11" t="s">
        <v>7</v>
      </c>
      <c r="H70" s="21">
        <v>24422070060336</v>
      </c>
      <c r="I70" s="59"/>
      <c r="J70" s="59"/>
      <c r="K70" s="59"/>
      <c r="L70" s="59"/>
      <c r="M70" s="73" t="e">
        <f t="shared" si="3"/>
        <v>#NUM!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885</v>
      </c>
      <c r="U70" s="12" t="s">
        <v>886</v>
      </c>
      <c r="V70" s="90"/>
      <c r="W70" s="28"/>
      <c r="X70" s="43"/>
      <c r="Y70" s="28"/>
      <c r="Z70" s="28"/>
      <c r="AA70" s="15"/>
      <c r="AB70" s="15"/>
      <c r="AC70" s="15"/>
      <c r="AD70" s="68"/>
      <c r="AE70" s="15"/>
      <c r="AF70" s="15"/>
      <c r="AG70" s="15"/>
      <c r="AH70" s="81"/>
      <c r="AI70" s="15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</row>
    <row r="71" spans="1:46" ht="15.75" customHeight="1" thickBot="1" x14ac:dyDescent="0.3">
      <c r="A71" s="1" t="s">
        <v>17</v>
      </c>
      <c r="B71" s="54" t="s">
        <v>883</v>
      </c>
      <c r="C71" s="57"/>
      <c r="D71" s="20" t="s">
        <v>92</v>
      </c>
      <c r="E71" s="10" t="s">
        <v>273</v>
      </c>
      <c r="F71" s="22" t="s">
        <v>147</v>
      </c>
      <c r="G71" s="11" t="s">
        <v>7</v>
      </c>
      <c r="H71" s="21">
        <v>24422070060338</v>
      </c>
      <c r="I71" s="59" t="s">
        <v>779</v>
      </c>
      <c r="J71" s="59" t="s">
        <v>839</v>
      </c>
      <c r="K71" s="59" t="s">
        <v>837</v>
      </c>
      <c r="L71" s="59" t="s">
        <v>770</v>
      </c>
      <c r="M71" s="73">
        <f t="shared" si="3"/>
        <v>46083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885</v>
      </c>
      <c r="U71" s="12" t="s">
        <v>886</v>
      </c>
      <c r="V71" s="90" t="s">
        <v>777</v>
      </c>
      <c r="W71" s="28" t="s">
        <v>892</v>
      </c>
      <c r="X71" s="43" t="s">
        <v>155</v>
      </c>
      <c r="Y71" s="28"/>
      <c r="Z71" s="28">
        <v>1</v>
      </c>
      <c r="AA71" s="15">
        <v>1</v>
      </c>
      <c r="AB71" s="15">
        <v>2</v>
      </c>
      <c r="AC71" s="15">
        <v>2</v>
      </c>
      <c r="AD71" s="68">
        <v>1</v>
      </c>
      <c r="AE71" s="15"/>
      <c r="AF71" s="15"/>
      <c r="AG71" s="15"/>
      <c r="AH71" s="81"/>
      <c r="AI71" s="15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</row>
    <row r="72" spans="1:46" ht="15.75" customHeight="1" thickBot="1" x14ac:dyDescent="0.3">
      <c r="A72" s="1" t="s">
        <v>17</v>
      </c>
      <c r="B72" s="54" t="s">
        <v>882</v>
      </c>
      <c r="C72" s="57"/>
      <c r="D72" s="20" t="s">
        <v>93</v>
      </c>
      <c r="E72" s="10" t="s">
        <v>274</v>
      </c>
      <c r="F72" s="22" t="s">
        <v>147</v>
      </c>
      <c r="G72" s="11" t="s">
        <v>7</v>
      </c>
      <c r="H72" s="21">
        <v>24422070060340</v>
      </c>
      <c r="I72" s="59" t="s">
        <v>790</v>
      </c>
      <c r="J72" s="59" t="s">
        <v>801</v>
      </c>
      <c r="K72" s="59" t="s">
        <v>798</v>
      </c>
      <c r="L72" s="59" t="s">
        <v>770</v>
      </c>
      <c r="M72" s="73">
        <f t="shared" si="3"/>
        <v>46073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885</v>
      </c>
      <c r="U72" s="12" t="s">
        <v>886</v>
      </c>
      <c r="V72" s="90" t="s">
        <v>777</v>
      </c>
      <c r="W72" s="107" t="s">
        <v>20</v>
      </c>
      <c r="X72" s="43" t="s">
        <v>155</v>
      </c>
      <c r="Y72" s="28"/>
      <c r="Z72" s="28">
        <v>1</v>
      </c>
      <c r="AA72" s="65">
        <v>1</v>
      </c>
      <c r="AB72" s="65">
        <v>2</v>
      </c>
      <c r="AC72" s="65">
        <v>2</v>
      </c>
      <c r="AD72" s="67">
        <v>1</v>
      </c>
      <c r="AE72" s="65"/>
      <c r="AF72" s="65"/>
      <c r="AG72" s="65"/>
      <c r="AH72" s="82"/>
      <c r="AI72" s="65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</row>
    <row r="73" spans="1:46" ht="15.75" customHeight="1" thickBot="1" x14ac:dyDescent="0.3">
      <c r="A73" s="1" t="s">
        <v>17</v>
      </c>
      <c r="B73" s="54" t="s">
        <v>882</v>
      </c>
      <c r="C73" s="57"/>
      <c r="D73" s="20" t="s">
        <v>94</v>
      </c>
      <c r="E73" s="10" t="s">
        <v>275</v>
      </c>
      <c r="F73" s="22" t="s">
        <v>147</v>
      </c>
      <c r="G73" s="11" t="s">
        <v>7</v>
      </c>
      <c r="H73" s="21">
        <v>24422070060595</v>
      </c>
      <c r="I73" s="59"/>
      <c r="J73" s="71"/>
      <c r="K73" s="59"/>
      <c r="L73" s="59"/>
      <c r="M73" s="73" t="e">
        <f t="shared" si="3"/>
        <v>#NUM!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885</v>
      </c>
      <c r="U73" s="12" t="s">
        <v>886</v>
      </c>
      <c r="V73" s="90" t="s">
        <v>777</v>
      </c>
      <c r="W73" s="107" t="s">
        <v>797</v>
      </c>
      <c r="X73" s="43" t="s">
        <v>155</v>
      </c>
      <c r="Y73" s="28"/>
      <c r="Z73" s="28">
        <v>2</v>
      </c>
      <c r="AA73" s="15">
        <v>2</v>
      </c>
      <c r="AB73" s="15">
        <v>2</v>
      </c>
      <c r="AC73" s="15"/>
      <c r="AD73" s="68">
        <v>2</v>
      </c>
      <c r="AE73" s="15">
        <v>2</v>
      </c>
      <c r="AF73" s="15"/>
      <c r="AG73" s="15"/>
      <c r="AH73" s="81"/>
      <c r="AI73" s="15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883</v>
      </c>
      <c r="C74" s="57"/>
      <c r="D74" s="20" t="s">
        <v>95</v>
      </c>
      <c r="E74" s="10" t="s">
        <v>276</v>
      </c>
      <c r="F74" s="22" t="s">
        <v>147</v>
      </c>
      <c r="G74" s="11" t="s">
        <v>7</v>
      </c>
      <c r="H74" s="23">
        <v>24422070060597</v>
      </c>
      <c r="I74" s="59" t="s">
        <v>160</v>
      </c>
      <c r="J74" s="71">
        <v>2</v>
      </c>
      <c r="K74" s="59" t="s">
        <v>798</v>
      </c>
      <c r="L74" s="59" t="s">
        <v>770</v>
      </c>
      <c r="M74" s="73">
        <f t="shared" si="3"/>
        <v>46071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885</v>
      </c>
      <c r="U74" s="12" t="s">
        <v>886</v>
      </c>
      <c r="V74" s="90" t="s">
        <v>777</v>
      </c>
      <c r="W74" s="28" t="s">
        <v>755</v>
      </c>
      <c r="X74" s="43" t="s">
        <v>155</v>
      </c>
      <c r="Y74" s="28"/>
      <c r="Z74" s="28">
        <v>2</v>
      </c>
      <c r="AA74" s="15">
        <v>2</v>
      </c>
      <c r="AB74" s="15">
        <v>2</v>
      </c>
      <c r="AC74" s="15">
        <v>2</v>
      </c>
      <c r="AD74" s="68">
        <v>2</v>
      </c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882</v>
      </c>
      <c r="C75" s="57"/>
      <c r="D75" s="20" t="s">
        <v>96</v>
      </c>
      <c r="E75" s="10" t="s">
        <v>277</v>
      </c>
      <c r="F75" s="22" t="s">
        <v>147</v>
      </c>
      <c r="G75" s="11" t="s">
        <v>7</v>
      </c>
      <c r="H75" s="23">
        <v>24422070060341</v>
      </c>
      <c r="I75" s="59" t="s">
        <v>785</v>
      </c>
      <c r="J75" s="71">
        <v>1</v>
      </c>
      <c r="K75" s="59" t="s">
        <v>187</v>
      </c>
      <c r="L75" s="59" t="s">
        <v>770</v>
      </c>
      <c r="M75" s="73">
        <f t="shared" si="3"/>
        <v>46035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885</v>
      </c>
      <c r="U75" s="12" t="s">
        <v>886</v>
      </c>
      <c r="V75" s="90" t="s">
        <v>777</v>
      </c>
      <c r="W75" s="107" t="s">
        <v>730</v>
      </c>
      <c r="X75" s="43" t="s">
        <v>155</v>
      </c>
      <c r="Y75" s="28"/>
      <c r="Z75" s="28">
        <v>2</v>
      </c>
      <c r="AA75" s="15">
        <v>2</v>
      </c>
      <c r="AB75" s="15">
        <v>2</v>
      </c>
      <c r="AC75" s="15">
        <v>2</v>
      </c>
      <c r="AD75" s="68">
        <v>2</v>
      </c>
      <c r="AE75" s="15"/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882</v>
      </c>
      <c r="C76" s="57"/>
      <c r="D76" s="20" t="s">
        <v>97</v>
      </c>
      <c r="E76" s="10" t="s">
        <v>278</v>
      </c>
      <c r="F76" s="22" t="s">
        <v>147</v>
      </c>
      <c r="G76" s="11" t="s">
        <v>7</v>
      </c>
      <c r="H76" s="23">
        <v>24422070060342</v>
      </c>
      <c r="I76" s="59"/>
      <c r="J76" s="71"/>
      <c r="K76" s="59"/>
      <c r="L76" s="59"/>
      <c r="M76" s="73" t="e">
        <f t="shared" si="3"/>
        <v>#NUM!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885</v>
      </c>
      <c r="U76" s="12" t="s">
        <v>886</v>
      </c>
      <c r="V76" s="90" t="s">
        <v>777</v>
      </c>
      <c r="W76" s="28" t="s">
        <v>811</v>
      </c>
      <c r="X76" s="43" t="s">
        <v>771</v>
      </c>
      <c r="Y76" s="28"/>
      <c r="Z76" s="28">
        <v>2</v>
      </c>
      <c r="AA76" s="15">
        <v>2</v>
      </c>
      <c r="AB76" s="15"/>
      <c r="AC76" s="15"/>
      <c r="AD76" s="68">
        <v>2</v>
      </c>
      <c r="AE76" s="15"/>
      <c r="AF76" s="15"/>
      <c r="AG76" s="15"/>
      <c r="AH76" s="81"/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thickBot="1" x14ac:dyDescent="0.3">
      <c r="A77" s="1" t="s">
        <v>17</v>
      </c>
      <c r="B77" s="54" t="s">
        <v>882</v>
      </c>
      <c r="C77" s="57"/>
      <c r="D77" s="20" t="s">
        <v>98</v>
      </c>
      <c r="E77" s="10" t="s">
        <v>279</v>
      </c>
      <c r="F77" s="22" t="s">
        <v>147</v>
      </c>
      <c r="G77" s="11" t="s">
        <v>7</v>
      </c>
      <c r="H77" s="21">
        <v>24422070060343</v>
      </c>
      <c r="I77" s="59"/>
      <c r="J77" s="71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885</v>
      </c>
      <c r="U77" s="12" t="s">
        <v>886</v>
      </c>
      <c r="V77" s="90"/>
      <c r="W77" s="28"/>
      <c r="X77" s="43"/>
      <c r="Y77" s="28"/>
      <c r="Z77" s="28"/>
      <c r="AA77" s="15"/>
      <c r="AB77" s="15"/>
      <c r="AC77" s="15"/>
      <c r="AD77" s="68"/>
      <c r="AE77" s="15"/>
      <c r="AF77" s="15"/>
      <c r="AG77" s="15"/>
      <c r="AH77" s="81"/>
      <c r="AI77" s="15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</row>
    <row r="78" spans="1:46" ht="15.75" customHeight="1" thickBot="1" x14ac:dyDescent="0.3">
      <c r="A78" s="1" t="s">
        <v>17</v>
      </c>
      <c r="B78" s="54" t="s">
        <v>883</v>
      </c>
      <c r="C78" s="116">
        <v>1</v>
      </c>
      <c r="D78" s="20" t="s">
        <v>99</v>
      </c>
      <c r="E78" s="10" t="s">
        <v>280</v>
      </c>
      <c r="F78" s="22" t="s">
        <v>147</v>
      </c>
      <c r="G78" s="11" t="s">
        <v>7</v>
      </c>
      <c r="H78" s="21">
        <v>24422070060344</v>
      </c>
      <c r="I78" s="59"/>
      <c r="J78" s="71"/>
      <c r="K78" s="59"/>
      <c r="L78" s="59"/>
      <c r="M78" s="73" t="e">
        <f t="shared" si="3"/>
        <v>#NUM!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885</v>
      </c>
      <c r="U78" s="12" t="s">
        <v>886</v>
      </c>
      <c r="V78" s="90"/>
      <c r="W78" s="28"/>
      <c r="X78" s="43"/>
      <c r="Y78" s="28"/>
      <c r="Z78" s="28"/>
      <c r="AA78" s="15"/>
      <c r="AB78" s="15"/>
      <c r="AC78" s="15"/>
      <c r="AD78" s="68"/>
      <c r="AE78" s="15"/>
      <c r="AF78" s="15"/>
      <c r="AG78" s="15"/>
      <c r="AH78" s="81"/>
      <c r="AI78" s="15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</row>
    <row r="79" spans="1:46" ht="15.75" customHeight="1" thickBot="1" x14ac:dyDescent="0.3">
      <c r="A79" s="1" t="s">
        <v>17</v>
      </c>
      <c r="B79" s="54" t="s">
        <v>883</v>
      </c>
      <c r="C79" s="116">
        <v>1</v>
      </c>
      <c r="D79" s="20" t="s">
        <v>100</v>
      </c>
      <c r="E79" s="10" t="s">
        <v>281</v>
      </c>
      <c r="F79" s="22" t="s">
        <v>147</v>
      </c>
      <c r="G79" s="11" t="s">
        <v>7</v>
      </c>
      <c r="H79" s="21">
        <v>24422070060345</v>
      </c>
      <c r="I79" s="59"/>
      <c r="J79" s="71"/>
      <c r="K79" s="59"/>
      <c r="L79" s="59"/>
      <c r="M79" s="73" t="e">
        <f t="shared" si="3"/>
        <v>#NUM!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885</v>
      </c>
      <c r="U79" s="12" t="s">
        <v>886</v>
      </c>
      <c r="V79" s="90"/>
      <c r="W79" s="28"/>
      <c r="X79" s="43"/>
      <c r="Y79" s="28"/>
      <c r="Z79" s="28"/>
      <c r="AA79" s="15"/>
      <c r="AB79" s="15"/>
      <c r="AC79" s="15"/>
      <c r="AD79" s="68"/>
      <c r="AE79" s="15"/>
      <c r="AF79" s="15"/>
      <c r="AG79" s="15"/>
      <c r="AH79" s="81"/>
      <c r="AI79" s="15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</row>
    <row r="80" spans="1:46" ht="15.75" customHeight="1" thickBot="1" x14ac:dyDescent="0.3">
      <c r="A80" s="1" t="s">
        <v>17</v>
      </c>
      <c r="B80" s="54" t="s">
        <v>883</v>
      </c>
      <c r="C80" s="57"/>
      <c r="D80" s="20" t="s">
        <v>101</v>
      </c>
      <c r="E80" s="10" t="s">
        <v>282</v>
      </c>
      <c r="F80" s="22" t="s">
        <v>147</v>
      </c>
      <c r="G80" s="11" t="s">
        <v>7</v>
      </c>
      <c r="H80" s="21">
        <v>24422070060346</v>
      </c>
      <c r="I80" s="59" t="s">
        <v>790</v>
      </c>
      <c r="J80" s="71">
        <v>1</v>
      </c>
      <c r="K80" s="59" t="s">
        <v>187</v>
      </c>
      <c r="L80" s="59" t="s">
        <v>770</v>
      </c>
      <c r="M80" s="73">
        <f t="shared" si="3"/>
        <v>46042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885</v>
      </c>
      <c r="U80" s="12" t="s">
        <v>886</v>
      </c>
      <c r="V80" s="90" t="s">
        <v>777</v>
      </c>
      <c r="W80" s="28" t="s">
        <v>742</v>
      </c>
      <c r="X80" s="43" t="s">
        <v>771</v>
      </c>
      <c r="Y80" s="28"/>
      <c r="Z80" s="28">
        <v>2</v>
      </c>
      <c r="AA80" s="15">
        <v>2</v>
      </c>
      <c r="AB80" s="15"/>
      <c r="AC80" s="15">
        <v>2</v>
      </c>
      <c r="AD80" s="68">
        <v>2</v>
      </c>
      <c r="AE80" s="15"/>
      <c r="AF80" s="15"/>
      <c r="AG80" s="15"/>
      <c r="AH80" s="81"/>
      <c r="AI80" s="15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</row>
    <row r="81" spans="1:46" ht="15.75" customHeight="1" thickBot="1" x14ac:dyDescent="0.3">
      <c r="A81" s="1" t="s">
        <v>17</v>
      </c>
      <c r="B81" s="54" t="s">
        <v>883</v>
      </c>
      <c r="C81" s="57"/>
      <c r="D81" s="20" t="s">
        <v>102</v>
      </c>
      <c r="E81" s="10" t="s">
        <v>283</v>
      </c>
      <c r="F81" s="22" t="s">
        <v>147</v>
      </c>
      <c r="G81" s="11" t="s">
        <v>7</v>
      </c>
      <c r="H81" s="21">
        <v>23422070060360</v>
      </c>
      <c r="I81" s="59"/>
      <c r="J81" s="59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885</v>
      </c>
      <c r="U81" s="12" t="s">
        <v>886</v>
      </c>
      <c r="V81" s="90"/>
      <c r="W81" s="28"/>
      <c r="X81" s="43"/>
      <c r="Y81" s="28"/>
      <c r="Z81" s="28"/>
      <c r="AA81" s="15"/>
      <c r="AB81" s="15"/>
      <c r="AC81" s="15"/>
      <c r="AD81" s="68"/>
      <c r="AE81" s="15"/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882</v>
      </c>
      <c r="C82" s="57"/>
      <c r="D82" s="20" t="s">
        <v>103</v>
      </c>
      <c r="E82" s="10" t="s">
        <v>284</v>
      </c>
      <c r="F82" s="22" t="s">
        <v>147</v>
      </c>
      <c r="G82" s="11" t="s">
        <v>7</v>
      </c>
      <c r="H82" s="21">
        <v>24422070060348</v>
      </c>
      <c r="I82" s="59"/>
      <c r="J82" s="59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885</v>
      </c>
      <c r="U82" s="12" t="s">
        <v>886</v>
      </c>
      <c r="V82" s="90"/>
      <c r="W82" s="28"/>
      <c r="X82" s="43"/>
      <c r="Y82" s="28"/>
      <c r="Z82" s="28"/>
      <c r="AA82" s="15"/>
      <c r="AB82" s="15"/>
      <c r="AC82" s="15"/>
      <c r="AD82" s="68"/>
      <c r="AE82" s="15"/>
      <c r="AF82" s="15"/>
      <c r="AG82" s="15"/>
      <c r="AH82" s="81"/>
      <c r="AI82" s="15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</row>
    <row r="83" spans="1:46" ht="15.75" customHeight="1" thickBot="1" x14ac:dyDescent="0.3">
      <c r="A83" s="1" t="s">
        <v>17</v>
      </c>
      <c r="B83" s="54" t="s">
        <v>882</v>
      </c>
      <c r="C83" s="57"/>
      <c r="D83" s="20" t="s">
        <v>104</v>
      </c>
      <c r="E83" s="10" t="s">
        <v>285</v>
      </c>
      <c r="F83" s="22" t="s">
        <v>147</v>
      </c>
      <c r="G83" s="11" t="s">
        <v>7</v>
      </c>
      <c r="H83" s="21">
        <v>24422070060349</v>
      </c>
      <c r="I83" s="59"/>
      <c r="J83" s="59"/>
      <c r="K83" s="59"/>
      <c r="L83" s="59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885</v>
      </c>
      <c r="U83" s="12" t="s">
        <v>886</v>
      </c>
      <c r="V83" s="90"/>
      <c r="W83" s="28"/>
      <c r="X83" s="43"/>
      <c r="Y83" s="28"/>
      <c r="Z83" s="28"/>
      <c r="AA83" s="15"/>
      <c r="AB83" s="15"/>
      <c r="AC83" s="15"/>
      <c r="AD83" s="68"/>
      <c r="AE83" s="15"/>
      <c r="AF83" s="15"/>
      <c r="AG83" s="15"/>
      <c r="AH83" s="81"/>
      <c r="AI83" s="15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</row>
    <row r="84" spans="1:46" ht="15.75" customHeight="1" thickBot="1" x14ac:dyDescent="0.3">
      <c r="A84" s="1" t="s">
        <v>17</v>
      </c>
      <c r="B84" s="54" t="s">
        <v>882</v>
      </c>
      <c r="C84" s="57"/>
      <c r="D84" s="20" t="s">
        <v>105</v>
      </c>
      <c r="E84" s="10" t="s">
        <v>286</v>
      </c>
      <c r="F84" s="22" t="s">
        <v>147</v>
      </c>
      <c r="G84" s="11" t="s">
        <v>7</v>
      </c>
      <c r="H84" s="21">
        <v>24422070060350</v>
      </c>
      <c r="I84" s="59" t="s">
        <v>873</v>
      </c>
      <c r="J84" s="71">
        <v>2</v>
      </c>
      <c r="K84" s="59" t="s">
        <v>798</v>
      </c>
      <c r="L84" s="59" t="s">
        <v>770</v>
      </c>
      <c r="M84" s="73">
        <f t="shared" si="3"/>
        <v>46062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885</v>
      </c>
      <c r="U84" s="12" t="s">
        <v>886</v>
      </c>
      <c r="V84" s="90" t="s">
        <v>777</v>
      </c>
      <c r="W84" s="111" t="s">
        <v>829</v>
      </c>
      <c r="X84" s="43" t="s">
        <v>771</v>
      </c>
      <c r="Y84" s="28"/>
      <c r="Z84" s="28">
        <v>2</v>
      </c>
      <c r="AA84" s="15">
        <v>2</v>
      </c>
      <c r="AB84" s="15">
        <v>2</v>
      </c>
      <c r="AC84" s="15">
        <v>2</v>
      </c>
      <c r="AD84" s="68">
        <v>2</v>
      </c>
      <c r="AE84" s="15"/>
      <c r="AF84" s="15"/>
      <c r="AG84" s="15"/>
      <c r="AH84" s="81"/>
      <c r="AI84" s="15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</row>
    <row r="85" spans="1:46" ht="15.75" customHeight="1" thickBot="1" x14ac:dyDescent="0.3">
      <c r="A85" s="1" t="s">
        <v>17</v>
      </c>
      <c r="B85" s="54" t="s">
        <v>883</v>
      </c>
      <c r="C85" s="57"/>
      <c r="D85" s="20" t="s">
        <v>106</v>
      </c>
      <c r="E85" s="10" t="s">
        <v>287</v>
      </c>
      <c r="F85" s="22" t="s">
        <v>147</v>
      </c>
      <c r="G85" s="11" t="s">
        <v>7</v>
      </c>
      <c r="H85" s="21">
        <v>24422070060351</v>
      </c>
      <c r="I85" s="59"/>
      <c r="J85" s="71"/>
      <c r="K85" s="59"/>
      <c r="L85" s="59"/>
      <c r="M85" s="73" t="e">
        <f t="shared" si="3"/>
        <v>#NUM!</v>
      </c>
      <c r="N85" s="23" t="e">
        <f t="shared" si="5"/>
        <v>#NUM!</v>
      </c>
      <c r="O85" s="73" t="e">
        <f t="shared" si="4"/>
        <v>#NUM!</v>
      </c>
      <c r="P85" s="59"/>
      <c r="Q85" s="59"/>
      <c r="R85" s="59"/>
      <c r="S85" s="59"/>
      <c r="T85" s="12" t="s">
        <v>885</v>
      </c>
      <c r="U85" s="12" t="s">
        <v>886</v>
      </c>
      <c r="V85" s="90"/>
      <c r="W85" s="28"/>
      <c r="X85" s="43"/>
      <c r="Y85" s="28"/>
      <c r="Z85" s="28"/>
      <c r="AA85" s="15"/>
      <c r="AB85" s="15"/>
      <c r="AC85" s="15"/>
      <c r="AD85" s="68"/>
      <c r="AE85" s="15"/>
      <c r="AF85" s="15"/>
      <c r="AG85" s="15"/>
      <c r="AH85" s="81"/>
      <c r="AI85" s="15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</row>
    <row r="86" spans="1:46" ht="15.75" customHeight="1" thickBot="1" x14ac:dyDescent="0.3">
      <c r="A86" s="1" t="s">
        <v>17</v>
      </c>
      <c r="B86" s="54" t="s">
        <v>882</v>
      </c>
      <c r="C86" s="57"/>
      <c r="D86" s="20" t="s">
        <v>107</v>
      </c>
      <c r="E86" s="10" t="s">
        <v>288</v>
      </c>
      <c r="F86" s="22" t="s">
        <v>147</v>
      </c>
      <c r="G86" s="11" t="s">
        <v>7</v>
      </c>
      <c r="H86" s="21">
        <v>24422070060352</v>
      </c>
      <c r="I86" s="59" t="s">
        <v>787</v>
      </c>
      <c r="J86" s="71">
        <v>1</v>
      </c>
      <c r="K86" s="59" t="s">
        <v>187</v>
      </c>
      <c r="L86" s="59" t="s">
        <v>770</v>
      </c>
      <c r="M86" s="73">
        <f t="shared" si="3"/>
        <v>46037</v>
      </c>
      <c r="N86" s="23" t="e">
        <f t="shared" si="5"/>
        <v>#NUM!</v>
      </c>
      <c r="O86" s="73" t="e">
        <f t="shared" si="4"/>
        <v>#NUM!</v>
      </c>
      <c r="P86" s="59"/>
      <c r="Q86" s="59"/>
      <c r="R86" s="59"/>
      <c r="S86" s="59"/>
      <c r="T86" s="12" t="s">
        <v>885</v>
      </c>
      <c r="U86" s="12" t="s">
        <v>886</v>
      </c>
      <c r="V86" s="90" t="s">
        <v>777</v>
      </c>
      <c r="W86" s="28" t="s">
        <v>828</v>
      </c>
      <c r="X86" s="43" t="s">
        <v>771</v>
      </c>
      <c r="Y86" s="28"/>
      <c r="Z86" s="28">
        <v>2</v>
      </c>
      <c r="AA86" s="15">
        <v>2</v>
      </c>
      <c r="AB86" s="15">
        <v>2</v>
      </c>
      <c r="AC86" s="15">
        <v>2</v>
      </c>
      <c r="AD86" s="68">
        <v>2</v>
      </c>
      <c r="AE86" s="15"/>
      <c r="AF86" s="15"/>
      <c r="AG86" s="15"/>
      <c r="AH86" s="81"/>
      <c r="AI86" s="15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</row>
    <row r="87" spans="1:46" ht="15.75" customHeight="1" thickBot="1" x14ac:dyDescent="0.3">
      <c r="A87" s="1" t="s">
        <v>17</v>
      </c>
      <c r="B87" s="54" t="s">
        <v>882</v>
      </c>
      <c r="C87" s="57"/>
      <c r="D87" s="20" t="s">
        <v>108</v>
      </c>
      <c r="E87" s="10" t="s">
        <v>289</v>
      </c>
      <c r="F87" s="22" t="s">
        <v>147</v>
      </c>
      <c r="G87" s="11" t="s">
        <v>7</v>
      </c>
      <c r="H87" s="21">
        <v>24422070060353</v>
      </c>
      <c r="I87" s="59"/>
      <c r="J87" s="71"/>
      <c r="K87" s="59"/>
      <c r="L87" s="59"/>
      <c r="M87" s="73" t="e">
        <f t="shared" si="3"/>
        <v>#NUM!</v>
      </c>
      <c r="N87" s="23" t="e">
        <f t="shared" si="5"/>
        <v>#NUM!</v>
      </c>
      <c r="O87" s="73" t="e">
        <f t="shared" si="4"/>
        <v>#NUM!</v>
      </c>
      <c r="P87" s="59"/>
      <c r="Q87" s="59"/>
      <c r="R87" s="59"/>
      <c r="S87" s="59"/>
      <c r="T87" s="12" t="s">
        <v>885</v>
      </c>
      <c r="U87" s="12" t="s">
        <v>886</v>
      </c>
      <c r="V87" s="90"/>
      <c r="W87" s="28"/>
      <c r="X87" s="43"/>
      <c r="Y87" s="28"/>
      <c r="Z87" s="28"/>
      <c r="AA87" s="15"/>
      <c r="AB87" s="15"/>
      <c r="AC87" s="15"/>
      <c r="AD87" s="68"/>
      <c r="AE87" s="15"/>
      <c r="AF87" s="15"/>
      <c r="AG87" s="15"/>
      <c r="AH87" s="81"/>
      <c r="AI87" s="15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</row>
    <row r="88" spans="1:46" ht="15.75" customHeight="1" thickBot="1" x14ac:dyDescent="0.3">
      <c r="A88" s="1" t="s">
        <v>17</v>
      </c>
      <c r="B88" s="54" t="s">
        <v>882</v>
      </c>
      <c r="C88" s="57"/>
      <c r="D88" s="20" t="s">
        <v>109</v>
      </c>
      <c r="E88" s="13" t="s">
        <v>290</v>
      </c>
      <c r="F88" s="22" t="s">
        <v>147</v>
      </c>
      <c r="G88" s="11" t="s">
        <v>7</v>
      </c>
      <c r="H88" s="21">
        <v>24422070060354</v>
      </c>
      <c r="I88" s="59"/>
      <c r="J88" s="71"/>
      <c r="K88" s="59"/>
      <c r="L88" s="59"/>
      <c r="M88" s="73" t="e">
        <f t="shared" si="3"/>
        <v>#NUM!</v>
      </c>
      <c r="N88" s="23" t="e">
        <f t="shared" si="5"/>
        <v>#NUM!</v>
      </c>
      <c r="O88" s="73" t="e">
        <f t="shared" si="4"/>
        <v>#NUM!</v>
      </c>
      <c r="P88" s="59"/>
      <c r="Q88" s="59"/>
      <c r="R88" s="59"/>
      <c r="S88" s="59"/>
      <c r="T88" s="12" t="s">
        <v>885</v>
      </c>
      <c r="U88" s="12" t="s">
        <v>886</v>
      </c>
      <c r="V88" s="90"/>
      <c r="W88" s="28"/>
      <c r="X88" s="43"/>
      <c r="Y88" s="28"/>
      <c r="Z88" s="28"/>
      <c r="AA88" s="15"/>
      <c r="AB88" s="15"/>
      <c r="AC88" s="15"/>
      <c r="AD88" s="68"/>
      <c r="AE88" s="15"/>
      <c r="AF88" s="15"/>
      <c r="AG88" s="15"/>
      <c r="AH88" s="81"/>
      <c r="AI88" s="15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</row>
    <row r="89" spans="1:46" ht="15.75" customHeight="1" thickBot="1" x14ac:dyDescent="0.3">
      <c r="A89" s="1" t="s">
        <v>17</v>
      </c>
      <c r="B89" s="54" t="s">
        <v>882</v>
      </c>
      <c r="C89" s="57"/>
      <c r="D89" s="20" t="s">
        <v>110</v>
      </c>
      <c r="E89" s="13" t="s">
        <v>291</v>
      </c>
      <c r="F89" s="22" t="s">
        <v>147</v>
      </c>
      <c r="G89" s="11" t="s">
        <v>7</v>
      </c>
      <c r="H89" s="21">
        <v>24422070060355</v>
      </c>
      <c r="I89" s="59" t="s">
        <v>788</v>
      </c>
      <c r="J89" s="71">
        <v>3</v>
      </c>
      <c r="K89" s="59" t="s">
        <v>837</v>
      </c>
      <c r="L89" s="59" t="s">
        <v>770</v>
      </c>
      <c r="M89" s="73">
        <f t="shared" si="3"/>
        <v>46098</v>
      </c>
      <c r="N89" s="23" t="e">
        <f t="shared" si="5"/>
        <v>#NUM!</v>
      </c>
      <c r="O89" s="73" t="e">
        <f t="shared" si="4"/>
        <v>#NUM!</v>
      </c>
      <c r="P89" s="59"/>
      <c r="Q89" s="59"/>
      <c r="R89" s="59"/>
      <c r="S89" s="59"/>
      <c r="T89" s="12" t="s">
        <v>885</v>
      </c>
      <c r="U89" s="12" t="s">
        <v>886</v>
      </c>
      <c r="V89" s="90" t="s">
        <v>777</v>
      </c>
      <c r="W89" s="28" t="s">
        <v>730</v>
      </c>
      <c r="X89" s="43" t="s">
        <v>155</v>
      </c>
      <c r="Y89" s="28"/>
      <c r="Z89" s="28">
        <v>1</v>
      </c>
      <c r="AA89" s="15">
        <v>1</v>
      </c>
      <c r="AB89" s="15">
        <v>2</v>
      </c>
      <c r="AC89" s="15">
        <v>2</v>
      </c>
      <c r="AD89" s="68">
        <v>1</v>
      </c>
      <c r="AE89" s="15"/>
      <c r="AF89" s="15"/>
      <c r="AG89" s="15"/>
      <c r="AH89" s="81"/>
      <c r="AI89" s="15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</row>
    <row r="90" spans="1:46" ht="15.75" customHeight="1" thickBot="1" x14ac:dyDescent="0.3">
      <c r="A90" s="1" t="s">
        <v>17</v>
      </c>
      <c r="B90" s="54" t="s">
        <v>883</v>
      </c>
      <c r="C90" s="57"/>
      <c r="D90" s="20" t="s">
        <v>111</v>
      </c>
      <c r="E90" s="14" t="s">
        <v>292</v>
      </c>
      <c r="F90" s="22" t="s">
        <v>147</v>
      </c>
      <c r="G90" s="11" t="s">
        <v>7</v>
      </c>
      <c r="H90" s="26">
        <v>24422070060356</v>
      </c>
      <c r="I90" s="63" t="s">
        <v>869</v>
      </c>
      <c r="J90" s="72">
        <v>2</v>
      </c>
      <c r="K90" s="63" t="s">
        <v>798</v>
      </c>
      <c r="L90" s="63" t="s">
        <v>770</v>
      </c>
      <c r="M90" s="73">
        <f t="shared" si="3"/>
        <v>46077</v>
      </c>
      <c r="N90" s="23" t="e">
        <f t="shared" si="5"/>
        <v>#NUM!</v>
      </c>
      <c r="O90" s="73" t="e">
        <f t="shared" si="4"/>
        <v>#NUM!</v>
      </c>
      <c r="P90" s="63"/>
      <c r="Q90" s="63"/>
      <c r="R90" s="63"/>
      <c r="S90" s="63"/>
      <c r="T90" s="27" t="s">
        <v>885</v>
      </c>
      <c r="U90" s="27" t="s">
        <v>886</v>
      </c>
      <c r="V90" s="90" t="s">
        <v>777</v>
      </c>
      <c r="W90" s="28" t="s">
        <v>816</v>
      </c>
      <c r="X90" s="43" t="s">
        <v>155</v>
      </c>
      <c r="Y90" s="28"/>
      <c r="Z90" s="28">
        <v>2</v>
      </c>
      <c r="AA90" s="15">
        <v>2</v>
      </c>
      <c r="AB90" s="15">
        <v>2</v>
      </c>
      <c r="AC90" s="15">
        <v>2</v>
      </c>
      <c r="AD90" s="68">
        <v>2</v>
      </c>
      <c r="AE90" s="15"/>
      <c r="AF90" s="15"/>
      <c r="AG90" s="15"/>
      <c r="AH90" s="81"/>
      <c r="AI90" s="15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</row>
    <row r="91" spans="1:46" ht="15.75" customHeight="1" thickBot="1" x14ac:dyDescent="0.3">
      <c r="A91" s="1" t="s">
        <v>17</v>
      </c>
      <c r="B91" s="122" t="s">
        <v>882</v>
      </c>
      <c r="C91" s="93"/>
      <c r="D91" s="20" t="s">
        <v>112</v>
      </c>
      <c r="E91" s="93" t="s">
        <v>293</v>
      </c>
      <c r="F91" s="22" t="s">
        <v>147</v>
      </c>
      <c r="G91" s="11" t="s">
        <v>7</v>
      </c>
      <c r="H91" s="97">
        <v>24422070060357</v>
      </c>
      <c r="I91" s="93"/>
      <c r="J91" s="93"/>
      <c r="K91" s="93"/>
      <c r="L91" s="93"/>
      <c r="M91" s="73" t="e">
        <f t="shared" si="3"/>
        <v>#NUM!</v>
      </c>
      <c r="N91" s="23" t="e">
        <f t="shared" si="5"/>
        <v>#NUM!</v>
      </c>
      <c r="O91" s="73" t="e">
        <f t="shared" si="4"/>
        <v>#NUM!</v>
      </c>
      <c r="P91" s="93"/>
      <c r="Q91" s="93"/>
      <c r="R91" s="93"/>
      <c r="S91" s="93"/>
      <c r="T91" s="93"/>
      <c r="U91" s="93"/>
      <c r="V91" s="90"/>
      <c r="W91" s="28"/>
      <c r="X91" s="43"/>
      <c r="Y91" s="93"/>
      <c r="Z91" s="93"/>
      <c r="AA91" s="93"/>
      <c r="AB91" s="93"/>
      <c r="AC91" s="93"/>
      <c r="AD91" s="93"/>
      <c r="AE91" s="93"/>
      <c r="AF91" s="93"/>
      <c r="AG91" s="93"/>
      <c r="AH91" s="95"/>
      <c r="AI91" s="96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thickBot="1" x14ac:dyDescent="0.3">
      <c r="A92" s="1" t="s">
        <v>17</v>
      </c>
      <c r="B92" s="122" t="s">
        <v>882</v>
      </c>
      <c r="C92" s="93"/>
      <c r="D92" s="20" t="s">
        <v>113</v>
      </c>
      <c r="E92" s="93" t="s">
        <v>294</v>
      </c>
      <c r="F92" s="22" t="s">
        <v>147</v>
      </c>
      <c r="G92" s="11" t="s">
        <v>7</v>
      </c>
      <c r="H92" s="97">
        <v>24422070060359</v>
      </c>
      <c r="I92" s="93"/>
      <c r="J92" s="93"/>
      <c r="K92" s="93"/>
      <c r="L92" s="93"/>
      <c r="M92" s="73" t="e">
        <f t="shared" si="3"/>
        <v>#NUM!</v>
      </c>
      <c r="N92" s="23" t="e">
        <f t="shared" si="5"/>
        <v>#NUM!</v>
      </c>
      <c r="O92" s="73" t="e">
        <f t="shared" si="4"/>
        <v>#NUM!</v>
      </c>
      <c r="P92" s="93"/>
      <c r="Q92" s="93"/>
      <c r="R92" s="93"/>
      <c r="S92" s="93"/>
      <c r="T92" s="93"/>
      <c r="U92" s="93"/>
      <c r="V92" s="90"/>
      <c r="W92" s="28"/>
      <c r="X92" s="43"/>
      <c r="Y92" s="93"/>
      <c r="Z92" s="93"/>
      <c r="AA92" s="93"/>
      <c r="AB92" s="93"/>
      <c r="AC92" s="93"/>
      <c r="AD92" s="93"/>
      <c r="AE92" s="93"/>
      <c r="AF92" s="93"/>
      <c r="AG92" s="93"/>
      <c r="AH92" s="95"/>
      <c r="AI92" s="96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thickBot="1" x14ac:dyDescent="0.3">
      <c r="A93" s="1" t="s">
        <v>17</v>
      </c>
      <c r="B93" s="122" t="s">
        <v>882</v>
      </c>
      <c r="C93" s="93"/>
      <c r="D93" s="20" t="s">
        <v>114</v>
      </c>
      <c r="E93" s="93" t="s">
        <v>296</v>
      </c>
      <c r="F93" s="22" t="s">
        <v>147</v>
      </c>
      <c r="G93" s="11" t="s">
        <v>7</v>
      </c>
      <c r="H93" s="97">
        <v>24422070060361</v>
      </c>
      <c r="I93" s="93"/>
      <c r="J93" s="93"/>
      <c r="K93" s="93"/>
      <c r="L93" s="93"/>
      <c r="M93" s="73" t="e">
        <f t="shared" si="3"/>
        <v>#NUM!</v>
      </c>
      <c r="N93" s="23" t="e">
        <f t="shared" si="5"/>
        <v>#NUM!</v>
      </c>
      <c r="O93" s="73" t="e">
        <f t="shared" si="4"/>
        <v>#NUM!</v>
      </c>
      <c r="P93" s="93"/>
      <c r="Q93" s="93"/>
      <c r="R93" s="93"/>
      <c r="S93" s="93"/>
      <c r="T93" s="93"/>
      <c r="U93" s="93"/>
      <c r="V93" s="90"/>
      <c r="W93" s="28"/>
      <c r="X93" s="43"/>
      <c r="Y93" s="93"/>
      <c r="Z93" s="93"/>
      <c r="AA93" s="93"/>
      <c r="AB93" s="93"/>
      <c r="AC93" s="93"/>
      <c r="AD93" s="93"/>
      <c r="AE93" s="93"/>
      <c r="AF93" s="93"/>
      <c r="AG93" s="93"/>
      <c r="AH93" s="95"/>
      <c r="AI93" s="96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84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</row>
    <row r="233" spans="1:46" ht="15.75" customHeight="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84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</row>
    <row r="234" spans="1:46" ht="15.75" customHeight="1" x14ac:dyDescent="0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84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</row>
    <row r="235" spans="1:46" ht="15.75" customHeight="1" x14ac:dyDescent="0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84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</row>
    <row r="236" spans="1:46" ht="15.75" customHeight="1" x14ac:dyDescent="0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84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</row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autoFilter ref="A1:AV93"/>
  <conditionalFormatting sqref="N2:N93">
    <cfRule type="cellIs" dxfId="29" priority="1" operator="greaterThan">
      <formula>5</formula>
    </cfRule>
    <cfRule type="cellIs" dxfId="28" priority="2" operator="lessThan">
      <formula>6</formula>
    </cfRule>
    <cfRule type="cellIs" dxfId="27" priority="4" operator="greaterThan">
      <formula>6</formula>
    </cfRule>
    <cfRule type="cellIs" dxfId="26" priority="5" operator="lessThan">
      <formula>6</formula>
    </cfRule>
  </conditionalFormatting>
  <conditionalFormatting sqref="N1:N1048576">
    <cfRule type="cellIs" dxfId="25" priority="3" operator="greaterThan">
      <formula>6</formula>
    </cfRule>
  </conditionalFormatting>
  <dataValidations count="1">
    <dataValidation type="list" allowBlank="1" showInputMessage="1" showErrorMessage="1" sqref="X2:X93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9" max="48" man="1"/>
    <brk id="93" max="48" man="1"/>
    <brk id="145" max="35" man="1"/>
  </rowBreaks>
  <colBreaks count="2" manualBreakCount="2">
    <brk id="21" max="241" man="1"/>
    <brk id="35" max="241" man="1"/>
  </colBreaks>
  <ignoredErrors>
    <ignoredError sqref="D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V2:V93</xm:sqref>
        </x14:dataValidation>
        <x14:dataValidation type="list" allowBlank="1" showInputMessage="1" showErrorMessage="1">
          <x14:formula1>
            <xm:f>CATALOGO!$A$2:$A$87</xm:f>
          </x14:formula1>
          <xm:sqref>W2:W93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42"/>
  <sheetViews>
    <sheetView view="pageBreakPreview" topLeftCell="N1" zoomScale="90" zoomScaleNormal="70" zoomScaleSheetLayoutView="90" workbookViewId="0">
      <pane ySplit="1" topLeftCell="A2" activePane="bottomLeft" state="frozen"/>
      <selection pane="bottomLeft" activeCell="AC21" sqref="AC21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8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882</v>
      </c>
      <c r="C2" s="87"/>
      <c r="D2" s="20" t="s">
        <v>23</v>
      </c>
      <c r="E2" s="10" t="s">
        <v>297</v>
      </c>
      <c r="F2" s="22" t="s">
        <v>148</v>
      </c>
      <c r="G2" s="11" t="s">
        <v>9</v>
      </c>
      <c r="H2" s="98">
        <v>24422070060001</v>
      </c>
      <c r="I2" s="58" t="s">
        <v>792</v>
      </c>
      <c r="J2" s="58" t="s">
        <v>779</v>
      </c>
      <c r="K2" s="58" t="s">
        <v>798</v>
      </c>
      <c r="L2" s="58" t="s">
        <v>770</v>
      </c>
      <c r="M2" s="73">
        <f t="shared" ref="M2:M35" si="0">DATE(L2,J2,I2)</f>
        <v>46079</v>
      </c>
      <c r="N2" s="23" t="e">
        <f t="shared" ref="N2:N35" si="1">DATEDIF(M2,O2,"m")</f>
        <v>#NUM!</v>
      </c>
      <c r="O2" s="73" t="e">
        <f t="shared" ref="O2:O35" si="2">DATE(S2,Q2,P2)</f>
        <v>#NUM!</v>
      </c>
      <c r="P2" s="58"/>
      <c r="Q2" s="58"/>
      <c r="R2" s="58"/>
      <c r="S2" s="58"/>
      <c r="T2" s="12" t="s">
        <v>885</v>
      </c>
      <c r="U2" s="12" t="s">
        <v>886</v>
      </c>
      <c r="V2" s="90" t="s">
        <v>777</v>
      </c>
      <c r="W2" s="28" t="s">
        <v>168</v>
      </c>
      <c r="X2" s="43" t="s">
        <v>155</v>
      </c>
      <c r="Y2" s="61"/>
      <c r="Z2" s="28">
        <v>1</v>
      </c>
      <c r="AA2" s="28">
        <v>1</v>
      </c>
      <c r="AB2" s="28">
        <v>2</v>
      </c>
      <c r="AC2" s="28">
        <v>2</v>
      </c>
      <c r="AD2" s="66">
        <v>1</v>
      </c>
      <c r="AE2" s="28"/>
      <c r="AF2" s="28"/>
      <c r="AG2" s="28"/>
      <c r="AH2" s="20"/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882</v>
      </c>
      <c r="C3" s="87"/>
      <c r="D3" s="20" t="s">
        <v>25</v>
      </c>
      <c r="E3" s="10" t="s">
        <v>298</v>
      </c>
      <c r="F3" s="22" t="s">
        <v>148</v>
      </c>
      <c r="G3" s="11" t="s">
        <v>9</v>
      </c>
      <c r="H3" s="98">
        <v>24422070060003</v>
      </c>
      <c r="I3" s="58" t="s">
        <v>159</v>
      </c>
      <c r="J3" s="70">
        <v>12</v>
      </c>
      <c r="K3" s="58" t="s">
        <v>768</v>
      </c>
      <c r="L3" s="58" t="s">
        <v>153</v>
      </c>
      <c r="M3" s="73">
        <f t="shared" si="0"/>
        <v>46001</v>
      </c>
      <c r="N3" s="23" t="e">
        <f t="shared" si="1"/>
        <v>#NUM!</v>
      </c>
      <c r="O3" s="73" t="e">
        <f t="shared" si="2"/>
        <v>#NUM!</v>
      </c>
      <c r="P3" s="58"/>
      <c r="Q3" s="58"/>
      <c r="R3" s="58"/>
      <c r="S3" s="58"/>
      <c r="T3" s="12" t="s">
        <v>885</v>
      </c>
      <c r="U3" s="12" t="s">
        <v>886</v>
      </c>
      <c r="V3" s="90" t="s">
        <v>165</v>
      </c>
      <c r="W3" s="28" t="s">
        <v>833</v>
      </c>
      <c r="X3" s="43" t="s">
        <v>155</v>
      </c>
      <c r="Y3" s="28" t="s">
        <v>189</v>
      </c>
      <c r="Z3" s="28">
        <v>1</v>
      </c>
      <c r="AA3" s="28">
        <v>1</v>
      </c>
      <c r="AB3" s="28">
        <v>1</v>
      </c>
      <c r="AC3" s="28">
        <v>1</v>
      </c>
      <c r="AD3" s="66">
        <v>1</v>
      </c>
      <c r="AE3" s="28">
        <v>2</v>
      </c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883</v>
      </c>
      <c r="C4" s="87"/>
      <c r="D4" s="20" t="s">
        <v>26</v>
      </c>
      <c r="E4" s="10" t="s">
        <v>299</v>
      </c>
      <c r="F4" s="22" t="s">
        <v>148</v>
      </c>
      <c r="G4" s="11" t="s">
        <v>9</v>
      </c>
      <c r="H4" s="98">
        <v>24422070060004</v>
      </c>
      <c r="I4" s="58"/>
      <c r="J4" s="58"/>
      <c r="K4" s="58"/>
      <c r="L4" s="58"/>
      <c r="M4" s="73" t="e">
        <f t="shared" si="0"/>
        <v>#NUM!</v>
      </c>
      <c r="N4" s="23" t="e">
        <f t="shared" si="1"/>
        <v>#NUM!</v>
      </c>
      <c r="O4" s="73" t="e">
        <f t="shared" si="2"/>
        <v>#NUM!</v>
      </c>
      <c r="P4" s="58"/>
      <c r="Q4" s="58"/>
      <c r="R4" s="58"/>
      <c r="S4" s="58"/>
      <c r="T4" s="12" t="s">
        <v>885</v>
      </c>
      <c r="U4" s="12" t="s">
        <v>886</v>
      </c>
      <c r="V4" s="90" t="s">
        <v>777</v>
      </c>
      <c r="W4" s="28" t="s">
        <v>19</v>
      </c>
      <c r="X4" s="43" t="s">
        <v>771</v>
      </c>
      <c r="Y4" s="28"/>
      <c r="Z4" s="28">
        <v>2</v>
      </c>
      <c r="AA4" s="28">
        <v>2</v>
      </c>
      <c r="AB4" s="28"/>
      <c r="AC4" s="28"/>
      <c r="AD4" s="66">
        <v>2</v>
      </c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882</v>
      </c>
      <c r="C5" s="87"/>
      <c r="D5" s="20" t="s">
        <v>27</v>
      </c>
      <c r="E5" s="10" t="s">
        <v>300</v>
      </c>
      <c r="F5" s="22" t="s">
        <v>148</v>
      </c>
      <c r="G5" s="11" t="s">
        <v>9</v>
      </c>
      <c r="H5" s="98">
        <v>24422070060054</v>
      </c>
      <c r="I5" s="58"/>
      <c r="J5" s="70"/>
      <c r="K5" s="58"/>
      <c r="L5" s="58"/>
      <c r="M5" s="73" t="e">
        <f t="shared" si="0"/>
        <v>#NUM!</v>
      </c>
      <c r="N5" s="23" t="e">
        <f t="shared" si="1"/>
        <v>#NUM!</v>
      </c>
      <c r="O5" s="73" t="e">
        <f t="shared" si="2"/>
        <v>#NUM!</v>
      </c>
      <c r="P5" s="58"/>
      <c r="Q5" s="58"/>
      <c r="R5" s="58"/>
      <c r="S5" s="58"/>
      <c r="T5" s="12" t="s">
        <v>885</v>
      </c>
      <c r="U5" s="12" t="s">
        <v>886</v>
      </c>
      <c r="V5" s="90"/>
      <c r="W5" s="28"/>
      <c r="X5" s="43"/>
      <c r="Y5" s="28"/>
      <c r="Z5" s="28"/>
      <c r="AA5" s="28"/>
      <c r="AB5" s="28"/>
      <c r="AC5" s="28"/>
      <c r="AD5" s="66"/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883</v>
      </c>
      <c r="C6" s="118">
        <v>2</v>
      </c>
      <c r="D6" s="20" t="s">
        <v>24</v>
      </c>
      <c r="E6" s="10" t="s">
        <v>301</v>
      </c>
      <c r="F6" s="22" t="s">
        <v>148</v>
      </c>
      <c r="G6" s="11" t="s">
        <v>9</v>
      </c>
      <c r="H6" s="98">
        <v>24422070060005</v>
      </c>
      <c r="I6" s="58"/>
      <c r="J6" s="70"/>
      <c r="K6" s="58"/>
      <c r="L6" s="58"/>
      <c r="M6" s="73" t="e">
        <f t="shared" si="0"/>
        <v>#NUM!</v>
      </c>
      <c r="N6" s="23" t="e">
        <f t="shared" si="1"/>
        <v>#NUM!</v>
      </c>
      <c r="O6" s="73" t="e">
        <f t="shared" si="2"/>
        <v>#NUM!</v>
      </c>
      <c r="P6" s="58"/>
      <c r="Q6" s="58"/>
      <c r="R6" s="58"/>
      <c r="S6" s="58"/>
      <c r="T6" s="12" t="s">
        <v>885</v>
      </c>
      <c r="U6" s="12" t="s">
        <v>886</v>
      </c>
      <c r="V6" s="90"/>
      <c r="W6" s="28"/>
      <c r="X6" s="43"/>
      <c r="Y6" s="28"/>
      <c r="Z6" s="28"/>
      <c r="AA6" s="28"/>
      <c r="AB6" s="28"/>
      <c r="AC6" s="28"/>
      <c r="AD6" s="66"/>
      <c r="AE6" s="28"/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customHeight="1" thickBot="1" x14ac:dyDescent="0.3">
      <c r="A7" s="1" t="s">
        <v>126</v>
      </c>
      <c r="B7" s="3" t="s">
        <v>883</v>
      </c>
      <c r="C7" s="87"/>
      <c r="D7" s="20" t="s">
        <v>28</v>
      </c>
      <c r="E7" s="10" t="s">
        <v>302</v>
      </c>
      <c r="F7" s="22" t="s">
        <v>148</v>
      </c>
      <c r="G7" s="11" t="s">
        <v>9</v>
      </c>
      <c r="H7" s="98">
        <v>24422070060006</v>
      </c>
      <c r="I7" s="58" t="s">
        <v>769</v>
      </c>
      <c r="J7" s="58" t="s">
        <v>157</v>
      </c>
      <c r="K7" s="58" t="s">
        <v>187</v>
      </c>
      <c r="L7" s="58" t="s">
        <v>770</v>
      </c>
      <c r="M7" s="73">
        <f t="shared" si="0"/>
        <v>46038</v>
      </c>
      <c r="N7" s="23" t="e">
        <f t="shared" si="1"/>
        <v>#NUM!</v>
      </c>
      <c r="O7" s="73" t="e">
        <f t="shared" si="2"/>
        <v>#NUM!</v>
      </c>
      <c r="P7" s="58"/>
      <c r="Q7" s="58"/>
      <c r="R7" s="58"/>
      <c r="S7" s="58"/>
      <c r="T7" s="12" t="s">
        <v>885</v>
      </c>
      <c r="U7" s="12" t="s">
        <v>886</v>
      </c>
      <c r="V7" s="90" t="s">
        <v>165</v>
      </c>
      <c r="W7" s="28" t="s">
        <v>833</v>
      </c>
      <c r="X7" s="43" t="s">
        <v>155</v>
      </c>
      <c r="Y7" s="28" t="s">
        <v>189</v>
      </c>
      <c r="Z7" s="28">
        <v>1</v>
      </c>
      <c r="AA7" s="28">
        <v>1</v>
      </c>
      <c r="AB7" s="28">
        <v>1</v>
      </c>
      <c r="AC7" s="28">
        <v>1</v>
      </c>
      <c r="AD7" s="66">
        <v>1</v>
      </c>
      <c r="AE7" s="28">
        <v>2</v>
      </c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882</v>
      </c>
      <c r="C8" s="87"/>
      <c r="D8" s="20" t="s">
        <v>29</v>
      </c>
      <c r="E8" s="10" t="s">
        <v>303</v>
      </c>
      <c r="F8" s="22" t="s">
        <v>148</v>
      </c>
      <c r="G8" s="11" t="s">
        <v>9</v>
      </c>
      <c r="H8" s="98">
        <v>24422070060010</v>
      </c>
      <c r="I8" s="58" t="s">
        <v>160</v>
      </c>
      <c r="J8" s="70">
        <v>12</v>
      </c>
      <c r="K8" s="58" t="s">
        <v>768</v>
      </c>
      <c r="L8" s="58" t="s">
        <v>153</v>
      </c>
      <c r="M8" s="73">
        <f t="shared" si="0"/>
        <v>46009</v>
      </c>
      <c r="N8" s="23" t="e">
        <f t="shared" si="1"/>
        <v>#NUM!</v>
      </c>
      <c r="O8" s="73" t="e">
        <f t="shared" si="2"/>
        <v>#NUM!</v>
      </c>
      <c r="P8" s="58"/>
      <c r="Q8" s="58"/>
      <c r="R8" s="58"/>
      <c r="S8" s="58"/>
      <c r="T8" s="12" t="s">
        <v>885</v>
      </c>
      <c r="U8" s="12" t="s">
        <v>886</v>
      </c>
      <c r="V8" s="90" t="s">
        <v>777</v>
      </c>
      <c r="W8" s="28" t="s">
        <v>828</v>
      </c>
      <c r="X8" s="43" t="s">
        <v>771</v>
      </c>
      <c r="Y8" s="28"/>
      <c r="Z8" s="28">
        <v>1</v>
      </c>
      <c r="AA8" s="28">
        <v>1</v>
      </c>
      <c r="AB8" s="28">
        <v>1</v>
      </c>
      <c r="AC8" s="28">
        <v>1</v>
      </c>
      <c r="AD8" s="66">
        <v>1</v>
      </c>
      <c r="AE8" s="28">
        <v>2</v>
      </c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882</v>
      </c>
      <c r="C9" s="87"/>
      <c r="D9" s="20" t="s">
        <v>30</v>
      </c>
      <c r="E9" s="10" t="s">
        <v>304</v>
      </c>
      <c r="F9" s="22" t="s">
        <v>148</v>
      </c>
      <c r="G9" s="11" t="s">
        <v>9</v>
      </c>
      <c r="H9" s="98">
        <v>24422070060011</v>
      </c>
      <c r="I9" s="58" t="s">
        <v>769</v>
      </c>
      <c r="J9" s="70">
        <v>2</v>
      </c>
      <c r="K9" s="58" t="s">
        <v>798</v>
      </c>
      <c r="L9" s="58" t="s">
        <v>770</v>
      </c>
      <c r="M9" s="73">
        <f t="shared" si="0"/>
        <v>46069</v>
      </c>
      <c r="N9" s="23" t="e">
        <f t="shared" si="1"/>
        <v>#NUM!</v>
      </c>
      <c r="O9" s="73" t="e">
        <f t="shared" si="2"/>
        <v>#NUM!</v>
      </c>
      <c r="P9" s="58"/>
      <c r="Q9" s="58"/>
      <c r="R9" s="58"/>
      <c r="S9" s="58"/>
      <c r="T9" s="12" t="s">
        <v>885</v>
      </c>
      <c r="U9" s="12" t="s">
        <v>886</v>
      </c>
      <c r="V9" s="90" t="s">
        <v>777</v>
      </c>
      <c r="W9" s="28" t="s">
        <v>832</v>
      </c>
      <c r="X9" s="43" t="s">
        <v>155</v>
      </c>
      <c r="Y9" s="28" t="s">
        <v>162</v>
      </c>
      <c r="Z9" s="28">
        <v>1</v>
      </c>
      <c r="AA9" s="28">
        <v>1</v>
      </c>
      <c r="AB9" s="28">
        <v>2</v>
      </c>
      <c r="AC9" s="28">
        <v>2</v>
      </c>
      <c r="AD9" s="66">
        <v>1</v>
      </c>
      <c r="AE9" s="28"/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882</v>
      </c>
      <c r="C10" s="87"/>
      <c r="D10" s="20" t="s">
        <v>31</v>
      </c>
      <c r="E10" s="10" t="s">
        <v>305</v>
      </c>
      <c r="F10" s="22" t="s">
        <v>148</v>
      </c>
      <c r="G10" s="11" t="s">
        <v>9</v>
      </c>
      <c r="H10" s="98">
        <v>24422070060059</v>
      </c>
      <c r="I10" s="58" t="s">
        <v>159</v>
      </c>
      <c r="J10" s="70">
        <v>12</v>
      </c>
      <c r="K10" s="58" t="s">
        <v>768</v>
      </c>
      <c r="L10" s="58" t="s">
        <v>153</v>
      </c>
      <c r="M10" s="73">
        <f t="shared" si="0"/>
        <v>46001</v>
      </c>
      <c r="N10" s="23">
        <f t="shared" si="1"/>
        <v>6</v>
      </c>
      <c r="O10" s="73">
        <f t="shared" si="2"/>
        <v>46183</v>
      </c>
      <c r="P10" s="58" t="s">
        <v>159</v>
      </c>
      <c r="Q10" s="58" t="s">
        <v>875</v>
      </c>
      <c r="R10" s="58" t="s">
        <v>881</v>
      </c>
      <c r="S10" s="58" t="s">
        <v>770</v>
      </c>
      <c r="T10" s="12" t="s">
        <v>885</v>
      </c>
      <c r="U10" s="12" t="s">
        <v>886</v>
      </c>
      <c r="V10" s="90" t="s">
        <v>165</v>
      </c>
      <c r="W10" s="28" t="s">
        <v>833</v>
      </c>
      <c r="X10" s="43" t="s">
        <v>155</v>
      </c>
      <c r="Y10" s="28" t="s">
        <v>189</v>
      </c>
      <c r="Z10" s="28">
        <v>1</v>
      </c>
      <c r="AA10" s="28">
        <v>1</v>
      </c>
      <c r="AB10" s="28">
        <v>1</v>
      </c>
      <c r="AC10" s="28">
        <v>1</v>
      </c>
      <c r="AD10" s="66">
        <v>1</v>
      </c>
      <c r="AE10" s="28">
        <v>2</v>
      </c>
      <c r="AF10" s="28">
        <v>2</v>
      </c>
      <c r="AG10" s="28">
        <v>2</v>
      </c>
      <c r="AH10" s="20" t="s">
        <v>870</v>
      </c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882</v>
      </c>
      <c r="C11" s="118">
        <v>2</v>
      </c>
      <c r="D11" s="20" t="s">
        <v>32</v>
      </c>
      <c r="E11" s="10" t="s">
        <v>306</v>
      </c>
      <c r="F11" s="22" t="s">
        <v>148</v>
      </c>
      <c r="G11" s="11" t="s">
        <v>9</v>
      </c>
      <c r="H11" s="98">
        <v>24422070060012</v>
      </c>
      <c r="I11" s="58"/>
      <c r="J11" s="70"/>
      <c r="K11" s="58"/>
      <c r="L11" s="58"/>
      <c r="M11" s="73" t="e">
        <f t="shared" si="0"/>
        <v>#NUM!</v>
      </c>
      <c r="N11" s="23" t="e">
        <f t="shared" si="1"/>
        <v>#NUM!</v>
      </c>
      <c r="O11" s="73" t="e">
        <f t="shared" si="2"/>
        <v>#NUM!</v>
      </c>
      <c r="P11" s="58"/>
      <c r="Q11" s="58"/>
      <c r="R11" s="58"/>
      <c r="S11" s="58"/>
      <c r="T11" s="12" t="s">
        <v>885</v>
      </c>
      <c r="U11" s="12" t="s">
        <v>886</v>
      </c>
      <c r="V11" s="90"/>
      <c r="W11" s="28"/>
      <c r="X11" s="43"/>
      <c r="Y11" s="28"/>
      <c r="Z11" s="28"/>
      <c r="AA11" s="28"/>
      <c r="AB11" s="28"/>
      <c r="AC11" s="28"/>
      <c r="AD11" s="66"/>
      <c r="AE11" s="28"/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883</v>
      </c>
      <c r="C12" s="87"/>
      <c r="D12" s="20" t="s">
        <v>33</v>
      </c>
      <c r="E12" s="10" t="s">
        <v>307</v>
      </c>
      <c r="F12" s="22" t="s">
        <v>148</v>
      </c>
      <c r="G12" s="11" t="s">
        <v>9</v>
      </c>
      <c r="H12" s="98">
        <v>24422070060013</v>
      </c>
      <c r="I12" s="58" t="s">
        <v>769</v>
      </c>
      <c r="J12" s="58" t="s">
        <v>157</v>
      </c>
      <c r="K12" s="58" t="s">
        <v>187</v>
      </c>
      <c r="L12" s="58" t="s">
        <v>770</v>
      </c>
      <c r="M12" s="73">
        <f t="shared" si="0"/>
        <v>46038</v>
      </c>
      <c r="N12" s="23" t="e">
        <f t="shared" si="1"/>
        <v>#NUM!</v>
      </c>
      <c r="O12" s="73" t="e">
        <f t="shared" si="2"/>
        <v>#NUM!</v>
      </c>
      <c r="P12" s="58"/>
      <c r="Q12" s="58"/>
      <c r="R12" s="58"/>
      <c r="S12" s="58"/>
      <c r="T12" s="12" t="s">
        <v>885</v>
      </c>
      <c r="U12" s="12" t="s">
        <v>886</v>
      </c>
      <c r="V12" s="90" t="s">
        <v>165</v>
      </c>
      <c r="W12" s="28" t="s">
        <v>833</v>
      </c>
      <c r="X12" s="43" t="s">
        <v>155</v>
      </c>
      <c r="Y12" s="28" t="s">
        <v>189</v>
      </c>
      <c r="Z12" s="28">
        <v>1</v>
      </c>
      <c r="AA12" s="28">
        <v>1</v>
      </c>
      <c r="AB12" s="28">
        <v>1</v>
      </c>
      <c r="AC12" s="28">
        <v>1</v>
      </c>
      <c r="AD12" s="66">
        <v>1</v>
      </c>
      <c r="AE12" s="28">
        <v>2</v>
      </c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882</v>
      </c>
      <c r="C13" s="118">
        <v>1</v>
      </c>
      <c r="D13" s="20" t="s">
        <v>34</v>
      </c>
      <c r="E13" s="10" t="s">
        <v>308</v>
      </c>
      <c r="F13" s="22" t="s">
        <v>148</v>
      </c>
      <c r="G13" s="11" t="s">
        <v>9</v>
      </c>
      <c r="H13" s="98">
        <v>24422070060014</v>
      </c>
      <c r="I13" s="58"/>
      <c r="J13" s="58"/>
      <c r="K13" s="58"/>
      <c r="L13" s="58"/>
      <c r="M13" s="73" t="e">
        <f t="shared" si="0"/>
        <v>#NUM!</v>
      </c>
      <c r="N13" s="23" t="e">
        <f t="shared" si="1"/>
        <v>#NUM!</v>
      </c>
      <c r="O13" s="73" t="e">
        <f t="shared" si="2"/>
        <v>#NUM!</v>
      </c>
      <c r="P13" s="58"/>
      <c r="Q13" s="58"/>
      <c r="R13" s="58"/>
      <c r="S13" s="58"/>
      <c r="T13" s="12" t="s">
        <v>885</v>
      </c>
      <c r="U13" s="12" t="s">
        <v>886</v>
      </c>
      <c r="V13" s="90"/>
      <c r="W13" s="28"/>
      <c r="X13" s="43"/>
      <c r="Y13" s="28"/>
      <c r="Z13" s="28"/>
      <c r="AA13" s="28"/>
      <c r="AB13" s="28"/>
      <c r="AC13" s="28"/>
      <c r="AD13" s="66"/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882</v>
      </c>
      <c r="C14" s="87"/>
      <c r="D14" s="20" t="s">
        <v>35</v>
      </c>
      <c r="E14" s="10" t="s">
        <v>309</v>
      </c>
      <c r="F14" s="22" t="s">
        <v>148</v>
      </c>
      <c r="G14" s="11" t="s">
        <v>9</v>
      </c>
      <c r="H14" s="98">
        <v>24422070060015</v>
      </c>
      <c r="I14" s="58" t="s">
        <v>769</v>
      </c>
      <c r="J14" s="70">
        <v>2</v>
      </c>
      <c r="K14" s="58" t="s">
        <v>798</v>
      </c>
      <c r="L14" s="58" t="s">
        <v>770</v>
      </c>
      <c r="M14" s="73">
        <f t="shared" si="0"/>
        <v>46069</v>
      </c>
      <c r="N14" s="23" t="e">
        <f t="shared" si="1"/>
        <v>#NUM!</v>
      </c>
      <c r="O14" s="73" t="e">
        <f t="shared" si="2"/>
        <v>#NUM!</v>
      </c>
      <c r="P14" s="58"/>
      <c r="Q14" s="58"/>
      <c r="R14" s="58"/>
      <c r="S14" s="58"/>
      <c r="T14" s="12" t="s">
        <v>885</v>
      </c>
      <c r="U14" s="12" t="s">
        <v>886</v>
      </c>
      <c r="V14" s="90" t="s">
        <v>165</v>
      </c>
      <c r="W14" s="28" t="s">
        <v>891</v>
      </c>
      <c r="X14" s="43" t="s">
        <v>155</v>
      </c>
      <c r="Y14" s="28" t="s">
        <v>884</v>
      </c>
      <c r="Z14" s="28">
        <v>1</v>
      </c>
      <c r="AA14" s="28">
        <v>1</v>
      </c>
      <c r="AB14" s="28">
        <v>1</v>
      </c>
      <c r="AC14" s="28">
        <v>1</v>
      </c>
      <c r="AD14" s="66">
        <v>1</v>
      </c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882</v>
      </c>
      <c r="C15" s="87"/>
      <c r="D15" s="20" t="s">
        <v>36</v>
      </c>
      <c r="E15" s="10" t="s">
        <v>310</v>
      </c>
      <c r="F15" s="22" t="s">
        <v>148</v>
      </c>
      <c r="G15" s="11" t="s">
        <v>9</v>
      </c>
      <c r="H15" s="98">
        <v>24422070060017</v>
      </c>
      <c r="I15" s="58" t="s">
        <v>779</v>
      </c>
      <c r="J15" s="70">
        <v>3</v>
      </c>
      <c r="K15" s="58" t="s">
        <v>837</v>
      </c>
      <c r="L15" s="58" t="s">
        <v>770</v>
      </c>
      <c r="M15" s="73">
        <f t="shared" si="0"/>
        <v>46083</v>
      </c>
      <c r="N15" s="23" t="e">
        <f t="shared" si="1"/>
        <v>#NUM!</v>
      </c>
      <c r="O15" s="73" t="e">
        <f t="shared" si="2"/>
        <v>#NUM!</v>
      </c>
      <c r="P15" s="58"/>
      <c r="Q15" s="58"/>
      <c r="R15" s="58"/>
      <c r="S15" s="58"/>
      <c r="T15" s="12" t="s">
        <v>885</v>
      </c>
      <c r="U15" s="12" t="s">
        <v>886</v>
      </c>
      <c r="V15" s="90" t="s">
        <v>165</v>
      </c>
      <c r="W15" s="28" t="s">
        <v>832</v>
      </c>
      <c r="X15" s="43" t="s">
        <v>155</v>
      </c>
      <c r="Y15" s="28" t="s">
        <v>162</v>
      </c>
      <c r="Z15" s="28">
        <v>1</v>
      </c>
      <c r="AA15" s="28">
        <v>1</v>
      </c>
      <c r="AB15" s="28">
        <v>2</v>
      </c>
      <c r="AC15" s="28">
        <v>2</v>
      </c>
      <c r="AD15" s="66">
        <v>1</v>
      </c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882</v>
      </c>
      <c r="C16" s="87"/>
      <c r="D16" s="20" t="s">
        <v>37</v>
      </c>
      <c r="E16" s="10" t="s">
        <v>311</v>
      </c>
      <c r="F16" s="22" t="s">
        <v>148</v>
      </c>
      <c r="G16" s="11" t="s">
        <v>9</v>
      </c>
      <c r="H16" s="98">
        <v>24422070060018</v>
      </c>
      <c r="I16" s="58"/>
      <c r="J16" s="58"/>
      <c r="K16" s="58"/>
      <c r="L16" s="58"/>
      <c r="M16" s="73" t="e">
        <f t="shared" si="0"/>
        <v>#NUM!</v>
      </c>
      <c r="N16" s="23" t="e">
        <f t="shared" si="1"/>
        <v>#NUM!</v>
      </c>
      <c r="O16" s="73" t="e">
        <f t="shared" si="2"/>
        <v>#NUM!</v>
      </c>
      <c r="P16" s="58"/>
      <c r="Q16" s="58"/>
      <c r="R16" s="58"/>
      <c r="S16" s="58"/>
      <c r="T16" s="12" t="s">
        <v>885</v>
      </c>
      <c r="U16" s="12" t="s">
        <v>886</v>
      </c>
      <c r="V16" s="90" t="s">
        <v>777</v>
      </c>
      <c r="W16" s="28" t="s">
        <v>161</v>
      </c>
      <c r="X16" s="43" t="s">
        <v>155</v>
      </c>
      <c r="Y16" s="28" t="s">
        <v>857</v>
      </c>
      <c r="Z16" s="28">
        <v>2</v>
      </c>
      <c r="AA16" s="28">
        <v>2</v>
      </c>
      <c r="AB16" s="28"/>
      <c r="AC16" s="28"/>
      <c r="AD16" s="66">
        <v>2</v>
      </c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/>
      <c r="B17" s="3" t="s">
        <v>883</v>
      </c>
      <c r="C17" s="87"/>
      <c r="D17" s="20" t="s">
        <v>38</v>
      </c>
      <c r="E17" s="10" t="s">
        <v>844</v>
      </c>
      <c r="F17" s="22" t="s">
        <v>148</v>
      </c>
      <c r="G17" s="11" t="s">
        <v>9</v>
      </c>
      <c r="H17" s="98">
        <v>23422070060157</v>
      </c>
      <c r="I17" s="58" t="s">
        <v>775</v>
      </c>
      <c r="J17" s="58" t="s">
        <v>780</v>
      </c>
      <c r="K17" s="58" t="s">
        <v>837</v>
      </c>
      <c r="L17" s="58" t="s">
        <v>770</v>
      </c>
      <c r="M17" s="73">
        <f t="shared" si="0"/>
        <v>46093</v>
      </c>
      <c r="N17" s="23" t="e">
        <f t="shared" si="1"/>
        <v>#NUM!</v>
      </c>
      <c r="O17" s="73" t="e">
        <f t="shared" si="2"/>
        <v>#NUM!</v>
      </c>
      <c r="P17" s="58"/>
      <c r="Q17" s="58"/>
      <c r="R17" s="58"/>
      <c r="S17" s="58"/>
      <c r="T17" s="12" t="s">
        <v>885</v>
      </c>
      <c r="U17" s="12" t="s">
        <v>886</v>
      </c>
      <c r="V17" s="90" t="s">
        <v>777</v>
      </c>
      <c r="W17" s="28" t="s">
        <v>161</v>
      </c>
      <c r="X17" s="43" t="s">
        <v>155</v>
      </c>
      <c r="Y17" s="28" t="s">
        <v>857</v>
      </c>
      <c r="Z17" s="28">
        <v>2</v>
      </c>
      <c r="AA17" s="28">
        <v>2</v>
      </c>
      <c r="AB17" s="28">
        <v>2</v>
      </c>
      <c r="AC17" s="28">
        <v>2</v>
      </c>
      <c r="AD17" s="66">
        <v>2</v>
      </c>
      <c r="AE17" s="28"/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882</v>
      </c>
      <c r="C18" s="87"/>
      <c r="D18" s="20" t="s">
        <v>39</v>
      </c>
      <c r="E18" s="10" t="s">
        <v>312</v>
      </c>
      <c r="F18" s="22" t="s">
        <v>148</v>
      </c>
      <c r="G18" s="11" t="s">
        <v>9</v>
      </c>
      <c r="H18" s="98">
        <v>24422070060021</v>
      </c>
      <c r="I18" s="58"/>
      <c r="J18" s="70"/>
      <c r="K18" s="58"/>
      <c r="L18" s="58"/>
      <c r="M18" s="73" t="e">
        <f t="shared" si="0"/>
        <v>#NUM!</v>
      </c>
      <c r="N18" s="23" t="e">
        <f t="shared" si="1"/>
        <v>#NUM!</v>
      </c>
      <c r="O18" s="73" t="e">
        <f t="shared" si="2"/>
        <v>#NUM!</v>
      </c>
      <c r="P18" s="58"/>
      <c r="Q18" s="58"/>
      <c r="R18" s="58"/>
      <c r="S18" s="58"/>
      <c r="T18" s="12" t="s">
        <v>885</v>
      </c>
      <c r="U18" s="12" t="s">
        <v>886</v>
      </c>
      <c r="V18" s="90" t="s">
        <v>777</v>
      </c>
      <c r="W18" s="28" t="s">
        <v>168</v>
      </c>
      <c r="X18" s="43" t="s">
        <v>771</v>
      </c>
      <c r="Y18" s="28"/>
      <c r="Z18" s="28">
        <v>1</v>
      </c>
      <c r="AA18" s="28">
        <v>1</v>
      </c>
      <c r="AB18" s="28">
        <v>2</v>
      </c>
      <c r="AC18" s="28"/>
      <c r="AD18" s="66">
        <v>1</v>
      </c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3" t="s">
        <v>882</v>
      </c>
      <c r="C19" s="87"/>
      <c r="D19" s="20" t="s">
        <v>40</v>
      </c>
      <c r="E19" s="10" t="s">
        <v>313</v>
      </c>
      <c r="F19" s="22" t="s">
        <v>148</v>
      </c>
      <c r="G19" s="11" t="s">
        <v>9</v>
      </c>
      <c r="H19" s="98">
        <v>24422070060389</v>
      </c>
      <c r="I19" s="58"/>
      <c r="J19" s="70"/>
      <c r="K19" s="58"/>
      <c r="L19" s="58"/>
      <c r="M19" s="73" t="e">
        <f t="shared" si="0"/>
        <v>#NUM!</v>
      </c>
      <c r="N19" s="23" t="e">
        <f t="shared" si="1"/>
        <v>#NUM!</v>
      </c>
      <c r="O19" s="73" t="e">
        <f t="shared" si="2"/>
        <v>#NUM!</v>
      </c>
      <c r="P19" s="58"/>
      <c r="Q19" s="58"/>
      <c r="R19" s="58"/>
      <c r="S19" s="58"/>
      <c r="T19" s="12" t="s">
        <v>885</v>
      </c>
      <c r="U19" s="12" t="s">
        <v>886</v>
      </c>
      <c r="V19" s="90"/>
      <c r="W19" s="28"/>
      <c r="X19" s="43"/>
      <c r="Y19" s="28"/>
      <c r="Z19" s="28"/>
      <c r="AA19" s="28"/>
      <c r="AB19" s="28"/>
      <c r="AC19" s="28"/>
      <c r="AD19" s="66"/>
      <c r="AE19" s="28"/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3" t="s">
        <v>882</v>
      </c>
      <c r="C20" s="118">
        <v>1</v>
      </c>
      <c r="D20" s="20" t="s">
        <v>41</v>
      </c>
      <c r="E20" s="10" t="s">
        <v>314</v>
      </c>
      <c r="F20" s="22" t="s">
        <v>148</v>
      </c>
      <c r="G20" s="11" t="s">
        <v>9</v>
      </c>
      <c r="H20" s="98">
        <v>24422070060022</v>
      </c>
      <c r="I20" s="58"/>
      <c r="J20" s="58"/>
      <c r="K20" s="58"/>
      <c r="L20" s="58"/>
      <c r="M20" s="73" t="e">
        <f t="shared" si="0"/>
        <v>#NUM!</v>
      </c>
      <c r="N20" s="23" t="e">
        <f t="shared" si="1"/>
        <v>#NUM!</v>
      </c>
      <c r="O20" s="73" t="e">
        <f t="shared" si="2"/>
        <v>#NUM!</v>
      </c>
      <c r="P20" s="58"/>
      <c r="Q20" s="58"/>
      <c r="R20" s="58"/>
      <c r="S20" s="58"/>
      <c r="T20" s="12" t="s">
        <v>885</v>
      </c>
      <c r="U20" s="12" t="s">
        <v>886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3" t="s">
        <v>882</v>
      </c>
      <c r="C21" s="87"/>
      <c r="D21" s="20" t="s">
        <v>42</v>
      </c>
      <c r="E21" s="10" t="s">
        <v>315</v>
      </c>
      <c r="F21" s="22" t="s">
        <v>148</v>
      </c>
      <c r="G21" s="11" t="s">
        <v>9</v>
      </c>
      <c r="H21" s="98">
        <v>24422070060024</v>
      </c>
      <c r="I21" s="58" t="s">
        <v>769</v>
      </c>
      <c r="J21" s="70">
        <v>12</v>
      </c>
      <c r="K21" s="58" t="s">
        <v>768</v>
      </c>
      <c r="L21" s="58" t="s">
        <v>153</v>
      </c>
      <c r="M21" s="73">
        <f t="shared" si="0"/>
        <v>46007</v>
      </c>
      <c r="N21" s="23" t="e">
        <f t="shared" si="1"/>
        <v>#NUM!</v>
      </c>
      <c r="O21" s="73" t="e">
        <f t="shared" si="2"/>
        <v>#NUM!</v>
      </c>
      <c r="P21" s="58"/>
      <c r="Q21" s="58"/>
      <c r="R21" s="58"/>
      <c r="S21" s="58"/>
      <c r="T21" s="12" t="s">
        <v>885</v>
      </c>
      <c r="U21" s="12" t="s">
        <v>886</v>
      </c>
      <c r="V21" s="90" t="s">
        <v>165</v>
      </c>
      <c r="W21" s="28" t="s">
        <v>891</v>
      </c>
      <c r="X21" s="43" t="s">
        <v>155</v>
      </c>
      <c r="Y21" s="28"/>
      <c r="Z21" s="28">
        <v>1</v>
      </c>
      <c r="AA21" s="28">
        <v>1</v>
      </c>
      <c r="AB21" s="28">
        <v>1</v>
      </c>
      <c r="AC21" s="28">
        <v>1</v>
      </c>
      <c r="AD21" s="66">
        <v>1</v>
      </c>
      <c r="AE21" s="28">
        <v>2</v>
      </c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882</v>
      </c>
      <c r="C22" s="87"/>
      <c r="D22" s="20" t="s">
        <v>43</v>
      </c>
      <c r="E22" s="10" t="s">
        <v>316</v>
      </c>
      <c r="F22" s="22" t="s">
        <v>148</v>
      </c>
      <c r="G22" s="11" t="s">
        <v>9</v>
      </c>
      <c r="H22" s="98">
        <v>24422070060026</v>
      </c>
      <c r="I22" s="58" t="s">
        <v>792</v>
      </c>
      <c r="J22" s="70">
        <v>2</v>
      </c>
      <c r="K22" s="58" t="s">
        <v>798</v>
      </c>
      <c r="L22" s="58" t="s">
        <v>770</v>
      </c>
      <c r="M22" s="73">
        <f t="shared" si="0"/>
        <v>46079</v>
      </c>
      <c r="N22" s="23" t="e">
        <f t="shared" si="1"/>
        <v>#NUM!</v>
      </c>
      <c r="O22" s="73" t="e">
        <f t="shared" si="2"/>
        <v>#NUM!</v>
      </c>
      <c r="P22" s="58"/>
      <c r="Q22" s="58"/>
      <c r="R22" s="58"/>
      <c r="S22" s="58"/>
      <c r="T22" s="12" t="s">
        <v>885</v>
      </c>
      <c r="U22" s="12" t="s">
        <v>886</v>
      </c>
      <c r="V22" s="90" t="s">
        <v>777</v>
      </c>
      <c r="W22" s="28" t="s">
        <v>168</v>
      </c>
      <c r="X22" s="43" t="s">
        <v>155</v>
      </c>
      <c r="Y22" s="28"/>
      <c r="Z22" s="28">
        <v>1</v>
      </c>
      <c r="AA22" s="28">
        <v>1</v>
      </c>
      <c r="AB22" s="28">
        <v>2</v>
      </c>
      <c r="AC22" s="28">
        <v>2</v>
      </c>
      <c r="AD22" s="66">
        <v>1</v>
      </c>
      <c r="AE22" s="28"/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883</v>
      </c>
      <c r="C23" s="118">
        <v>3</v>
      </c>
      <c r="D23" s="20" t="s">
        <v>44</v>
      </c>
      <c r="E23" s="10" t="s">
        <v>317</v>
      </c>
      <c r="F23" s="22" t="s">
        <v>148</v>
      </c>
      <c r="G23" s="11" t="s">
        <v>9</v>
      </c>
      <c r="H23" s="98">
        <v>24422070060556</v>
      </c>
      <c r="I23" s="58"/>
      <c r="J23" s="70"/>
      <c r="K23" s="58"/>
      <c r="L23" s="58"/>
      <c r="M23" s="73" t="e">
        <f t="shared" si="0"/>
        <v>#NUM!</v>
      </c>
      <c r="N23" s="23" t="e">
        <f t="shared" si="1"/>
        <v>#NUM!</v>
      </c>
      <c r="O23" s="73" t="e">
        <f t="shared" si="2"/>
        <v>#NUM!</v>
      </c>
      <c r="P23" s="58"/>
      <c r="Q23" s="58"/>
      <c r="R23" s="58"/>
      <c r="S23" s="58"/>
      <c r="T23" s="12" t="s">
        <v>885</v>
      </c>
      <c r="U23" s="12" t="s">
        <v>886</v>
      </c>
      <c r="V23" s="90"/>
      <c r="W23" s="28"/>
      <c r="X23" s="43"/>
      <c r="Y23" s="28"/>
      <c r="Z23" s="28"/>
      <c r="AA23" s="28"/>
      <c r="AB23" s="28"/>
      <c r="AC23" s="28"/>
      <c r="AD23" s="66"/>
      <c r="AE23" s="28"/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883</v>
      </c>
      <c r="C24" s="118">
        <v>1</v>
      </c>
      <c r="D24" s="20" t="s">
        <v>45</v>
      </c>
      <c r="E24" s="10" t="s">
        <v>318</v>
      </c>
      <c r="F24" s="22" t="s">
        <v>148</v>
      </c>
      <c r="G24" s="11" t="s">
        <v>9</v>
      </c>
      <c r="H24" s="98">
        <v>24422070060027</v>
      </c>
      <c r="I24" s="58"/>
      <c r="J24" s="58"/>
      <c r="K24" s="58"/>
      <c r="L24" s="58"/>
      <c r="M24" s="73" t="e">
        <f t="shared" si="0"/>
        <v>#NUM!</v>
      </c>
      <c r="N24" s="23" t="e">
        <f t="shared" si="1"/>
        <v>#NUM!</v>
      </c>
      <c r="O24" s="73" t="e">
        <f t="shared" si="2"/>
        <v>#NUM!</v>
      </c>
      <c r="P24" s="58"/>
      <c r="Q24" s="58"/>
      <c r="R24" s="58"/>
      <c r="S24" s="58"/>
      <c r="T24" s="12" t="s">
        <v>885</v>
      </c>
      <c r="U24" s="12" t="s">
        <v>886</v>
      </c>
      <c r="V24" s="90"/>
      <c r="W24" s="28"/>
      <c r="X24" s="43"/>
      <c r="Y24" s="28"/>
      <c r="Z24" s="28"/>
      <c r="AA24" s="28"/>
      <c r="AB24" s="28"/>
      <c r="AC24" s="28"/>
      <c r="AD24" s="66"/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882</v>
      </c>
      <c r="C25" s="87"/>
      <c r="D25" s="20" t="s">
        <v>46</v>
      </c>
      <c r="E25" s="10" t="s">
        <v>319</v>
      </c>
      <c r="F25" s="22" t="s">
        <v>148</v>
      </c>
      <c r="G25" s="11" t="s">
        <v>9</v>
      </c>
      <c r="H25" s="98">
        <v>24422070060028</v>
      </c>
      <c r="I25" s="58"/>
      <c r="J25" s="58"/>
      <c r="K25" s="58"/>
      <c r="L25" s="58"/>
      <c r="M25" s="73" t="e">
        <f t="shared" si="0"/>
        <v>#NUM!</v>
      </c>
      <c r="N25" s="23" t="e">
        <f t="shared" si="1"/>
        <v>#NUM!</v>
      </c>
      <c r="O25" s="73" t="e">
        <f t="shared" si="2"/>
        <v>#NUM!</v>
      </c>
      <c r="P25" s="58"/>
      <c r="Q25" s="58"/>
      <c r="R25" s="58"/>
      <c r="S25" s="58"/>
      <c r="T25" s="12" t="s">
        <v>885</v>
      </c>
      <c r="U25" s="12" t="s">
        <v>886</v>
      </c>
      <c r="V25" s="90"/>
      <c r="W25" s="28"/>
      <c r="X25" s="43"/>
      <c r="Y25" s="28"/>
      <c r="Z25" s="28"/>
      <c r="AA25" s="28"/>
      <c r="AB25" s="28"/>
      <c r="AC25" s="28"/>
      <c r="AD25" s="66"/>
      <c r="AE25" s="28"/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883</v>
      </c>
      <c r="C26" s="87"/>
      <c r="D26" s="20" t="s">
        <v>47</v>
      </c>
      <c r="E26" s="10" t="s">
        <v>320</v>
      </c>
      <c r="F26" s="22" t="s">
        <v>148</v>
      </c>
      <c r="G26" s="11" t="s">
        <v>9</v>
      </c>
      <c r="H26" s="98">
        <v>24422070060029</v>
      </c>
      <c r="I26" s="58" t="s">
        <v>862</v>
      </c>
      <c r="J26" s="70">
        <v>12</v>
      </c>
      <c r="K26" s="58" t="s">
        <v>768</v>
      </c>
      <c r="L26" s="58" t="s">
        <v>153</v>
      </c>
      <c r="M26" s="73">
        <f t="shared" si="0"/>
        <v>46013</v>
      </c>
      <c r="N26" s="23" t="e">
        <f t="shared" si="1"/>
        <v>#NUM!</v>
      </c>
      <c r="O26" s="73" t="e">
        <f t="shared" si="2"/>
        <v>#NUM!</v>
      </c>
      <c r="P26" s="58"/>
      <c r="Q26" s="58"/>
      <c r="R26" s="58"/>
      <c r="S26" s="58"/>
      <c r="T26" s="12" t="s">
        <v>885</v>
      </c>
      <c r="U26" s="12" t="s">
        <v>886</v>
      </c>
      <c r="V26" s="90" t="s">
        <v>777</v>
      </c>
      <c r="W26" s="28" t="s">
        <v>764</v>
      </c>
      <c r="X26" s="43" t="s">
        <v>771</v>
      </c>
      <c r="Y26" s="28"/>
      <c r="Z26" s="28">
        <v>1</v>
      </c>
      <c r="AA26" s="28">
        <v>1</v>
      </c>
      <c r="AB26" s="28">
        <v>2</v>
      </c>
      <c r="AC26" s="28">
        <v>2</v>
      </c>
      <c r="AD26" s="66">
        <v>1</v>
      </c>
      <c r="AE26" s="28"/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883</v>
      </c>
      <c r="C27" s="87"/>
      <c r="D27" s="20" t="s">
        <v>48</v>
      </c>
      <c r="E27" s="10" t="s">
        <v>321</v>
      </c>
      <c r="F27" s="22" t="s">
        <v>148</v>
      </c>
      <c r="G27" s="11" t="s">
        <v>9</v>
      </c>
      <c r="H27" s="98">
        <v>24422070060031</v>
      </c>
      <c r="I27" s="58"/>
      <c r="J27" s="58"/>
      <c r="K27" s="58"/>
      <c r="L27" s="58"/>
      <c r="M27" s="73" t="e">
        <f t="shared" si="0"/>
        <v>#NUM!</v>
      </c>
      <c r="N27" s="23" t="e">
        <f t="shared" si="1"/>
        <v>#NUM!</v>
      </c>
      <c r="O27" s="73" t="e">
        <f t="shared" si="2"/>
        <v>#NUM!</v>
      </c>
      <c r="P27" s="58"/>
      <c r="Q27" s="58"/>
      <c r="R27" s="58"/>
      <c r="S27" s="58"/>
      <c r="T27" s="12" t="s">
        <v>885</v>
      </c>
      <c r="U27" s="12" t="s">
        <v>886</v>
      </c>
      <c r="V27" s="90" t="s">
        <v>777</v>
      </c>
      <c r="W27" s="28" t="s">
        <v>161</v>
      </c>
      <c r="X27" s="43" t="s">
        <v>155</v>
      </c>
      <c r="Y27" s="28"/>
      <c r="Z27" s="28">
        <v>2</v>
      </c>
      <c r="AA27" s="28">
        <v>2</v>
      </c>
      <c r="AB27" s="28"/>
      <c r="AC27" s="28"/>
      <c r="AD27" s="66">
        <v>1</v>
      </c>
      <c r="AE27" s="28"/>
      <c r="AF27" s="28"/>
      <c r="AG27" s="28"/>
      <c r="AH27" s="20"/>
      <c r="AI27" s="28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882</v>
      </c>
      <c r="C28" s="87"/>
      <c r="D28" s="20" t="s">
        <v>49</v>
      </c>
      <c r="E28" s="10" t="s">
        <v>322</v>
      </c>
      <c r="F28" s="22" t="s">
        <v>148</v>
      </c>
      <c r="G28" s="11" t="s">
        <v>9</v>
      </c>
      <c r="H28" s="98">
        <v>24422070060032</v>
      </c>
      <c r="I28" s="58" t="s">
        <v>157</v>
      </c>
      <c r="J28" s="70">
        <v>2</v>
      </c>
      <c r="K28" s="58" t="s">
        <v>798</v>
      </c>
      <c r="L28" s="58" t="s">
        <v>770</v>
      </c>
      <c r="M28" s="73">
        <f t="shared" si="0"/>
        <v>46054</v>
      </c>
      <c r="N28" s="23" t="e">
        <f t="shared" si="1"/>
        <v>#NUM!</v>
      </c>
      <c r="O28" s="73" t="e">
        <f t="shared" si="2"/>
        <v>#NUM!</v>
      </c>
      <c r="P28" s="58"/>
      <c r="Q28" s="58"/>
      <c r="R28" s="58"/>
      <c r="S28" s="58"/>
      <c r="T28" s="12" t="s">
        <v>885</v>
      </c>
      <c r="U28" s="12" t="s">
        <v>886</v>
      </c>
      <c r="V28" s="90" t="s">
        <v>777</v>
      </c>
      <c r="W28" s="28" t="s">
        <v>19</v>
      </c>
      <c r="X28" s="43" t="s">
        <v>771</v>
      </c>
      <c r="Y28" s="28"/>
      <c r="Z28" s="28">
        <v>1</v>
      </c>
      <c r="AA28" s="28">
        <v>1</v>
      </c>
      <c r="AB28" s="28">
        <v>2</v>
      </c>
      <c r="AC28" s="28">
        <v>2</v>
      </c>
      <c r="AD28" s="66">
        <v>1</v>
      </c>
      <c r="AE28" s="28"/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882</v>
      </c>
      <c r="C29" s="87"/>
      <c r="D29" s="20" t="s">
        <v>50</v>
      </c>
      <c r="E29" s="10" t="s">
        <v>323</v>
      </c>
      <c r="F29" s="22" t="s">
        <v>148</v>
      </c>
      <c r="G29" s="11" t="s">
        <v>9</v>
      </c>
      <c r="H29" s="98">
        <v>24422070060033</v>
      </c>
      <c r="I29" s="59" t="s">
        <v>784</v>
      </c>
      <c r="J29" s="71">
        <v>12</v>
      </c>
      <c r="K29" s="59" t="s">
        <v>768</v>
      </c>
      <c r="L29" s="59" t="s">
        <v>153</v>
      </c>
      <c r="M29" s="73">
        <f t="shared" si="0"/>
        <v>46002</v>
      </c>
      <c r="N29" s="23" t="e">
        <f t="shared" si="1"/>
        <v>#NUM!</v>
      </c>
      <c r="O29" s="73" t="e">
        <f t="shared" si="2"/>
        <v>#NUM!</v>
      </c>
      <c r="P29" s="59"/>
      <c r="Q29" s="59"/>
      <c r="R29" s="59"/>
      <c r="S29" s="59"/>
      <c r="T29" s="12" t="s">
        <v>885</v>
      </c>
      <c r="U29" s="12" t="s">
        <v>886</v>
      </c>
      <c r="V29" s="90" t="s">
        <v>777</v>
      </c>
      <c r="W29" s="107" t="s">
        <v>764</v>
      </c>
      <c r="X29" s="43" t="s">
        <v>771</v>
      </c>
      <c r="Y29" s="28"/>
      <c r="Z29" s="28">
        <v>1</v>
      </c>
      <c r="AA29" s="28">
        <v>1</v>
      </c>
      <c r="AB29" s="28">
        <v>2</v>
      </c>
      <c r="AC29" s="28">
        <v>2</v>
      </c>
      <c r="AD29" s="66">
        <v>1</v>
      </c>
      <c r="AE29" s="28">
        <v>2</v>
      </c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882</v>
      </c>
      <c r="C30" s="87"/>
      <c r="D30" s="20" t="s">
        <v>51</v>
      </c>
      <c r="E30" s="10" t="s">
        <v>324</v>
      </c>
      <c r="F30" s="22" t="s">
        <v>148</v>
      </c>
      <c r="G30" s="11" t="s">
        <v>9</v>
      </c>
      <c r="H30" s="98">
        <v>24422070060034</v>
      </c>
      <c r="I30" s="59" t="s">
        <v>869</v>
      </c>
      <c r="J30" s="71">
        <v>2</v>
      </c>
      <c r="K30" s="59" t="s">
        <v>798</v>
      </c>
      <c r="L30" s="59" t="s">
        <v>770</v>
      </c>
      <c r="M30" s="73">
        <f t="shared" si="0"/>
        <v>46077</v>
      </c>
      <c r="N30" s="23" t="e">
        <f t="shared" si="1"/>
        <v>#NUM!</v>
      </c>
      <c r="O30" s="73" t="e">
        <f t="shared" si="2"/>
        <v>#NUM!</v>
      </c>
      <c r="P30" s="59"/>
      <c r="Q30" s="59"/>
      <c r="R30" s="59"/>
      <c r="S30" s="59"/>
      <c r="T30" s="12" t="s">
        <v>885</v>
      </c>
      <c r="U30" s="12" t="s">
        <v>886</v>
      </c>
      <c r="V30" s="90" t="s">
        <v>777</v>
      </c>
      <c r="W30" s="28" t="s">
        <v>834</v>
      </c>
      <c r="X30" s="43" t="s">
        <v>155</v>
      </c>
      <c r="Y30" s="38"/>
      <c r="Z30" s="38">
        <v>1</v>
      </c>
      <c r="AA30" s="28">
        <v>1</v>
      </c>
      <c r="AB30" s="28">
        <v>2</v>
      </c>
      <c r="AC30" s="28">
        <v>2</v>
      </c>
      <c r="AD30" s="66">
        <v>1</v>
      </c>
      <c r="AE30" s="28"/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882</v>
      </c>
      <c r="C31" s="87"/>
      <c r="D31" s="20" t="s">
        <v>52</v>
      </c>
      <c r="E31" s="10" t="s">
        <v>325</v>
      </c>
      <c r="F31" s="22" t="s">
        <v>148</v>
      </c>
      <c r="G31" s="11" t="s">
        <v>9</v>
      </c>
      <c r="H31" s="98">
        <v>24422070060035</v>
      </c>
      <c r="I31" s="59" t="s">
        <v>790</v>
      </c>
      <c r="J31" s="71">
        <v>1</v>
      </c>
      <c r="K31" s="59" t="s">
        <v>187</v>
      </c>
      <c r="L31" s="59" t="s">
        <v>770</v>
      </c>
      <c r="M31" s="73">
        <f t="shared" si="0"/>
        <v>46042</v>
      </c>
      <c r="N31" s="23" t="e">
        <f t="shared" si="1"/>
        <v>#NUM!</v>
      </c>
      <c r="O31" s="73" t="e">
        <f t="shared" si="2"/>
        <v>#NUM!</v>
      </c>
      <c r="P31" s="59"/>
      <c r="Q31" s="59"/>
      <c r="R31" s="59"/>
      <c r="S31" s="59"/>
      <c r="T31" s="12" t="s">
        <v>885</v>
      </c>
      <c r="U31" s="12" t="s">
        <v>886</v>
      </c>
      <c r="V31" s="90" t="s">
        <v>777</v>
      </c>
      <c r="W31" s="28" t="s">
        <v>746</v>
      </c>
      <c r="X31" s="43" t="s">
        <v>155</v>
      </c>
      <c r="Y31" s="28"/>
      <c r="Z31" s="28">
        <v>1</v>
      </c>
      <c r="AA31" s="28">
        <v>1</v>
      </c>
      <c r="AB31" s="28"/>
      <c r="AC31" s="28">
        <v>2</v>
      </c>
      <c r="AD31" s="66">
        <v>1</v>
      </c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882</v>
      </c>
      <c r="C32" s="87"/>
      <c r="D32" s="20" t="s">
        <v>53</v>
      </c>
      <c r="E32" s="10" t="s">
        <v>326</v>
      </c>
      <c r="F32" s="22" t="s">
        <v>148</v>
      </c>
      <c r="G32" s="11" t="s">
        <v>9</v>
      </c>
      <c r="H32" s="98">
        <v>24422070060036</v>
      </c>
      <c r="I32" s="59" t="s">
        <v>780</v>
      </c>
      <c r="J32" s="71">
        <v>2</v>
      </c>
      <c r="K32" s="59" t="s">
        <v>798</v>
      </c>
      <c r="L32" s="59" t="s">
        <v>770</v>
      </c>
      <c r="M32" s="73">
        <f t="shared" si="0"/>
        <v>46056</v>
      </c>
      <c r="N32" s="23" t="e">
        <f t="shared" si="1"/>
        <v>#NUM!</v>
      </c>
      <c r="O32" s="73" t="e">
        <f t="shared" si="2"/>
        <v>#NUM!</v>
      </c>
      <c r="P32" s="59"/>
      <c r="Q32" s="59"/>
      <c r="R32" s="59"/>
      <c r="S32" s="59"/>
      <c r="T32" s="12" t="s">
        <v>885</v>
      </c>
      <c r="U32" s="12" t="s">
        <v>886</v>
      </c>
      <c r="V32" s="90" t="s">
        <v>777</v>
      </c>
      <c r="W32" s="28" t="s">
        <v>738</v>
      </c>
      <c r="X32" s="43" t="s">
        <v>771</v>
      </c>
      <c r="Y32" s="28"/>
      <c r="Z32" s="28">
        <v>1</v>
      </c>
      <c r="AA32" s="28">
        <v>1</v>
      </c>
      <c r="AB32" s="28">
        <v>2</v>
      </c>
      <c r="AC32" s="28">
        <v>2</v>
      </c>
      <c r="AD32" s="66">
        <v>1</v>
      </c>
      <c r="AE32" s="28"/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882</v>
      </c>
      <c r="C33" s="87"/>
      <c r="D33" s="20" t="s">
        <v>54</v>
      </c>
      <c r="E33" s="10" t="s">
        <v>366</v>
      </c>
      <c r="F33" s="22" t="s">
        <v>148</v>
      </c>
      <c r="G33" s="11" t="s">
        <v>9</v>
      </c>
      <c r="H33" s="98">
        <v>24422070060086</v>
      </c>
      <c r="I33" s="59"/>
      <c r="J33" s="71"/>
      <c r="K33" s="59"/>
      <c r="L33" s="59"/>
      <c r="M33" s="73" t="e">
        <f>DATE(L33,J33,I33)</f>
        <v>#NUM!</v>
      </c>
      <c r="N33" s="23" t="e">
        <f>DATEDIF(M33,O33,"m")</f>
        <v>#NUM!</v>
      </c>
      <c r="O33" s="73" t="e">
        <f>DATE(S33,Q33,P33)</f>
        <v>#NUM!</v>
      </c>
      <c r="P33" s="59"/>
      <c r="Q33" s="59"/>
      <c r="R33" s="59"/>
      <c r="S33" s="59"/>
      <c r="T33" s="12" t="s">
        <v>885</v>
      </c>
      <c r="U33" s="12" t="s">
        <v>886</v>
      </c>
      <c r="V33" s="90" t="s">
        <v>777</v>
      </c>
      <c r="W33" s="28" t="s">
        <v>828</v>
      </c>
      <c r="X33" s="43" t="s">
        <v>771</v>
      </c>
      <c r="Y33" s="28"/>
      <c r="Z33" s="28">
        <v>1</v>
      </c>
      <c r="AA33" s="15">
        <v>1</v>
      </c>
      <c r="AB33" s="15"/>
      <c r="AC33" s="15"/>
      <c r="AD33" s="68">
        <v>1</v>
      </c>
      <c r="AE33" s="15"/>
      <c r="AF33" s="15"/>
      <c r="AG33" s="15"/>
      <c r="AH33" s="81"/>
      <c r="AI33" s="15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883</v>
      </c>
      <c r="C34" s="118">
        <v>1</v>
      </c>
      <c r="D34" s="20" t="s">
        <v>55</v>
      </c>
      <c r="E34" s="10" t="s">
        <v>327</v>
      </c>
      <c r="F34" s="22" t="s">
        <v>148</v>
      </c>
      <c r="G34" s="11" t="s">
        <v>9</v>
      </c>
      <c r="H34" s="98">
        <v>24422070060039</v>
      </c>
      <c r="I34" s="58"/>
      <c r="J34" s="70"/>
      <c r="K34" s="58"/>
      <c r="L34" s="58"/>
      <c r="M34" s="73" t="e">
        <f t="shared" si="0"/>
        <v>#NUM!</v>
      </c>
      <c r="N34" s="23" t="e">
        <f t="shared" si="1"/>
        <v>#NUM!</v>
      </c>
      <c r="O34" s="73" t="e">
        <f t="shared" si="2"/>
        <v>#NUM!</v>
      </c>
      <c r="P34" s="58"/>
      <c r="Q34" s="58"/>
      <c r="R34" s="58"/>
      <c r="S34" s="58"/>
      <c r="T34" s="12" t="s">
        <v>885</v>
      </c>
      <c r="U34" s="12" t="s">
        <v>886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126</v>
      </c>
      <c r="B35" s="2" t="s">
        <v>882</v>
      </c>
      <c r="C35" s="87"/>
      <c r="D35" s="20" t="s">
        <v>56</v>
      </c>
      <c r="E35" s="10" t="s">
        <v>328</v>
      </c>
      <c r="F35" s="22" t="s">
        <v>148</v>
      </c>
      <c r="G35" s="11" t="s">
        <v>9</v>
      </c>
      <c r="H35" s="98">
        <v>24422070060089</v>
      </c>
      <c r="I35" s="58"/>
      <c r="J35" s="58"/>
      <c r="K35" s="58"/>
      <c r="L35" s="58"/>
      <c r="M35" s="73" t="e">
        <f t="shared" si="0"/>
        <v>#NUM!</v>
      </c>
      <c r="N35" s="23" t="e">
        <f t="shared" si="1"/>
        <v>#NUM!</v>
      </c>
      <c r="O35" s="73" t="e">
        <f t="shared" si="2"/>
        <v>#NUM!</v>
      </c>
      <c r="P35" s="58"/>
      <c r="Q35" s="58"/>
      <c r="R35" s="58"/>
      <c r="S35" s="58"/>
      <c r="T35" s="12" t="s">
        <v>885</v>
      </c>
      <c r="U35" s="12" t="s">
        <v>886</v>
      </c>
      <c r="V35" s="90"/>
      <c r="W35" s="28"/>
      <c r="X35" s="43"/>
      <c r="Y35" s="28"/>
      <c r="Z35" s="28"/>
      <c r="AA35" s="28"/>
      <c r="AB35" s="28"/>
      <c r="AC35" s="28"/>
      <c r="AD35" s="66"/>
      <c r="AE35" s="28"/>
      <c r="AF35" s="28"/>
      <c r="AG35" s="28"/>
      <c r="AH35" s="20"/>
      <c r="AI35" s="28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882</v>
      </c>
      <c r="C36" s="87"/>
      <c r="D36" s="20" t="s">
        <v>57</v>
      </c>
      <c r="E36" s="10" t="s">
        <v>329</v>
      </c>
      <c r="F36" s="22" t="s">
        <v>148</v>
      </c>
      <c r="G36" s="11" t="s">
        <v>9</v>
      </c>
      <c r="H36" s="98">
        <v>24422070060555</v>
      </c>
      <c r="I36" s="58"/>
      <c r="J36" s="70"/>
      <c r="K36" s="58"/>
      <c r="L36" s="58"/>
      <c r="M36" s="73" t="e">
        <f t="shared" ref="M36:M67" si="3">DATE(L36,J36,I36)</f>
        <v>#NUM!</v>
      </c>
      <c r="N36" s="23" t="e">
        <f t="shared" ref="N36:N67" si="4">DATEDIF(M36,O36,"m")</f>
        <v>#NUM!</v>
      </c>
      <c r="O36" s="73" t="e">
        <f t="shared" ref="O36:O67" si="5">DATE(S36,Q36,P36)</f>
        <v>#NUM!</v>
      </c>
      <c r="P36" s="58"/>
      <c r="Q36" s="58"/>
      <c r="R36" s="58"/>
      <c r="S36" s="58"/>
      <c r="T36" s="12" t="s">
        <v>885</v>
      </c>
      <c r="U36" s="12" t="s">
        <v>886</v>
      </c>
      <c r="V36" s="90"/>
      <c r="W36" s="28"/>
      <c r="X36" s="43"/>
      <c r="Y36" s="28"/>
      <c r="Z36" s="28"/>
      <c r="AA36" s="28"/>
      <c r="AB36" s="28"/>
      <c r="AC36" s="28"/>
      <c r="AD36" s="66"/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882</v>
      </c>
      <c r="C37" s="87"/>
      <c r="D37" s="20" t="s">
        <v>58</v>
      </c>
      <c r="E37" s="10" t="s">
        <v>330</v>
      </c>
      <c r="F37" s="22" t="s">
        <v>148</v>
      </c>
      <c r="G37" s="11" t="s">
        <v>9</v>
      </c>
      <c r="H37" s="98">
        <v>24422070060043</v>
      </c>
      <c r="I37" s="58" t="s">
        <v>775</v>
      </c>
      <c r="J37" s="70">
        <v>1</v>
      </c>
      <c r="K37" s="58" t="s">
        <v>187</v>
      </c>
      <c r="L37" s="58" t="s">
        <v>770</v>
      </c>
      <c r="M37" s="73">
        <f t="shared" si="3"/>
        <v>46034</v>
      </c>
      <c r="N37" s="23" t="e">
        <f t="shared" si="4"/>
        <v>#NUM!</v>
      </c>
      <c r="O37" s="73" t="e">
        <f t="shared" si="5"/>
        <v>#NUM!</v>
      </c>
      <c r="P37" s="58"/>
      <c r="Q37" s="58"/>
      <c r="R37" s="58"/>
      <c r="S37" s="58"/>
      <c r="T37" s="12" t="s">
        <v>885</v>
      </c>
      <c r="U37" s="12" t="s">
        <v>886</v>
      </c>
      <c r="V37" s="90" t="s">
        <v>165</v>
      </c>
      <c r="W37" s="28" t="s">
        <v>833</v>
      </c>
      <c r="X37" s="43" t="s">
        <v>155</v>
      </c>
      <c r="Y37" s="28" t="s">
        <v>167</v>
      </c>
      <c r="Z37" s="28">
        <v>1</v>
      </c>
      <c r="AA37" s="28">
        <v>1</v>
      </c>
      <c r="AB37" s="28">
        <v>1</v>
      </c>
      <c r="AC37" s="28">
        <v>1</v>
      </c>
      <c r="AD37" s="66">
        <v>1</v>
      </c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882</v>
      </c>
      <c r="C38" s="87"/>
      <c r="D38" s="20" t="s">
        <v>59</v>
      </c>
      <c r="E38" s="10" t="s">
        <v>331</v>
      </c>
      <c r="F38" s="22" t="s">
        <v>148</v>
      </c>
      <c r="G38" s="11" t="s">
        <v>9</v>
      </c>
      <c r="H38" s="98">
        <v>24422070060044</v>
      </c>
      <c r="I38" s="58" t="s">
        <v>858</v>
      </c>
      <c r="J38" s="58" t="s">
        <v>780</v>
      </c>
      <c r="K38" s="58" t="s">
        <v>837</v>
      </c>
      <c r="L38" s="58" t="s">
        <v>770</v>
      </c>
      <c r="M38" s="73">
        <f t="shared" si="3"/>
        <v>46109</v>
      </c>
      <c r="N38" s="23" t="e">
        <f t="shared" si="4"/>
        <v>#NUM!</v>
      </c>
      <c r="O38" s="73" t="e">
        <f t="shared" si="5"/>
        <v>#NUM!</v>
      </c>
      <c r="P38" s="58"/>
      <c r="Q38" s="58"/>
      <c r="R38" s="58"/>
      <c r="S38" s="58"/>
      <c r="T38" s="12" t="s">
        <v>885</v>
      </c>
      <c r="U38" s="12" t="s">
        <v>886</v>
      </c>
      <c r="V38" s="90" t="s">
        <v>777</v>
      </c>
      <c r="W38" s="28" t="s">
        <v>821</v>
      </c>
      <c r="X38" s="43" t="s">
        <v>820</v>
      </c>
      <c r="Y38" s="28"/>
      <c r="Z38" s="28">
        <v>2</v>
      </c>
      <c r="AA38" s="28">
        <v>2</v>
      </c>
      <c r="AB38" s="28"/>
      <c r="AC38" s="28">
        <v>2</v>
      </c>
      <c r="AD38" s="66">
        <v>2</v>
      </c>
      <c r="AE38" s="28"/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882</v>
      </c>
      <c r="C39" s="87"/>
      <c r="D39" s="20" t="s">
        <v>60</v>
      </c>
      <c r="E39" s="10" t="s">
        <v>332</v>
      </c>
      <c r="F39" s="22" t="s">
        <v>148</v>
      </c>
      <c r="G39" s="11" t="s">
        <v>9</v>
      </c>
      <c r="H39" s="98">
        <v>24422070060045</v>
      </c>
      <c r="I39" s="58" t="s">
        <v>862</v>
      </c>
      <c r="J39" s="70">
        <v>12</v>
      </c>
      <c r="K39" s="58" t="s">
        <v>768</v>
      </c>
      <c r="L39" s="58" t="s">
        <v>153</v>
      </c>
      <c r="M39" s="73">
        <f t="shared" si="3"/>
        <v>46013</v>
      </c>
      <c r="N39" s="23" t="e">
        <f t="shared" si="4"/>
        <v>#NUM!</v>
      </c>
      <c r="O39" s="73" t="e">
        <f t="shared" si="5"/>
        <v>#NUM!</v>
      </c>
      <c r="P39" s="58"/>
      <c r="Q39" s="58"/>
      <c r="R39" s="58"/>
      <c r="S39" s="58"/>
      <c r="T39" s="12" t="s">
        <v>885</v>
      </c>
      <c r="U39" s="12" t="s">
        <v>886</v>
      </c>
      <c r="V39" s="90" t="s">
        <v>777</v>
      </c>
      <c r="W39" s="28" t="s">
        <v>829</v>
      </c>
      <c r="X39" s="43" t="s">
        <v>771</v>
      </c>
      <c r="Y39" s="28"/>
      <c r="Z39" s="28">
        <v>1</v>
      </c>
      <c r="AA39" s="28">
        <v>1</v>
      </c>
      <c r="AB39" s="28">
        <v>2</v>
      </c>
      <c r="AC39" s="28">
        <v>2</v>
      </c>
      <c r="AD39" s="66">
        <v>1</v>
      </c>
      <c r="AE39" s="28"/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882</v>
      </c>
      <c r="C40" s="87"/>
      <c r="D40" s="20" t="s">
        <v>61</v>
      </c>
      <c r="E40" s="10" t="s">
        <v>333</v>
      </c>
      <c r="F40" s="22" t="s">
        <v>148</v>
      </c>
      <c r="G40" s="11" t="s">
        <v>9</v>
      </c>
      <c r="H40" s="98">
        <v>24422070060046</v>
      </c>
      <c r="I40" s="59" t="s">
        <v>160</v>
      </c>
      <c r="J40" s="71">
        <v>12</v>
      </c>
      <c r="K40" s="59" t="s">
        <v>768</v>
      </c>
      <c r="L40" s="59" t="s">
        <v>153</v>
      </c>
      <c r="M40" s="73">
        <f t="shared" si="3"/>
        <v>46009</v>
      </c>
      <c r="N40" s="23" t="e">
        <f t="shared" si="4"/>
        <v>#NUM!</v>
      </c>
      <c r="O40" s="73" t="e">
        <f t="shared" si="5"/>
        <v>#NUM!</v>
      </c>
      <c r="P40" s="59"/>
      <c r="Q40" s="59"/>
      <c r="R40" s="59"/>
      <c r="S40" s="59"/>
      <c r="T40" s="12" t="s">
        <v>885</v>
      </c>
      <c r="U40" s="12" t="s">
        <v>886</v>
      </c>
      <c r="V40" s="90" t="s">
        <v>777</v>
      </c>
      <c r="W40" s="28" t="s">
        <v>828</v>
      </c>
      <c r="X40" s="43" t="s">
        <v>771</v>
      </c>
      <c r="Y40" s="28"/>
      <c r="Z40" s="28">
        <v>1</v>
      </c>
      <c r="AA40" s="28">
        <v>1</v>
      </c>
      <c r="AB40" s="28">
        <v>1</v>
      </c>
      <c r="AC40" s="28">
        <v>1</v>
      </c>
      <c r="AD40" s="66">
        <v>1</v>
      </c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2" t="s">
        <v>882</v>
      </c>
      <c r="C41" s="87"/>
      <c r="D41" s="20" t="s">
        <v>62</v>
      </c>
      <c r="E41" s="10" t="s">
        <v>334</v>
      </c>
      <c r="F41" s="22" t="s">
        <v>148</v>
      </c>
      <c r="G41" s="11" t="s">
        <v>9</v>
      </c>
      <c r="H41" s="98">
        <v>24422070060608</v>
      </c>
      <c r="I41" s="59" t="s">
        <v>862</v>
      </c>
      <c r="J41" s="71">
        <v>12</v>
      </c>
      <c r="K41" s="59" t="s">
        <v>768</v>
      </c>
      <c r="L41" s="59" t="s">
        <v>153</v>
      </c>
      <c r="M41" s="73">
        <f t="shared" si="3"/>
        <v>46013</v>
      </c>
      <c r="N41" s="23" t="e">
        <f t="shared" si="4"/>
        <v>#NUM!</v>
      </c>
      <c r="O41" s="73" t="e">
        <f t="shared" si="5"/>
        <v>#NUM!</v>
      </c>
      <c r="P41" s="59"/>
      <c r="Q41" s="59"/>
      <c r="R41" s="59"/>
      <c r="S41" s="59"/>
      <c r="T41" s="12" t="s">
        <v>885</v>
      </c>
      <c r="U41" s="12" t="s">
        <v>886</v>
      </c>
      <c r="V41" s="90" t="s">
        <v>777</v>
      </c>
      <c r="W41" s="28" t="s">
        <v>829</v>
      </c>
      <c r="X41" s="43" t="s">
        <v>771</v>
      </c>
      <c r="Y41" s="28"/>
      <c r="Z41" s="28">
        <v>1</v>
      </c>
      <c r="AA41" s="28">
        <v>1</v>
      </c>
      <c r="AB41" s="28">
        <v>2</v>
      </c>
      <c r="AC41" s="28">
        <v>2</v>
      </c>
      <c r="AD41" s="66">
        <v>1</v>
      </c>
      <c r="AE41" s="28"/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2" t="s">
        <v>882</v>
      </c>
      <c r="C42" s="87"/>
      <c r="D42" s="20" t="s">
        <v>63</v>
      </c>
      <c r="E42" s="10" t="s">
        <v>335</v>
      </c>
      <c r="F42" s="22" t="s">
        <v>148</v>
      </c>
      <c r="G42" s="11" t="s">
        <v>9</v>
      </c>
      <c r="H42" s="98">
        <v>24422070060619</v>
      </c>
      <c r="I42" s="59"/>
      <c r="J42" s="71"/>
      <c r="K42" s="59"/>
      <c r="L42" s="59"/>
      <c r="M42" s="73" t="e">
        <f t="shared" si="3"/>
        <v>#NUM!</v>
      </c>
      <c r="N42" s="23" t="e">
        <f t="shared" si="4"/>
        <v>#NUM!</v>
      </c>
      <c r="O42" s="73" t="e">
        <f t="shared" si="5"/>
        <v>#NUM!</v>
      </c>
      <c r="P42" s="59"/>
      <c r="Q42" s="59"/>
      <c r="R42" s="59"/>
      <c r="S42" s="59"/>
      <c r="T42" s="12" t="s">
        <v>885</v>
      </c>
      <c r="U42" s="12" t="s">
        <v>886</v>
      </c>
      <c r="V42" s="90"/>
      <c r="W42" s="28"/>
      <c r="X42" s="43"/>
      <c r="Y42" s="28"/>
      <c r="Z42" s="28"/>
      <c r="AA42" s="28"/>
      <c r="AB42" s="28"/>
      <c r="AC42" s="28"/>
      <c r="AD42" s="66"/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spans="1:48" ht="15.75" customHeight="1" thickBot="1" x14ac:dyDescent="0.3">
      <c r="A43" s="1" t="s">
        <v>17</v>
      </c>
      <c r="B43" s="2" t="s">
        <v>883</v>
      </c>
      <c r="C43" s="87"/>
      <c r="D43" s="20" t="s">
        <v>64</v>
      </c>
      <c r="E43" s="10" t="s">
        <v>336</v>
      </c>
      <c r="F43" s="22" t="s">
        <v>148</v>
      </c>
      <c r="G43" s="11" t="s">
        <v>7</v>
      </c>
      <c r="H43" s="98">
        <v>24422070060047</v>
      </c>
      <c r="I43" s="59"/>
      <c r="J43" s="71"/>
      <c r="K43" s="59"/>
      <c r="L43" s="59"/>
      <c r="M43" s="73" t="e">
        <f t="shared" si="3"/>
        <v>#NUM!</v>
      </c>
      <c r="N43" s="23" t="e">
        <f t="shared" si="4"/>
        <v>#NUM!</v>
      </c>
      <c r="O43" s="73" t="e">
        <f t="shared" si="5"/>
        <v>#NUM!</v>
      </c>
      <c r="P43" s="59"/>
      <c r="Q43" s="59"/>
      <c r="R43" s="59"/>
      <c r="S43" s="59"/>
      <c r="T43" s="12" t="s">
        <v>885</v>
      </c>
      <c r="U43" s="12" t="s">
        <v>886</v>
      </c>
      <c r="V43" s="90"/>
      <c r="W43" s="28"/>
      <c r="X43" s="43"/>
      <c r="Y43" s="28"/>
      <c r="Z43" s="28"/>
      <c r="AA43" s="28"/>
      <c r="AB43" s="28"/>
      <c r="AC43" s="28"/>
      <c r="AD43" s="66"/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spans="1:48" ht="15.75" customHeight="1" thickBot="1" x14ac:dyDescent="0.3">
      <c r="A44" s="1" t="s">
        <v>17</v>
      </c>
      <c r="B44" s="4" t="s">
        <v>882</v>
      </c>
      <c r="C44" s="87"/>
      <c r="D44" s="20" t="s">
        <v>65</v>
      </c>
      <c r="E44" s="10" t="s">
        <v>337</v>
      </c>
      <c r="F44" s="22" t="s">
        <v>148</v>
      </c>
      <c r="G44" s="11" t="s">
        <v>7</v>
      </c>
      <c r="H44" s="98">
        <v>24422070060049</v>
      </c>
      <c r="I44" s="59" t="s">
        <v>839</v>
      </c>
      <c r="J44" s="71">
        <v>2</v>
      </c>
      <c r="K44" s="59" t="s">
        <v>798</v>
      </c>
      <c r="L44" s="59" t="s">
        <v>770</v>
      </c>
      <c r="M44" s="73">
        <f t="shared" si="3"/>
        <v>46056</v>
      </c>
      <c r="N44" s="23" t="e">
        <f t="shared" si="4"/>
        <v>#NUM!</v>
      </c>
      <c r="O44" s="73" t="e">
        <f t="shared" si="5"/>
        <v>#NUM!</v>
      </c>
      <c r="P44" s="59"/>
      <c r="Q44" s="59"/>
      <c r="R44" s="59"/>
      <c r="S44" s="59"/>
      <c r="T44" s="12" t="s">
        <v>885</v>
      </c>
      <c r="U44" s="12" t="s">
        <v>886</v>
      </c>
      <c r="V44" s="90" t="s">
        <v>777</v>
      </c>
      <c r="W44" s="28" t="s">
        <v>816</v>
      </c>
      <c r="X44" s="43" t="s">
        <v>155</v>
      </c>
      <c r="Y44" s="28"/>
      <c r="Z44" s="28">
        <v>1</v>
      </c>
      <c r="AA44" s="28">
        <v>1</v>
      </c>
      <c r="AB44" s="28">
        <v>2</v>
      </c>
      <c r="AC44" s="28">
        <v>2</v>
      </c>
      <c r="AD44" s="66">
        <v>1</v>
      </c>
      <c r="AE44" s="28"/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17</v>
      </c>
      <c r="B45" s="5" t="s">
        <v>883</v>
      </c>
      <c r="C45" s="88"/>
      <c r="D45" s="20" t="s">
        <v>66</v>
      </c>
      <c r="E45" s="10" t="s">
        <v>338</v>
      </c>
      <c r="F45" s="22" t="s">
        <v>148</v>
      </c>
      <c r="G45" s="11" t="s">
        <v>7</v>
      </c>
      <c r="H45" s="98">
        <v>24422070060050</v>
      </c>
      <c r="I45" s="59" t="s">
        <v>789</v>
      </c>
      <c r="J45" s="71">
        <v>1</v>
      </c>
      <c r="K45" s="59" t="s">
        <v>187</v>
      </c>
      <c r="L45" s="59" t="s">
        <v>770</v>
      </c>
      <c r="M45" s="73">
        <f t="shared" si="3"/>
        <v>46041</v>
      </c>
      <c r="N45" s="23" t="e">
        <f t="shared" si="4"/>
        <v>#NUM!</v>
      </c>
      <c r="O45" s="73" t="e">
        <f t="shared" si="5"/>
        <v>#NUM!</v>
      </c>
      <c r="P45" s="59"/>
      <c r="Q45" s="59"/>
      <c r="R45" s="59"/>
      <c r="S45" s="59"/>
      <c r="T45" s="12" t="s">
        <v>885</v>
      </c>
      <c r="U45" s="12" t="s">
        <v>886</v>
      </c>
      <c r="V45" s="90" t="s">
        <v>777</v>
      </c>
      <c r="W45" s="28" t="s">
        <v>763</v>
      </c>
      <c r="X45" s="43" t="s">
        <v>155</v>
      </c>
      <c r="Y45" s="28"/>
      <c r="Z45" s="28">
        <v>1</v>
      </c>
      <c r="AA45" s="28">
        <v>1</v>
      </c>
      <c r="AB45" s="28">
        <v>1</v>
      </c>
      <c r="AC45" s="28">
        <v>1</v>
      </c>
      <c r="AD45" s="66">
        <v>1</v>
      </c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6"/>
      <c r="AV45" s="6"/>
    </row>
    <row r="46" spans="1:48" ht="15.75" customHeight="1" thickBot="1" x14ac:dyDescent="0.3">
      <c r="A46" s="1" t="s">
        <v>17</v>
      </c>
      <c r="B46" s="45" t="s">
        <v>883</v>
      </c>
      <c r="C46" s="89"/>
      <c r="D46" s="20" t="s">
        <v>67</v>
      </c>
      <c r="E46" s="10" t="s">
        <v>339</v>
      </c>
      <c r="F46" s="22" t="s">
        <v>148</v>
      </c>
      <c r="G46" s="11" t="s">
        <v>7</v>
      </c>
      <c r="H46" s="98">
        <v>24422070060052</v>
      </c>
      <c r="I46" s="59"/>
      <c r="J46" s="71"/>
      <c r="K46" s="59"/>
      <c r="L46" s="59"/>
      <c r="M46" s="73" t="e">
        <f t="shared" si="3"/>
        <v>#NUM!</v>
      </c>
      <c r="N46" s="23" t="e">
        <f t="shared" si="4"/>
        <v>#NUM!</v>
      </c>
      <c r="O46" s="73" t="e">
        <f t="shared" si="5"/>
        <v>#NUM!</v>
      </c>
      <c r="P46" s="59"/>
      <c r="Q46" s="59"/>
      <c r="R46" s="59"/>
      <c r="S46" s="59"/>
      <c r="T46" s="12" t="s">
        <v>885</v>
      </c>
      <c r="U46" s="12" t="s">
        <v>886</v>
      </c>
      <c r="V46" s="90"/>
      <c r="W46" s="28"/>
      <c r="X46" s="43"/>
      <c r="Y46" s="28"/>
      <c r="Z46" s="28"/>
      <c r="AA46" s="28"/>
      <c r="AB46" s="28"/>
      <c r="AC46" s="28"/>
      <c r="AD46" s="66"/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6"/>
      <c r="AV46" s="6"/>
    </row>
    <row r="47" spans="1:48" ht="15.75" customHeight="1" thickBot="1" x14ac:dyDescent="0.3">
      <c r="A47" s="1" t="s">
        <v>17</v>
      </c>
      <c r="B47" s="46" t="s">
        <v>883</v>
      </c>
      <c r="C47" s="114">
        <v>2</v>
      </c>
      <c r="D47" s="20" t="s">
        <v>68</v>
      </c>
      <c r="E47" s="10" t="s">
        <v>340</v>
      </c>
      <c r="F47" s="22" t="s">
        <v>148</v>
      </c>
      <c r="G47" s="11" t="s">
        <v>7</v>
      </c>
      <c r="H47" s="98">
        <v>24422070060562</v>
      </c>
      <c r="I47" s="59"/>
      <c r="J47" s="59"/>
      <c r="K47" s="59"/>
      <c r="L47" s="59"/>
      <c r="M47" s="73" t="e">
        <f t="shared" si="3"/>
        <v>#NUM!</v>
      </c>
      <c r="N47" s="23" t="e">
        <f t="shared" si="4"/>
        <v>#NUM!</v>
      </c>
      <c r="O47" s="73" t="e">
        <f t="shared" si="5"/>
        <v>#NUM!</v>
      </c>
      <c r="P47" s="59"/>
      <c r="Q47" s="59"/>
      <c r="R47" s="59"/>
      <c r="S47" s="59"/>
      <c r="T47" s="12" t="s">
        <v>885</v>
      </c>
      <c r="U47" s="12" t="s">
        <v>886</v>
      </c>
      <c r="V47" s="90"/>
      <c r="W47" s="28"/>
      <c r="X47" s="43"/>
      <c r="Y47" s="28"/>
      <c r="Z47" s="28"/>
      <c r="AA47" s="28"/>
      <c r="AB47" s="28"/>
      <c r="AC47" s="28"/>
      <c r="AD47" s="66"/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6"/>
      <c r="AV47" s="6"/>
    </row>
    <row r="48" spans="1:48" ht="15.75" customHeight="1" thickBot="1" x14ac:dyDescent="0.3">
      <c r="A48" s="1" t="s">
        <v>17</v>
      </c>
      <c r="B48" s="46" t="s">
        <v>882</v>
      </c>
      <c r="C48" s="50"/>
      <c r="D48" s="20" t="s">
        <v>69</v>
      </c>
      <c r="E48" s="10" t="s">
        <v>341</v>
      </c>
      <c r="F48" s="22" t="s">
        <v>148</v>
      </c>
      <c r="G48" s="11" t="s">
        <v>7</v>
      </c>
      <c r="H48" s="98">
        <v>24422070060053</v>
      </c>
      <c r="I48" s="59" t="s">
        <v>875</v>
      </c>
      <c r="J48" s="71">
        <v>2</v>
      </c>
      <c r="K48" s="59" t="s">
        <v>798</v>
      </c>
      <c r="L48" s="59" t="s">
        <v>770</v>
      </c>
      <c r="M48" s="73">
        <f t="shared" si="3"/>
        <v>46059</v>
      </c>
      <c r="N48" s="23" t="e">
        <f t="shared" si="4"/>
        <v>#NUM!</v>
      </c>
      <c r="O48" s="73" t="e">
        <f t="shared" si="5"/>
        <v>#NUM!</v>
      </c>
      <c r="P48" s="59"/>
      <c r="Q48" s="59"/>
      <c r="R48" s="59"/>
      <c r="S48" s="59"/>
      <c r="T48" s="12" t="s">
        <v>885</v>
      </c>
      <c r="U48" s="12" t="s">
        <v>886</v>
      </c>
      <c r="V48" s="90" t="s">
        <v>777</v>
      </c>
      <c r="W48" s="28" t="s">
        <v>893</v>
      </c>
      <c r="X48" s="43" t="s">
        <v>155</v>
      </c>
      <c r="Y48" s="28"/>
      <c r="Z48" s="28">
        <v>1</v>
      </c>
      <c r="AA48" s="28">
        <v>1</v>
      </c>
      <c r="AB48" s="28">
        <v>2</v>
      </c>
      <c r="AC48" s="28">
        <v>2</v>
      </c>
      <c r="AD48" s="66">
        <v>1</v>
      </c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spans="1:46" ht="15.75" customHeight="1" thickBot="1" x14ac:dyDescent="0.3">
      <c r="A49" s="1" t="s">
        <v>17</v>
      </c>
      <c r="B49" s="46" t="s">
        <v>883</v>
      </c>
      <c r="C49" s="50"/>
      <c r="D49" s="20" t="s">
        <v>70</v>
      </c>
      <c r="E49" s="10" t="s">
        <v>342</v>
      </c>
      <c r="F49" s="22" t="s">
        <v>148</v>
      </c>
      <c r="G49" s="11" t="s">
        <v>7</v>
      </c>
      <c r="H49" s="98">
        <v>24422070060056</v>
      </c>
      <c r="I49" s="59" t="s">
        <v>781</v>
      </c>
      <c r="J49" s="71">
        <v>12</v>
      </c>
      <c r="K49" s="59" t="s">
        <v>768</v>
      </c>
      <c r="L49" s="59" t="s">
        <v>770</v>
      </c>
      <c r="M49" s="73">
        <f t="shared" si="3"/>
        <v>46360</v>
      </c>
      <c r="N49" s="23" t="e">
        <f t="shared" si="4"/>
        <v>#NUM!</v>
      </c>
      <c r="O49" s="73" t="e">
        <f t="shared" si="5"/>
        <v>#NUM!</v>
      </c>
      <c r="P49" s="59"/>
      <c r="Q49" s="59"/>
      <c r="R49" s="59"/>
      <c r="S49" s="59"/>
      <c r="T49" s="12" t="s">
        <v>885</v>
      </c>
      <c r="U49" s="12" t="s">
        <v>886</v>
      </c>
      <c r="V49" s="90" t="s">
        <v>777</v>
      </c>
      <c r="W49" s="28" t="s">
        <v>161</v>
      </c>
      <c r="X49" s="43" t="s">
        <v>155</v>
      </c>
      <c r="Y49" s="28"/>
      <c r="Z49" s="28">
        <v>1</v>
      </c>
      <c r="AA49" s="28">
        <v>1</v>
      </c>
      <c r="AB49" s="28">
        <v>1</v>
      </c>
      <c r="AC49" s="28">
        <v>1</v>
      </c>
      <c r="AD49" s="66">
        <v>1</v>
      </c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1:46" ht="15.75" customHeight="1" thickBot="1" x14ac:dyDescent="0.3">
      <c r="A50" s="1" t="s">
        <v>17</v>
      </c>
      <c r="B50" s="46" t="s">
        <v>882</v>
      </c>
      <c r="C50" s="50"/>
      <c r="D50" s="20" t="s">
        <v>71</v>
      </c>
      <c r="E50" s="10" t="s">
        <v>343</v>
      </c>
      <c r="F50" s="22" t="s">
        <v>148</v>
      </c>
      <c r="G50" s="11" t="s">
        <v>7</v>
      </c>
      <c r="H50" s="98">
        <v>24422070060057</v>
      </c>
      <c r="I50" s="59" t="s">
        <v>875</v>
      </c>
      <c r="J50" s="71">
        <v>2</v>
      </c>
      <c r="K50" s="59" t="s">
        <v>798</v>
      </c>
      <c r="L50" s="59" t="s">
        <v>770</v>
      </c>
      <c r="M50" s="73">
        <f t="shared" si="3"/>
        <v>46059</v>
      </c>
      <c r="N50" s="23" t="e">
        <f t="shared" si="4"/>
        <v>#NUM!</v>
      </c>
      <c r="O50" s="73" t="e">
        <f t="shared" si="5"/>
        <v>#NUM!</v>
      </c>
      <c r="P50" s="59"/>
      <c r="Q50" s="59"/>
      <c r="R50" s="59"/>
      <c r="S50" s="59"/>
      <c r="T50" s="12" t="s">
        <v>885</v>
      </c>
      <c r="U50" s="12" t="s">
        <v>886</v>
      </c>
      <c r="V50" s="90" t="s">
        <v>777</v>
      </c>
      <c r="W50" s="28" t="s">
        <v>893</v>
      </c>
      <c r="X50" s="43" t="s">
        <v>155</v>
      </c>
      <c r="Y50" s="28"/>
      <c r="Z50" s="28">
        <v>1</v>
      </c>
      <c r="AA50" s="28">
        <v>1</v>
      </c>
      <c r="AB50" s="28">
        <v>2</v>
      </c>
      <c r="AC50" s="28">
        <v>2</v>
      </c>
      <c r="AD50" s="66">
        <v>1</v>
      </c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6" ht="15.75" customHeight="1" thickBot="1" x14ac:dyDescent="0.3">
      <c r="A51" s="1"/>
      <c r="B51" s="46" t="s">
        <v>882</v>
      </c>
      <c r="C51" s="50"/>
      <c r="D51" s="20" t="s">
        <v>72</v>
      </c>
      <c r="E51" s="10" t="s">
        <v>845</v>
      </c>
      <c r="F51" s="22" t="s">
        <v>148</v>
      </c>
      <c r="G51" s="11" t="s">
        <v>7</v>
      </c>
      <c r="H51" s="98">
        <v>23422070060053</v>
      </c>
      <c r="I51" s="59"/>
      <c r="J51" s="71"/>
      <c r="K51" s="59"/>
      <c r="L51" s="59"/>
      <c r="M51" s="73"/>
      <c r="N51" s="23"/>
      <c r="O51" s="73"/>
      <c r="P51" s="59"/>
      <c r="Q51" s="59"/>
      <c r="R51" s="59"/>
      <c r="S51" s="59"/>
      <c r="T51" s="12" t="s">
        <v>885</v>
      </c>
      <c r="U51" s="12" t="s">
        <v>886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6" ht="15.75" customHeight="1" thickBot="1" x14ac:dyDescent="0.3">
      <c r="A52" s="1" t="s">
        <v>17</v>
      </c>
      <c r="B52" s="46" t="s">
        <v>882</v>
      </c>
      <c r="C52" s="50"/>
      <c r="D52" s="20" t="s">
        <v>73</v>
      </c>
      <c r="E52" s="10" t="s">
        <v>344</v>
      </c>
      <c r="F52" s="22" t="s">
        <v>148</v>
      </c>
      <c r="G52" s="11" t="s">
        <v>7</v>
      </c>
      <c r="H52" s="98">
        <v>24422070060058</v>
      </c>
      <c r="I52" s="59" t="s">
        <v>786</v>
      </c>
      <c r="J52" s="71">
        <v>1</v>
      </c>
      <c r="K52" s="59" t="s">
        <v>187</v>
      </c>
      <c r="L52" s="59" t="s">
        <v>770</v>
      </c>
      <c r="M52" s="73">
        <f t="shared" si="3"/>
        <v>46036</v>
      </c>
      <c r="N52" s="23" t="e">
        <f t="shared" si="4"/>
        <v>#NUM!</v>
      </c>
      <c r="O52" s="73" t="e">
        <f t="shared" si="5"/>
        <v>#NUM!</v>
      </c>
      <c r="P52" s="59"/>
      <c r="Q52" s="59"/>
      <c r="R52" s="59"/>
      <c r="S52" s="59"/>
      <c r="T52" s="12" t="s">
        <v>885</v>
      </c>
      <c r="U52" s="12" t="s">
        <v>886</v>
      </c>
      <c r="V52" s="90" t="s">
        <v>777</v>
      </c>
      <c r="W52" s="28" t="s">
        <v>763</v>
      </c>
      <c r="X52" s="43" t="s">
        <v>155</v>
      </c>
      <c r="Y52" s="28"/>
      <c r="Z52" s="28">
        <v>1</v>
      </c>
      <c r="AA52" s="28">
        <v>1</v>
      </c>
      <c r="AB52" s="28">
        <v>1</v>
      </c>
      <c r="AC52" s="28">
        <v>1</v>
      </c>
      <c r="AD52" s="66">
        <v>1</v>
      </c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6" ht="15.75" customHeight="1" thickBot="1" x14ac:dyDescent="0.3">
      <c r="A53" s="1" t="s">
        <v>17</v>
      </c>
      <c r="B53" s="46" t="s">
        <v>882</v>
      </c>
      <c r="C53" s="50"/>
      <c r="D53" s="20" t="s">
        <v>74</v>
      </c>
      <c r="E53" s="10" t="s">
        <v>345</v>
      </c>
      <c r="F53" s="22" t="s">
        <v>148</v>
      </c>
      <c r="G53" s="11" t="s">
        <v>7</v>
      </c>
      <c r="H53" s="98">
        <v>24422070060060</v>
      </c>
      <c r="I53" s="59" t="s">
        <v>793</v>
      </c>
      <c r="J53" s="71">
        <v>10</v>
      </c>
      <c r="K53" s="59" t="s">
        <v>817</v>
      </c>
      <c r="L53" s="59" t="s">
        <v>153</v>
      </c>
      <c r="M53" s="73">
        <f t="shared" si="3"/>
        <v>45957</v>
      </c>
      <c r="N53" s="23" t="e">
        <f t="shared" si="4"/>
        <v>#NUM!</v>
      </c>
      <c r="O53" s="73" t="e">
        <f t="shared" si="5"/>
        <v>#NUM!</v>
      </c>
      <c r="P53" s="59"/>
      <c r="Q53" s="59"/>
      <c r="R53" s="59"/>
      <c r="S53" s="59"/>
      <c r="T53" s="12" t="s">
        <v>885</v>
      </c>
      <c r="U53" s="12" t="s">
        <v>886</v>
      </c>
      <c r="V53" s="90" t="s">
        <v>777</v>
      </c>
      <c r="W53" s="28" t="s">
        <v>765</v>
      </c>
      <c r="X53" s="43" t="s">
        <v>155</v>
      </c>
      <c r="Y53" s="28"/>
      <c r="Z53" s="28">
        <v>1</v>
      </c>
      <c r="AA53" s="28">
        <v>1</v>
      </c>
      <c r="AB53" s="28"/>
      <c r="AC53" s="28">
        <v>1</v>
      </c>
      <c r="AD53" s="66">
        <v>1</v>
      </c>
      <c r="AE53" s="28">
        <v>1</v>
      </c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6" ht="15.75" customHeight="1" thickBot="1" x14ac:dyDescent="0.3">
      <c r="A54" s="1" t="s">
        <v>17</v>
      </c>
      <c r="B54" s="46" t="s">
        <v>882</v>
      </c>
      <c r="C54" s="50"/>
      <c r="D54" s="20" t="s">
        <v>75</v>
      </c>
      <c r="E54" s="10" t="s">
        <v>346</v>
      </c>
      <c r="F54" s="22" t="s">
        <v>148</v>
      </c>
      <c r="G54" s="11" t="s">
        <v>7</v>
      </c>
      <c r="H54" s="98">
        <v>24422070060630</v>
      </c>
      <c r="I54" s="59"/>
      <c r="J54" s="71"/>
      <c r="K54" s="59"/>
      <c r="L54" s="59"/>
      <c r="M54" s="73" t="e">
        <f t="shared" si="3"/>
        <v>#NUM!</v>
      </c>
      <c r="N54" s="23" t="e">
        <f t="shared" si="4"/>
        <v>#NUM!</v>
      </c>
      <c r="O54" s="73" t="e">
        <f t="shared" si="5"/>
        <v>#NUM!</v>
      </c>
      <c r="P54" s="59"/>
      <c r="Q54" s="59"/>
      <c r="R54" s="59"/>
      <c r="S54" s="59"/>
      <c r="T54" s="12" t="s">
        <v>885</v>
      </c>
      <c r="U54" s="12" t="s">
        <v>886</v>
      </c>
      <c r="V54" s="90"/>
      <c r="W54" s="28"/>
      <c r="X54" s="43"/>
      <c r="Y54" s="28"/>
      <c r="Z54" s="28"/>
      <c r="AA54" s="28"/>
      <c r="AB54" s="28"/>
      <c r="AC54" s="28"/>
      <c r="AD54" s="66"/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6" ht="15.75" customHeight="1" thickBot="1" x14ac:dyDescent="0.3">
      <c r="A55" s="1" t="s">
        <v>17</v>
      </c>
      <c r="B55" s="46" t="s">
        <v>883</v>
      </c>
      <c r="C55" s="50"/>
      <c r="D55" s="20" t="s">
        <v>76</v>
      </c>
      <c r="E55" s="10" t="s">
        <v>347</v>
      </c>
      <c r="F55" s="22" t="s">
        <v>148</v>
      </c>
      <c r="G55" s="11" t="s">
        <v>7</v>
      </c>
      <c r="H55" s="98">
        <v>24422070060589</v>
      </c>
      <c r="I55" s="59"/>
      <c r="J55" s="59"/>
      <c r="K55" s="59"/>
      <c r="L55" s="59"/>
      <c r="M55" s="73" t="e">
        <f t="shared" si="3"/>
        <v>#NUM!</v>
      </c>
      <c r="N55" s="23" t="e">
        <f t="shared" si="4"/>
        <v>#NUM!</v>
      </c>
      <c r="O55" s="73" t="e">
        <f t="shared" si="5"/>
        <v>#NUM!</v>
      </c>
      <c r="P55" s="59"/>
      <c r="Q55" s="59"/>
      <c r="R55" s="59"/>
      <c r="S55" s="59"/>
      <c r="T55" s="12" t="s">
        <v>885</v>
      </c>
      <c r="U55" s="12" t="s">
        <v>886</v>
      </c>
      <c r="V55" s="90"/>
      <c r="W55" s="28"/>
      <c r="X55" s="43"/>
      <c r="Y55" s="28"/>
      <c r="Z55" s="28"/>
      <c r="AA55" s="28"/>
      <c r="AB55" s="28"/>
      <c r="AC55" s="28"/>
      <c r="AD55" s="66"/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6" ht="15.75" customHeight="1" thickBot="1" x14ac:dyDescent="0.3">
      <c r="A56" s="1" t="s">
        <v>17</v>
      </c>
      <c r="B56" s="52" t="s">
        <v>882</v>
      </c>
      <c r="C56" s="55"/>
      <c r="D56" s="20" t="s">
        <v>77</v>
      </c>
      <c r="E56" s="10" t="s">
        <v>348</v>
      </c>
      <c r="F56" s="22" t="s">
        <v>148</v>
      </c>
      <c r="G56" s="11" t="s">
        <v>7</v>
      </c>
      <c r="H56" s="98">
        <v>24422070060063</v>
      </c>
      <c r="I56" s="59" t="s">
        <v>875</v>
      </c>
      <c r="J56" s="71">
        <v>2</v>
      </c>
      <c r="K56" s="59" t="s">
        <v>798</v>
      </c>
      <c r="L56" s="59" t="s">
        <v>770</v>
      </c>
      <c r="M56" s="73">
        <f t="shared" si="3"/>
        <v>46059</v>
      </c>
      <c r="N56" s="23" t="e">
        <f t="shared" si="4"/>
        <v>#NUM!</v>
      </c>
      <c r="O56" s="73" t="e">
        <f t="shared" si="5"/>
        <v>#NUM!</v>
      </c>
      <c r="P56" s="59"/>
      <c r="Q56" s="59"/>
      <c r="R56" s="59"/>
      <c r="S56" s="59"/>
      <c r="T56" s="12" t="s">
        <v>885</v>
      </c>
      <c r="U56" s="12" t="s">
        <v>886</v>
      </c>
      <c r="V56" s="90" t="s">
        <v>777</v>
      </c>
      <c r="W56" s="28" t="s">
        <v>893</v>
      </c>
      <c r="X56" s="43" t="s">
        <v>155</v>
      </c>
      <c r="Y56" s="28"/>
      <c r="Z56" s="28">
        <v>1</v>
      </c>
      <c r="AA56" s="28">
        <v>1</v>
      </c>
      <c r="AB56" s="28">
        <v>2</v>
      </c>
      <c r="AC56" s="28">
        <v>2</v>
      </c>
      <c r="AD56" s="66">
        <v>1</v>
      </c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6" ht="15.75" customHeight="1" thickBot="1" x14ac:dyDescent="0.3">
      <c r="A57" s="1" t="s">
        <v>17</v>
      </c>
      <c r="B57" s="53" t="s">
        <v>883</v>
      </c>
      <c r="C57" s="56"/>
      <c r="D57" s="20" t="s">
        <v>78</v>
      </c>
      <c r="E57" s="10" t="s">
        <v>349</v>
      </c>
      <c r="F57" s="22" t="s">
        <v>148</v>
      </c>
      <c r="G57" s="11" t="s">
        <v>7</v>
      </c>
      <c r="H57" s="98">
        <v>24422070060064</v>
      </c>
      <c r="I57" s="59"/>
      <c r="J57" s="71"/>
      <c r="K57" s="59"/>
      <c r="L57" s="59"/>
      <c r="M57" s="73" t="e">
        <f t="shared" si="3"/>
        <v>#NUM!</v>
      </c>
      <c r="N57" s="23" t="e">
        <f t="shared" si="4"/>
        <v>#NUM!</v>
      </c>
      <c r="O57" s="73" t="e">
        <f t="shared" si="5"/>
        <v>#NUM!</v>
      </c>
      <c r="P57" s="59"/>
      <c r="Q57" s="59"/>
      <c r="R57" s="59"/>
      <c r="S57" s="59"/>
      <c r="T57" s="12" t="s">
        <v>885</v>
      </c>
      <c r="U57" s="12" t="s">
        <v>886</v>
      </c>
      <c r="V57" s="90"/>
      <c r="W57" s="28"/>
      <c r="X57" s="43"/>
      <c r="Y57" s="28"/>
      <c r="Z57" s="28"/>
      <c r="AA57" s="28"/>
      <c r="AB57" s="28"/>
      <c r="AC57" s="28"/>
      <c r="AD57" s="66"/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6" ht="15.75" customHeight="1" thickBot="1" x14ac:dyDescent="0.3">
      <c r="A58" s="1" t="s">
        <v>17</v>
      </c>
      <c r="B58" s="54" t="s">
        <v>882</v>
      </c>
      <c r="C58" s="57"/>
      <c r="D58" s="20" t="s">
        <v>79</v>
      </c>
      <c r="E58" s="10" t="s">
        <v>350</v>
      </c>
      <c r="F58" s="22" t="s">
        <v>148</v>
      </c>
      <c r="G58" s="11" t="s">
        <v>7</v>
      </c>
      <c r="H58" s="98">
        <v>24422070060065</v>
      </c>
      <c r="I58" s="59" t="s">
        <v>793</v>
      </c>
      <c r="J58" s="71">
        <v>10</v>
      </c>
      <c r="K58" s="59" t="s">
        <v>817</v>
      </c>
      <c r="L58" s="59" t="s">
        <v>153</v>
      </c>
      <c r="M58" s="73">
        <f t="shared" si="3"/>
        <v>45957</v>
      </c>
      <c r="N58" s="23" t="e">
        <f t="shared" si="4"/>
        <v>#NUM!</v>
      </c>
      <c r="O58" s="73" t="e">
        <f t="shared" si="5"/>
        <v>#NUM!</v>
      </c>
      <c r="P58" s="59"/>
      <c r="Q58" s="59"/>
      <c r="R58" s="59"/>
      <c r="S58" s="59"/>
      <c r="T58" s="12" t="s">
        <v>885</v>
      </c>
      <c r="U58" s="12" t="s">
        <v>886</v>
      </c>
      <c r="V58" s="90" t="s">
        <v>777</v>
      </c>
      <c r="W58" s="28" t="s">
        <v>765</v>
      </c>
      <c r="X58" s="43" t="s">
        <v>155</v>
      </c>
      <c r="Y58" s="28"/>
      <c r="Z58" s="28">
        <v>1</v>
      </c>
      <c r="AA58" s="28">
        <v>1</v>
      </c>
      <c r="AB58" s="28"/>
      <c r="AC58" s="28">
        <v>1</v>
      </c>
      <c r="AD58" s="66">
        <v>1</v>
      </c>
      <c r="AE58" s="28">
        <v>1</v>
      </c>
      <c r="AF58" s="28"/>
      <c r="AG58" s="28"/>
      <c r="AH58" s="20"/>
      <c r="AI58" s="28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1:46" ht="17.25" customHeight="1" thickBot="1" x14ac:dyDescent="0.3">
      <c r="A59" s="1" t="s">
        <v>17</v>
      </c>
      <c r="B59" s="52" t="s">
        <v>883</v>
      </c>
      <c r="C59" s="115">
        <v>2</v>
      </c>
      <c r="D59" s="20" t="s">
        <v>80</v>
      </c>
      <c r="E59" s="10" t="s">
        <v>351</v>
      </c>
      <c r="F59" s="22" t="s">
        <v>148</v>
      </c>
      <c r="G59" s="11" t="s">
        <v>7</v>
      </c>
      <c r="H59" s="98">
        <v>24422070060066</v>
      </c>
      <c r="I59" s="59"/>
      <c r="J59" s="59"/>
      <c r="K59" s="59"/>
      <c r="L59" s="59"/>
      <c r="M59" s="73" t="e">
        <f t="shared" si="3"/>
        <v>#NUM!</v>
      </c>
      <c r="N59" s="23" t="e">
        <f t="shared" si="4"/>
        <v>#NUM!</v>
      </c>
      <c r="O59" s="73" t="e">
        <f t="shared" si="5"/>
        <v>#NUM!</v>
      </c>
      <c r="P59" s="59"/>
      <c r="Q59" s="59"/>
      <c r="R59" s="59"/>
      <c r="S59" s="59"/>
      <c r="T59" s="12" t="s">
        <v>885</v>
      </c>
      <c r="U59" s="12" t="s">
        <v>886</v>
      </c>
      <c r="V59" s="90"/>
      <c r="W59" s="28"/>
      <c r="X59" s="43"/>
      <c r="Y59" s="28"/>
      <c r="Z59" s="28"/>
      <c r="AA59" s="28"/>
      <c r="AB59" s="28"/>
      <c r="AC59" s="28"/>
      <c r="AD59" s="66"/>
      <c r="AE59" s="28"/>
      <c r="AF59" s="28"/>
      <c r="AG59" s="28"/>
      <c r="AH59" s="20"/>
      <c r="AI59" s="28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1:46" ht="15.75" customHeight="1" thickBot="1" x14ac:dyDescent="0.3">
      <c r="A60" s="1" t="s">
        <v>17</v>
      </c>
      <c r="B60" s="54" t="s">
        <v>882</v>
      </c>
      <c r="C60" s="57"/>
      <c r="D60" s="20" t="s">
        <v>81</v>
      </c>
      <c r="E60" s="10" t="s">
        <v>352</v>
      </c>
      <c r="F60" s="22" t="s">
        <v>148</v>
      </c>
      <c r="G60" s="11" t="s">
        <v>7</v>
      </c>
      <c r="H60" s="98">
        <v>24422070060067</v>
      </c>
      <c r="I60" s="59" t="s">
        <v>875</v>
      </c>
      <c r="J60" s="71">
        <v>2</v>
      </c>
      <c r="K60" s="59" t="s">
        <v>798</v>
      </c>
      <c r="L60" s="59" t="s">
        <v>770</v>
      </c>
      <c r="M60" s="73">
        <f t="shared" si="3"/>
        <v>46059</v>
      </c>
      <c r="N60" s="23" t="e">
        <f t="shared" si="4"/>
        <v>#NUM!</v>
      </c>
      <c r="O60" s="73" t="e">
        <f t="shared" si="5"/>
        <v>#NUM!</v>
      </c>
      <c r="P60" s="59"/>
      <c r="Q60" s="59"/>
      <c r="R60" s="59"/>
      <c r="S60" s="59"/>
      <c r="T60" s="12" t="s">
        <v>885</v>
      </c>
      <c r="U60" s="12" t="s">
        <v>886</v>
      </c>
      <c r="V60" s="90" t="s">
        <v>777</v>
      </c>
      <c r="W60" s="28" t="s">
        <v>893</v>
      </c>
      <c r="X60" s="43" t="s">
        <v>155</v>
      </c>
      <c r="Y60" s="28"/>
      <c r="Z60" s="28">
        <v>1</v>
      </c>
      <c r="AA60" s="28">
        <v>1</v>
      </c>
      <c r="AB60" s="28">
        <v>2</v>
      </c>
      <c r="AC60" s="28">
        <v>2</v>
      </c>
      <c r="AD60" s="66">
        <v>1</v>
      </c>
      <c r="AE60" s="28"/>
      <c r="AF60" s="28"/>
      <c r="AG60" s="28"/>
      <c r="AH60" s="20"/>
      <c r="AI60" s="28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1:46" ht="15.75" customHeight="1" thickBot="1" x14ac:dyDescent="0.3">
      <c r="A61" s="1" t="s">
        <v>17</v>
      </c>
      <c r="B61" s="54" t="s">
        <v>882</v>
      </c>
      <c r="C61" s="116">
        <v>1</v>
      </c>
      <c r="D61" s="20" t="s">
        <v>82</v>
      </c>
      <c r="E61" s="10" t="s">
        <v>353</v>
      </c>
      <c r="F61" s="22" t="s">
        <v>148</v>
      </c>
      <c r="G61" s="11" t="s">
        <v>7</v>
      </c>
      <c r="H61" s="98">
        <v>24422070060070</v>
      </c>
      <c r="I61" s="59"/>
      <c r="J61" s="71"/>
      <c r="K61" s="59"/>
      <c r="L61" s="59"/>
      <c r="M61" s="73" t="e">
        <f t="shared" si="3"/>
        <v>#NUM!</v>
      </c>
      <c r="N61" s="23" t="e">
        <f t="shared" si="4"/>
        <v>#NUM!</v>
      </c>
      <c r="O61" s="73" t="e">
        <f t="shared" si="5"/>
        <v>#NUM!</v>
      </c>
      <c r="P61" s="59"/>
      <c r="Q61" s="59"/>
      <c r="R61" s="59"/>
      <c r="S61" s="59"/>
      <c r="T61" s="12" t="s">
        <v>885</v>
      </c>
      <c r="U61" s="12" t="s">
        <v>886</v>
      </c>
      <c r="V61" s="90"/>
      <c r="W61" s="28"/>
      <c r="X61" s="43"/>
      <c r="Y61" s="28"/>
      <c r="Z61" s="28"/>
      <c r="AA61" s="28"/>
      <c r="AB61" s="28"/>
      <c r="AC61" s="28"/>
      <c r="AD61" s="66"/>
      <c r="AE61" s="28"/>
      <c r="AF61" s="28"/>
      <c r="AG61" s="28"/>
      <c r="AH61" s="20"/>
      <c r="AI61" s="28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1:46" ht="15.75" customHeight="1" thickBot="1" x14ac:dyDescent="0.3">
      <c r="A62" s="1" t="s">
        <v>17</v>
      </c>
      <c r="B62" s="54" t="s">
        <v>882</v>
      </c>
      <c r="C62" s="57"/>
      <c r="D62" s="20" t="s">
        <v>83</v>
      </c>
      <c r="E62" s="10" t="s">
        <v>354</v>
      </c>
      <c r="F62" s="22" t="s">
        <v>148</v>
      </c>
      <c r="G62" s="11" t="s">
        <v>7</v>
      </c>
      <c r="H62" s="98">
        <v>24422070060072</v>
      </c>
      <c r="I62" s="59" t="s">
        <v>781</v>
      </c>
      <c r="J62" s="71">
        <v>12</v>
      </c>
      <c r="K62" s="59" t="s">
        <v>768</v>
      </c>
      <c r="L62" s="59" t="s">
        <v>153</v>
      </c>
      <c r="M62" s="73">
        <f t="shared" si="3"/>
        <v>45995</v>
      </c>
      <c r="N62" s="23" t="e">
        <f t="shared" si="4"/>
        <v>#NUM!</v>
      </c>
      <c r="O62" s="73" t="e">
        <f t="shared" si="5"/>
        <v>#NUM!</v>
      </c>
      <c r="P62" s="59"/>
      <c r="Q62" s="59"/>
      <c r="R62" s="59"/>
      <c r="S62" s="59"/>
      <c r="T62" s="12" t="s">
        <v>885</v>
      </c>
      <c r="U62" s="12" t="s">
        <v>886</v>
      </c>
      <c r="V62" s="90" t="s">
        <v>777</v>
      </c>
      <c r="W62" s="28" t="s">
        <v>161</v>
      </c>
      <c r="X62" s="43" t="s">
        <v>155</v>
      </c>
      <c r="Y62" s="28"/>
      <c r="Z62" s="28">
        <v>1</v>
      </c>
      <c r="AA62" s="65">
        <v>1</v>
      </c>
      <c r="AB62" s="65">
        <v>1</v>
      </c>
      <c r="AC62" s="65">
        <v>1</v>
      </c>
      <c r="AD62" s="67">
        <v>1</v>
      </c>
      <c r="AE62" s="65"/>
      <c r="AF62" s="65"/>
      <c r="AG62" s="65"/>
      <c r="AH62" s="82"/>
      <c r="AI62" s="65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</row>
    <row r="63" spans="1:46" ht="15.75" customHeight="1" thickBot="1" x14ac:dyDescent="0.3">
      <c r="A63" s="1" t="s">
        <v>17</v>
      </c>
      <c r="B63" s="54" t="s">
        <v>882</v>
      </c>
      <c r="C63" s="57"/>
      <c r="D63" s="20" t="s">
        <v>84</v>
      </c>
      <c r="E63" s="10" t="s">
        <v>355</v>
      </c>
      <c r="F63" s="22" t="s">
        <v>148</v>
      </c>
      <c r="G63" s="11" t="s">
        <v>7</v>
      </c>
      <c r="H63" s="98">
        <v>24422070060620</v>
      </c>
      <c r="I63" s="59" t="s">
        <v>782</v>
      </c>
      <c r="J63" s="71">
        <v>12</v>
      </c>
      <c r="K63" s="59" t="s">
        <v>768</v>
      </c>
      <c r="L63" s="59" t="s">
        <v>153</v>
      </c>
      <c r="M63" s="73">
        <f t="shared" si="3"/>
        <v>45996</v>
      </c>
      <c r="N63" s="23" t="e">
        <f t="shared" si="4"/>
        <v>#NUM!</v>
      </c>
      <c r="O63" s="73" t="e">
        <f t="shared" si="5"/>
        <v>#NUM!</v>
      </c>
      <c r="P63" s="59"/>
      <c r="Q63" s="59"/>
      <c r="R63" s="59"/>
      <c r="S63" s="59"/>
      <c r="T63" s="12" t="s">
        <v>885</v>
      </c>
      <c r="U63" s="12" t="s">
        <v>886</v>
      </c>
      <c r="V63" s="90" t="s">
        <v>777</v>
      </c>
      <c r="W63" s="28" t="s">
        <v>161</v>
      </c>
      <c r="X63" s="43" t="s">
        <v>155</v>
      </c>
      <c r="Y63" s="28"/>
      <c r="Z63" s="28">
        <v>1</v>
      </c>
      <c r="AA63" s="28">
        <v>1</v>
      </c>
      <c r="AB63" s="65">
        <v>1</v>
      </c>
      <c r="AC63" s="28">
        <v>1</v>
      </c>
      <c r="AD63" s="66">
        <v>1</v>
      </c>
      <c r="AE63" s="65"/>
      <c r="AF63" s="28"/>
      <c r="AG63" s="65"/>
      <c r="AH63" s="20"/>
      <c r="AI63" s="65"/>
      <c r="AJ63" s="16"/>
      <c r="AK63" s="16"/>
      <c r="AL63" s="29"/>
      <c r="AM63" s="16"/>
      <c r="AN63" s="29"/>
      <c r="AO63" s="16"/>
      <c r="AP63" s="16"/>
      <c r="AQ63" s="29"/>
      <c r="AR63" s="16"/>
      <c r="AS63" s="29"/>
      <c r="AT63" s="16"/>
    </row>
    <row r="64" spans="1:46" ht="15.75" customHeight="1" thickBot="1" x14ac:dyDescent="0.3">
      <c r="A64" s="1" t="s">
        <v>17</v>
      </c>
      <c r="B64" s="54" t="s">
        <v>882</v>
      </c>
      <c r="C64" s="57"/>
      <c r="D64" s="20" t="s">
        <v>85</v>
      </c>
      <c r="E64" s="10" t="s">
        <v>356</v>
      </c>
      <c r="F64" s="22" t="s">
        <v>148</v>
      </c>
      <c r="G64" s="11" t="s">
        <v>7</v>
      </c>
      <c r="H64" s="98">
        <v>24422070060073</v>
      </c>
      <c r="I64" s="59" t="s">
        <v>793</v>
      </c>
      <c r="J64" s="59" t="s">
        <v>159</v>
      </c>
      <c r="K64" s="59" t="s">
        <v>817</v>
      </c>
      <c r="L64" s="59" t="s">
        <v>153</v>
      </c>
      <c r="M64" s="73">
        <f t="shared" si="3"/>
        <v>45957</v>
      </c>
      <c r="N64" s="23" t="e">
        <f t="shared" si="4"/>
        <v>#NUM!</v>
      </c>
      <c r="O64" s="73" t="e">
        <f t="shared" si="5"/>
        <v>#NUM!</v>
      </c>
      <c r="P64" s="59"/>
      <c r="Q64" s="59"/>
      <c r="R64" s="59"/>
      <c r="S64" s="59"/>
      <c r="T64" s="12" t="s">
        <v>885</v>
      </c>
      <c r="U64" s="12" t="s">
        <v>886</v>
      </c>
      <c r="V64" s="90" t="s">
        <v>777</v>
      </c>
      <c r="W64" s="28" t="s">
        <v>765</v>
      </c>
      <c r="X64" s="43" t="s">
        <v>155</v>
      </c>
      <c r="Y64" s="28"/>
      <c r="Z64" s="28">
        <v>1</v>
      </c>
      <c r="AA64" s="28">
        <v>1</v>
      </c>
      <c r="AB64" s="65"/>
      <c r="AC64" s="28">
        <v>1</v>
      </c>
      <c r="AD64" s="66">
        <v>1</v>
      </c>
      <c r="AE64" s="65">
        <v>1</v>
      </c>
      <c r="AF64" s="28"/>
      <c r="AG64" s="65"/>
      <c r="AH64" s="20"/>
      <c r="AI64" s="65"/>
      <c r="AJ64" s="16"/>
      <c r="AK64" s="16"/>
      <c r="AL64" s="29"/>
      <c r="AM64" s="16"/>
      <c r="AN64" s="29"/>
      <c r="AO64" s="16"/>
      <c r="AP64" s="16"/>
      <c r="AQ64" s="29"/>
      <c r="AR64" s="16"/>
      <c r="AS64" s="29"/>
      <c r="AT64" s="16"/>
    </row>
    <row r="65" spans="1:46" ht="15.75" customHeight="1" thickBot="1" x14ac:dyDescent="0.3">
      <c r="A65" s="1" t="s">
        <v>17</v>
      </c>
      <c r="B65" s="54" t="s">
        <v>883</v>
      </c>
      <c r="C65" s="57"/>
      <c r="D65" s="20" t="s">
        <v>86</v>
      </c>
      <c r="E65" s="10" t="s">
        <v>357</v>
      </c>
      <c r="F65" s="22" t="s">
        <v>148</v>
      </c>
      <c r="G65" s="11" t="s">
        <v>7</v>
      </c>
      <c r="H65" s="98">
        <v>24422070060075</v>
      </c>
      <c r="I65" s="59"/>
      <c r="J65" s="59"/>
      <c r="K65" s="59"/>
      <c r="L65" s="59"/>
      <c r="M65" s="73" t="e">
        <f t="shared" si="3"/>
        <v>#NUM!</v>
      </c>
      <c r="N65" s="23" t="e">
        <f t="shared" si="4"/>
        <v>#NUM!</v>
      </c>
      <c r="O65" s="73" t="e">
        <f t="shared" si="5"/>
        <v>#NUM!</v>
      </c>
      <c r="P65" s="59"/>
      <c r="Q65" s="59"/>
      <c r="R65" s="59"/>
      <c r="S65" s="59"/>
      <c r="T65" s="12" t="s">
        <v>885</v>
      </c>
      <c r="U65" s="12" t="s">
        <v>886</v>
      </c>
      <c r="V65" s="90"/>
      <c r="W65" s="28"/>
      <c r="X65" s="43"/>
      <c r="Y65" s="28"/>
      <c r="Z65" s="28"/>
      <c r="AA65" s="28"/>
      <c r="AB65" s="65"/>
      <c r="AC65" s="28"/>
      <c r="AD65" s="66"/>
      <c r="AE65" s="65"/>
      <c r="AF65" s="28"/>
      <c r="AG65" s="65"/>
      <c r="AH65" s="20"/>
      <c r="AI65" s="65"/>
      <c r="AJ65" s="16"/>
      <c r="AK65" s="16"/>
      <c r="AL65" s="29"/>
      <c r="AM65" s="16"/>
      <c r="AN65" s="29"/>
      <c r="AO65" s="16"/>
      <c r="AP65" s="16"/>
      <c r="AQ65" s="29"/>
      <c r="AR65" s="16"/>
      <c r="AS65" s="29"/>
      <c r="AT65" s="16"/>
    </row>
    <row r="66" spans="1:46" ht="15.75" customHeight="1" thickBot="1" x14ac:dyDescent="0.3">
      <c r="A66" s="1" t="s">
        <v>17</v>
      </c>
      <c r="B66" s="54" t="s">
        <v>882</v>
      </c>
      <c r="C66" s="116">
        <v>2</v>
      </c>
      <c r="D66" s="20" t="s">
        <v>87</v>
      </c>
      <c r="E66" s="10" t="s">
        <v>358</v>
      </c>
      <c r="F66" s="22" t="s">
        <v>148</v>
      </c>
      <c r="G66" s="11" t="s">
        <v>7</v>
      </c>
      <c r="H66" s="98">
        <v>24422070050667</v>
      </c>
      <c r="I66" s="59"/>
      <c r="J66" s="71"/>
      <c r="K66" s="59"/>
      <c r="L66" s="71"/>
      <c r="M66" s="73" t="e">
        <f t="shared" si="3"/>
        <v>#NUM!</v>
      </c>
      <c r="N66" s="23" t="e">
        <f t="shared" si="4"/>
        <v>#NUM!</v>
      </c>
      <c r="O66" s="73" t="e">
        <f t="shared" si="5"/>
        <v>#NUM!</v>
      </c>
      <c r="P66" s="59"/>
      <c r="Q66" s="59"/>
      <c r="R66" s="59"/>
      <c r="S66" s="59"/>
      <c r="T66" s="12" t="s">
        <v>885</v>
      </c>
      <c r="U66" s="12" t="s">
        <v>886</v>
      </c>
      <c r="V66" s="90"/>
      <c r="W66" s="28"/>
      <c r="X66" s="43"/>
      <c r="Y66" s="28"/>
      <c r="Z66" s="28"/>
      <c r="AA66" s="15"/>
      <c r="AB66" s="15"/>
      <c r="AC66" s="15"/>
      <c r="AD66" s="68"/>
      <c r="AE66" s="15"/>
      <c r="AF66" s="15"/>
      <c r="AG66" s="15"/>
      <c r="AH66" s="81"/>
      <c r="AI66" s="15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</row>
    <row r="67" spans="1:46" ht="15.75" customHeight="1" thickBot="1" x14ac:dyDescent="0.3">
      <c r="A67" s="1" t="s">
        <v>17</v>
      </c>
      <c r="B67" s="54" t="s">
        <v>883</v>
      </c>
      <c r="C67" s="57"/>
      <c r="D67" s="20" t="s">
        <v>88</v>
      </c>
      <c r="E67" s="10" t="s">
        <v>359</v>
      </c>
      <c r="F67" s="22" t="s">
        <v>148</v>
      </c>
      <c r="G67" s="11" t="s">
        <v>7</v>
      </c>
      <c r="H67" s="98">
        <v>24422070060077</v>
      </c>
      <c r="I67" s="59"/>
      <c r="J67" s="59"/>
      <c r="K67" s="59"/>
      <c r="L67" s="59"/>
      <c r="M67" s="73" t="e">
        <f t="shared" si="3"/>
        <v>#NUM!</v>
      </c>
      <c r="N67" s="23" t="e">
        <f t="shared" si="4"/>
        <v>#NUM!</v>
      </c>
      <c r="O67" s="73" t="e">
        <f t="shared" si="5"/>
        <v>#NUM!</v>
      </c>
      <c r="P67" s="59"/>
      <c r="Q67" s="59"/>
      <c r="R67" s="59"/>
      <c r="S67" s="59"/>
      <c r="T67" s="12" t="s">
        <v>885</v>
      </c>
      <c r="U67" s="12" t="s">
        <v>886</v>
      </c>
      <c r="V67" s="90"/>
      <c r="W67" s="28"/>
      <c r="X67" s="43"/>
      <c r="Y67" s="28"/>
      <c r="Z67" s="28"/>
      <c r="AA67" s="15"/>
      <c r="AB67" s="15"/>
      <c r="AC67" s="15"/>
      <c r="AD67" s="68"/>
      <c r="AE67" s="15"/>
      <c r="AF67" s="15"/>
      <c r="AG67" s="15"/>
      <c r="AH67" s="81"/>
      <c r="AI67" s="15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</row>
    <row r="68" spans="1:46" ht="15.75" customHeight="1" thickBot="1" x14ac:dyDescent="0.3">
      <c r="A68" s="1" t="s">
        <v>17</v>
      </c>
      <c r="B68" s="54" t="s">
        <v>882</v>
      </c>
      <c r="C68" s="57"/>
      <c r="D68" s="20" t="s">
        <v>89</v>
      </c>
      <c r="E68" s="10" t="s">
        <v>360</v>
      </c>
      <c r="F68" s="22" t="s">
        <v>148</v>
      </c>
      <c r="G68" s="11" t="s">
        <v>7</v>
      </c>
      <c r="H68" s="98">
        <v>24422070060079</v>
      </c>
      <c r="I68" s="59"/>
      <c r="J68" s="59"/>
      <c r="K68" s="59"/>
      <c r="L68" s="59"/>
      <c r="M68" s="73" t="e">
        <f t="shared" ref="M68:M76" si="6">DATE(L68,J68,I68)</f>
        <v>#NUM!</v>
      </c>
      <c r="N68" s="23" t="e">
        <f t="shared" ref="N68:N76" si="7">DATEDIF(M68,O68,"m")</f>
        <v>#NUM!</v>
      </c>
      <c r="O68" s="73" t="e">
        <f t="shared" ref="O68:O76" si="8">DATE(S68,Q68,P68)</f>
        <v>#NUM!</v>
      </c>
      <c r="P68" s="59"/>
      <c r="Q68" s="59"/>
      <c r="R68" s="59"/>
      <c r="S68" s="59"/>
      <c r="T68" s="12" t="s">
        <v>885</v>
      </c>
      <c r="U68" s="12" t="s">
        <v>886</v>
      </c>
      <c r="V68" s="90"/>
      <c r="W68" s="28"/>
      <c r="X68" s="43"/>
      <c r="Y68" s="28"/>
      <c r="Z68" s="28"/>
      <c r="AA68" s="15"/>
      <c r="AB68" s="15"/>
      <c r="AC68" s="15"/>
      <c r="AD68" s="68"/>
      <c r="AE68" s="15"/>
      <c r="AF68" s="15"/>
      <c r="AG68" s="15"/>
      <c r="AH68" s="81"/>
      <c r="AI68" s="15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</row>
    <row r="69" spans="1:46" ht="15.75" customHeight="1" thickBot="1" x14ac:dyDescent="0.3">
      <c r="A69" s="1"/>
      <c r="B69" s="54" t="s">
        <v>882</v>
      </c>
      <c r="C69" s="57"/>
      <c r="D69" s="20" t="s">
        <v>90</v>
      </c>
      <c r="E69" s="10" t="s">
        <v>846</v>
      </c>
      <c r="F69" s="22" t="s">
        <v>148</v>
      </c>
      <c r="G69" s="11" t="s">
        <v>7</v>
      </c>
      <c r="H69" s="98">
        <v>23422070060038</v>
      </c>
      <c r="I69" s="59"/>
      <c r="J69" s="59"/>
      <c r="K69" s="59"/>
      <c r="L69" s="59"/>
      <c r="M69" s="73"/>
      <c r="N69" s="23"/>
      <c r="O69" s="73"/>
      <c r="P69" s="59"/>
      <c r="Q69" s="59"/>
      <c r="R69" s="59"/>
      <c r="S69" s="59"/>
      <c r="T69" s="12" t="s">
        <v>885</v>
      </c>
      <c r="U69" s="12" t="s">
        <v>886</v>
      </c>
      <c r="V69" s="90"/>
      <c r="W69" s="28"/>
      <c r="X69" s="43"/>
      <c r="Y69" s="28"/>
      <c r="Z69" s="28"/>
      <c r="AA69" s="15"/>
      <c r="AB69" s="15"/>
      <c r="AC69" s="15"/>
      <c r="AD69" s="68"/>
      <c r="AE69" s="15"/>
      <c r="AF69" s="15"/>
      <c r="AG69" s="15"/>
      <c r="AH69" s="81"/>
      <c r="AI69" s="1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882</v>
      </c>
      <c r="C70" s="57"/>
      <c r="D70" s="20" t="s">
        <v>91</v>
      </c>
      <c r="E70" s="10" t="s">
        <v>361</v>
      </c>
      <c r="F70" s="22" t="s">
        <v>148</v>
      </c>
      <c r="G70" s="11" t="s">
        <v>7</v>
      </c>
      <c r="H70" s="98">
        <v>24422070060080</v>
      </c>
      <c r="I70" s="59" t="s">
        <v>769</v>
      </c>
      <c r="J70" s="59" t="s">
        <v>779</v>
      </c>
      <c r="K70" s="59" t="s">
        <v>798</v>
      </c>
      <c r="L70" s="59" t="s">
        <v>770</v>
      </c>
      <c r="M70" s="73">
        <f t="shared" si="6"/>
        <v>46069</v>
      </c>
      <c r="N70" s="23" t="e">
        <f t="shared" si="7"/>
        <v>#NUM!</v>
      </c>
      <c r="O70" s="73" t="e">
        <f t="shared" si="8"/>
        <v>#NUM!</v>
      </c>
      <c r="P70" s="59"/>
      <c r="Q70" s="59"/>
      <c r="R70" s="59"/>
      <c r="S70" s="59"/>
      <c r="T70" s="12" t="s">
        <v>885</v>
      </c>
      <c r="U70" s="12" t="s">
        <v>886</v>
      </c>
      <c r="V70" s="90" t="s">
        <v>777</v>
      </c>
      <c r="W70" s="28" t="s">
        <v>161</v>
      </c>
      <c r="X70" s="43" t="s">
        <v>155</v>
      </c>
      <c r="Y70" s="28"/>
      <c r="Z70" s="28">
        <v>1</v>
      </c>
      <c r="AA70" s="65">
        <v>1</v>
      </c>
      <c r="AB70" s="65">
        <v>1</v>
      </c>
      <c r="AC70" s="65">
        <v>1</v>
      </c>
      <c r="AD70" s="67">
        <v>1</v>
      </c>
      <c r="AE70" s="65"/>
      <c r="AF70" s="65"/>
      <c r="AG70" s="65"/>
      <c r="AH70" s="82"/>
      <c r="AI70" s="65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</row>
    <row r="71" spans="1:46" ht="15.75" customHeight="1" thickBot="1" x14ac:dyDescent="0.3">
      <c r="A71" s="1" t="s">
        <v>17</v>
      </c>
      <c r="B71" s="54" t="s">
        <v>882</v>
      </c>
      <c r="C71" s="57"/>
      <c r="D71" s="20" t="s">
        <v>92</v>
      </c>
      <c r="E71" s="10" t="s">
        <v>362</v>
      </c>
      <c r="F71" s="22" t="s">
        <v>148</v>
      </c>
      <c r="G71" s="11" t="s">
        <v>7</v>
      </c>
      <c r="H71" s="98">
        <v>24422070060081</v>
      </c>
      <c r="I71" s="59"/>
      <c r="J71" s="71"/>
      <c r="K71" s="59"/>
      <c r="L71" s="59"/>
      <c r="M71" s="73" t="e">
        <f t="shared" si="6"/>
        <v>#NUM!</v>
      </c>
      <c r="N71" s="23" t="e">
        <f t="shared" si="7"/>
        <v>#NUM!</v>
      </c>
      <c r="O71" s="73" t="e">
        <f t="shared" si="8"/>
        <v>#NUM!</v>
      </c>
      <c r="P71" s="59"/>
      <c r="Q71" s="59"/>
      <c r="R71" s="59"/>
      <c r="S71" s="59"/>
      <c r="T71" s="12" t="s">
        <v>885</v>
      </c>
      <c r="U71" s="12" t="s">
        <v>886</v>
      </c>
      <c r="V71" s="90"/>
      <c r="W71" s="28"/>
      <c r="X71" s="43"/>
      <c r="Y71" s="28"/>
      <c r="Z71" s="28"/>
      <c r="AA71" s="15"/>
      <c r="AB71" s="15"/>
      <c r="AC71" s="15"/>
      <c r="AD71" s="68"/>
      <c r="AE71" s="15"/>
      <c r="AF71" s="15"/>
      <c r="AG71" s="15"/>
      <c r="AH71" s="81"/>
      <c r="AI71" s="15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</row>
    <row r="72" spans="1:46" ht="15.75" customHeight="1" thickBot="1" x14ac:dyDescent="0.3">
      <c r="A72" s="1" t="s">
        <v>17</v>
      </c>
      <c r="B72" s="54" t="s">
        <v>882</v>
      </c>
      <c r="C72" s="57"/>
      <c r="D72" s="20" t="s">
        <v>93</v>
      </c>
      <c r="E72" s="10" t="s">
        <v>363</v>
      </c>
      <c r="F72" s="22" t="s">
        <v>148</v>
      </c>
      <c r="G72" s="11" t="s">
        <v>7</v>
      </c>
      <c r="H72" s="98">
        <v>24422070060083</v>
      </c>
      <c r="I72" s="59"/>
      <c r="J72" s="71"/>
      <c r="K72" s="59"/>
      <c r="L72" s="59"/>
      <c r="M72" s="73" t="e">
        <f t="shared" si="6"/>
        <v>#NUM!</v>
      </c>
      <c r="N72" s="23" t="e">
        <f t="shared" si="7"/>
        <v>#NUM!</v>
      </c>
      <c r="O72" s="73" t="e">
        <f t="shared" si="8"/>
        <v>#NUM!</v>
      </c>
      <c r="P72" s="59"/>
      <c r="Q72" s="59"/>
      <c r="R72" s="59"/>
      <c r="S72" s="59"/>
      <c r="T72" s="12" t="s">
        <v>885</v>
      </c>
      <c r="U72" s="12" t="s">
        <v>886</v>
      </c>
      <c r="V72" s="90"/>
      <c r="W72" s="28"/>
      <c r="X72" s="43"/>
      <c r="Y72" s="28"/>
      <c r="Z72" s="28"/>
      <c r="AA72" s="15"/>
      <c r="AB72" s="15"/>
      <c r="AC72" s="15"/>
      <c r="AD72" s="68"/>
      <c r="AE72" s="15"/>
      <c r="AF72" s="15"/>
      <c r="AG72" s="15"/>
      <c r="AH72" s="81"/>
      <c r="AI72" s="15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</row>
    <row r="73" spans="1:46" ht="15.75" customHeight="1" thickBot="1" x14ac:dyDescent="0.3">
      <c r="A73" s="1" t="s">
        <v>17</v>
      </c>
      <c r="B73" s="54" t="s">
        <v>883</v>
      </c>
      <c r="C73" s="57"/>
      <c r="D73" s="20" t="s">
        <v>94</v>
      </c>
      <c r="E73" s="10" t="s">
        <v>364</v>
      </c>
      <c r="F73" s="22" t="s">
        <v>148</v>
      </c>
      <c r="G73" s="11" t="s">
        <v>7</v>
      </c>
      <c r="H73" s="98">
        <v>24422070060084</v>
      </c>
      <c r="I73" s="59"/>
      <c r="J73" s="71"/>
      <c r="K73" s="59"/>
      <c r="L73" s="59"/>
      <c r="M73" s="73" t="e">
        <f t="shared" si="6"/>
        <v>#NUM!</v>
      </c>
      <c r="N73" s="23" t="e">
        <f t="shared" si="7"/>
        <v>#NUM!</v>
      </c>
      <c r="O73" s="73" t="e">
        <f t="shared" si="8"/>
        <v>#NUM!</v>
      </c>
      <c r="P73" s="59"/>
      <c r="Q73" s="59"/>
      <c r="R73" s="59"/>
      <c r="S73" s="59"/>
      <c r="T73" s="12" t="s">
        <v>885</v>
      </c>
      <c r="U73" s="12" t="s">
        <v>886</v>
      </c>
      <c r="V73" s="90"/>
      <c r="W73" s="28"/>
      <c r="X73" s="43"/>
      <c r="Y73" s="28"/>
      <c r="Z73" s="28"/>
      <c r="AA73" s="15"/>
      <c r="AB73" s="15"/>
      <c r="AC73" s="15"/>
      <c r="AD73" s="68"/>
      <c r="AE73" s="15"/>
      <c r="AF73" s="15"/>
      <c r="AG73" s="15"/>
      <c r="AH73" s="81"/>
      <c r="AI73" s="15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883</v>
      </c>
      <c r="C74" s="57"/>
      <c r="D74" s="20" t="s">
        <v>95</v>
      </c>
      <c r="E74" s="10" t="s">
        <v>365</v>
      </c>
      <c r="F74" s="22" t="s">
        <v>148</v>
      </c>
      <c r="G74" s="11" t="s">
        <v>7</v>
      </c>
      <c r="H74" s="98">
        <v>24422070060085</v>
      </c>
      <c r="I74" s="59"/>
      <c r="J74" s="71"/>
      <c r="K74" s="59"/>
      <c r="L74" s="59"/>
      <c r="M74" s="73" t="e">
        <f t="shared" si="6"/>
        <v>#NUM!</v>
      </c>
      <c r="N74" s="23" t="e">
        <f t="shared" si="7"/>
        <v>#NUM!</v>
      </c>
      <c r="O74" s="73" t="e">
        <f t="shared" si="8"/>
        <v>#NUM!</v>
      </c>
      <c r="P74" s="59"/>
      <c r="Q74" s="59"/>
      <c r="R74" s="59"/>
      <c r="S74" s="59"/>
      <c r="T74" s="12" t="s">
        <v>885</v>
      </c>
      <c r="U74" s="12" t="s">
        <v>886</v>
      </c>
      <c r="V74" s="90"/>
      <c r="W74" s="28"/>
      <c r="X74" s="43"/>
      <c r="Y74" s="28"/>
      <c r="Z74" s="28"/>
      <c r="AA74" s="15"/>
      <c r="AB74" s="15"/>
      <c r="AC74" s="15"/>
      <c r="AD74" s="68"/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882</v>
      </c>
      <c r="C75" s="57"/>
      <c r="D75" s="20" t="s">
        <v>96</v>
      </c>
      <c r="E75" s="10" t="s">
        <v>367</v>
      </c>
      <c r="F75" s="22" t="s">
        <v>148</v>
      </c>
      <c r="G75" s="11" t="s">
        <v>7</v>
      </c>
      <c r="H75" s="98">
        <v>24422070060090</v>
      </c>
      <c r="I75" s="59"/>
      <c r="J75" s="71"/>
      <c r="K75" s="59"/>
      <c r="L75" s="59"/>
      <c r="M75" s="73" t="e">
        <f t="shared" si="6"/>
        <v>#NUM!</v>
      </c>
      <c r="N75" s="23" t="e">
        <f t="shared" si="7"/>
        <v>#NUM!</v>
      </c>
      <c r="O75" s="73" t="e">
        <f t="shared" si="8"/>
        <v>#NUM!</v>
      </c>
      <c r="P75" s="59"/>
      <c r="Q75" s="59"/>
      <c r="R75" s="59"/>
      <c r="S75" s="59"/>
      <c r="T75" s="12" t="s">
        <v>885</v>
      </c>
      <c r="U75" s="12" t="s">
        <v>886</v>
      </c>
      <c r="V75" s="90"/>
      <c r="W75" s="28"/>
      <c r="X75" s="43"/>
      <c r="Y75" s="28"/>
      <c r="Z75" s="28"/>
      <c r="AA75" s="15"/>
      <c r="AB75" s="15"/>
      <c r="AC75" s="15"/>
      <c r="AD75" s="68"/>
      <c r="AE75" s="15"/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883</v>
      </c>
      <c r="C76" s="57"/>
      <c r="D76" s="20" t="s">
        <v>97</v>
      </c>
      <c r="E76" s="10" t="s">
        <v>368</v>
      </c>
      <c r="F76" s="22" t="s">
        <v>148</v>
      </c>
      <c r="G76" s="11" t="s">
        <v>7</v>
      </c>
      <c r="H76" s="98">
        <v>24422070060092</v>
      </c>
      <c r="I76" s="59"/>
      <c r="J76" s="71"/>
      <c r="K76" s="59"/>
      <c r="L76" s="59"/>
      <c r="M76" s="73" t="e">
        <f t="shared" si="6"/>
        <v>#NUM!</v>
      </c>
      <c r="N76" s="23" t="e">
        <f t="shared" si="7"/>
        <v>#NUM!</v>
      </c>
      <c r="O76" s="73" t="e">
        <f t="shared" si="8"/>
        <v>#NUM!</v>
      </c>
      <c r="P76" s="59"/>
      <c r="Q76" s="59"/>
      <c r="R76" s="59"/>
      <c r="S76" s="59"/>
      <c r="T76" s="12" t="s">
        <v>885</v>
      </c>
      <c r="U76" s="12" t="s">
        <v>886</v>
      </c>
      <c r="V76" s="90"/>
      <c r="W76" s="28"/>
      <c r="X76" s="43"/>
      <c r="Y76" s="28"/>
      <c r="Z76" s="28"/>
      <c r="AA76" s="15"/>
      <c r="AB76" s="15"/>
      <c r="AC76" s="15"/>
      <c r="AD76" s="68"/>
      <c r="AE76" s="15"/>
      <c r="AF76" s="15"/>
      <c r="AG76" s="15"/>
      <c r="AH76" s="81"/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83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</row>
    <row r="78" spans="1:46" ht="15.75" customHeight="1" x14ac:dyDescent="0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84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</row>
    <row r="79" spans="1:46" ht="15.75" customHeight="1" x14ac:dyDescent="0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84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</row>
    <row r="80" spans="1:46" ht="15.75" customHeight="1" x14ac:dyDescent="0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84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</row>
    <row r="81" spans="1:46" ht="15.75" customHeight="1" x14ac:dyDescent="0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84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</row>
    <row r="82" spans="1:46" ht="15.75" customHeight="1" x14ac:dyDescent="0.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84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</row>
    <row r="83" spans="1:46" ht="15.75" customHeight="1" x14ac:dyDescent="0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84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</row>
    <row r="84" spans="1:46" ht="15.75" customHeight="1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84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</row>
    <row r="85" spans="1:46" ht="15.75" customHeight="1" x14ac:dyDescent="0.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84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</row>
    <row r="86" spans="1:46" ht="15.75" customHeight="1" x14ac:dyDescent="0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84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84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84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84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84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84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84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84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 t="str">
        <f>SUBSTITUTE(SUBSTITUTE(SUBSTITUTE(SUBSTITUTE(SUBSTITUTE(SUBSTITUTE(SUBSTITUTE(SUBSTITUTE(SUBSTITUTE(SUBSTITUTE(SUBSTITUTE(SUBSTITUTE(K141,"enero","1"),K140,"2"),"marzo","3"),"abril","4"),"mayo","5"),"junio","6"),"julio","7"),"agosto","8"),"septiembre","9"),"octubre","10"),"noviembre","11"),"diciembre","12")</f>
        <v/>
      </c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autoFilter ref="A1:AV88"/>
  <conditionalFormatting sqref="N2:N76">
    <cfRule type="cellIs" dxfId="24" priority="1" operator="greaterThan">
      <formula>5</formula>
    </cfRule>
    <cfRule type="cellIs" dxfId="23" priority="2" operator="lessThan">
      <formula>6</formula>
    </cfRule>
    <cfRule type="cellIs" dxfId="22" priority="4" operator="greaterThan">
      <formula>6</formula>
    </cfRule>
    <cfRule type="cellIs" dxfId="21" priority="5" operator="lessThan">
      <formula>6</formula>
    </cfRule>
  </conditionalFormatting>
  <conditionalFormatting sqref="N1:N1048576">
    <cfRule type="cellIs" dxfId="20" priority="3" operator="greaterThan">
      <formula>6</formula>
    </cfRule>
  </conditionalFormatting>
  <dataValidations count="1">
    <dataValidation type="list" allowBlank="1" showInputMessage="1" showErrorMessage="1" sqref="X2:X76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2" max="48" man="1"/>
    <brk id="76" max="47" man="1"/>
    <brk id="133" max="35" man="1"/>
  </rowBreaks>
  <colBreaks count="2" manualBreakCount="2">
    <brk id="21" max="241" man="1"/>
    <brk id="35" max="241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V2:V76</xm:sqref>
        </x14:dataValidation>
        <x14:dataValidation type="list" allowBlank="1" showInputMessage="1" showErrorMessage="1">
          <x14:formula1>
            <xm:f>CATALOGO!$A$2:$A$100</xm:f>
          </x14:formula1>
          <xm:sqref>W2:W76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50"/>
  <sheetViews>
    <sheetView view="pageBreakPreview" topLeftCell="M1" zoomScale="80" zoomScaleNormal="70" zoomScaleSheetLayoutView="80" workbookViewId="0">
      <pane ySplit="1" topLeftCell="A2" activePane="bottomLeft" state="frozen"/>
      <selection pane="bottomLeft" activeCell="AC77" sqref="AC77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34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882</v>
      </c>
      <c r="C2" s="87"/>
      <c r="D2" s="20" t="s">
        <v>23</v>
      </c>
      <c r="E2" s="31" t="s">
        <v>369</v>
      </c>
      <c r="F2" s="69" t="s">
        <v>149</v>
      </c>
      <c r="G2" s="131" t="s">
        <v>9</v>
      </c>
      <c r="H2" s="135">
        <v>24422070060363</v>
      </c>
      <c r="I2" s="132" t="s">
        <v>863</v>
      </c>
      <c r="J2" s="58" t="s">
        <v>810</v>
      </c>
      <c r="K2" s="58" t="s">
        <v>187</v>
      </c>
      <c r="L2" s="58" t="s">
        <v>770</v>
      </c>
      <c r="M2" s="73">
        <f>DATE(L2,J2,I2)</f>
        <v>46029</v>
      </c>
      <c r="N2" s="23">
        <f>DATEDIF(M2,O2,"m")</f>
        <v>6</v>
      </c>
      <c r="O2" s="73">
        <f>DATE(S2,Q2,P2)</f>
        <v>46210</v>
      </c>
      <c r="P2" s="58" t="s">
        <v>863</v>
      </c>
      <c r="Q2" s="58" t="s">
        <v>863</v>
      </c>
      <c r="R2" s="58" t="s">
        <v>804</v>
      </c>
      <c r="S2" s="58" t="s">
        <v>770</v>
      </c>
      <c r="T2" s="12" t="s">
        <v>885</v>
      </c>
      <c r="U2" s="12" t="s">
        <v>886</v>
      </c>
      <c r="V2" s="90" t="s">
        <v>777</v>
      </c>
      <c r="W2" s="28" t="s">
        <v>724</v>
      </c>
      <c r="X2" s="43" t="s">
        <v>155</v>
      </c>
      <c r="Y2" s="61"/>
      <c r="Z2" s="28">
        <v>1</v>
      </c>
      <c r="AA2" s="28">
        <v>1</v>
      </c>
      <c r="AB2" s="28">
        <v>2</v>
      </c>
      <c r="AC2" s="28">
        <v>2</v>
      </c>
      <c r="AD2" s="66">
        <v>1</v>
      </c>
      <c r="AE2" s="28">
        <v>2</v>
      </c>
      <c r="AF2" s="28">
        <v>2</v>
      </c>
      <c r="AG2" s="28">
        <v>2</v>
      </c>
      <c r="AH2" s="20" t="s">
        <v>870</v>
      </c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882</v>
      </c>
      <c r="C3" s="118">
        <v>4</v>
      </c>
      <c r="D3" s="20" t="s">
        <v>25</v>
      </c>
      <c r="E3" s="31" t="s">
        <v>370</v>
      </c>
      <c r="F3" s="69" t="s">
        <v>149</v>
      </c>
      <c r="G3" s="131" t="s">
        <v>9</v>
      </c>
      <c r="H3" s="135">
        <v>24422070060364</v>
      </c>
      <c r="I3" s="132"/>
      <c r="J3" s="70"/>
      <c r="K3" s="58"/>
      <c r="L3" s="58"/>
      <c r="M3" s="73" t="e">
        <f t="shared" ref="M3:M68" si="0">DATE(L3,J3,I3)</f>
        <v>#NUM!</v>
      </c>
      <c r="N3" s="23" t="e">
        <f>DATEDIF(M3,O3,"m")</f>
        <v>#NUM!</v>
      </c>
      <c r="O3" s="73" t="e">
        <f t="shared" ref="O3:O68" si="1">DATE(S3,Q3,P3)</f>
        <v>#NUM!</v>
      </c>
      <c r="P3" s="58"/>
      <c r="Q3" s="58"/>
      <c r="R3" s="58"/>
      <c r="S3" s="58"/>
      <c r="T3" s="12" t="s">
        <v>885</v>
      </c>
      <c r="U3" s="12" t="s">
        <v>886</v>
      </c>
      <c r="V3" s="90"/>
      <c r="W3" s="28"/>
      <c r="X3" s="43"/>
      <c r="Y3" s="28"/>
      <c r="Z3" s="28"/>
      <c r="AA3" s="28"/>
      <c r="AB3" s="28"/>
      <c r="AC3" s="28"/>
      <c r="AD3" s="66"/>
      <c r="AE3" s="28"/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883</v>
      </c>
      <c r="C4" s="87"/>
      <c r="D4" s="20" t="s">
        <v>26</v>
      </c>
      <c r="E4" s="31" t="s">
        <v>371</v>
      </c>
      <c r="F4" s="69" t="s">
        <v>149</v>
      </c>
      <c r="G4" s="131" t="s">
        <v>9</v>
      </c>
      <c r="H4" s="135">
        <v>24422070060365</v>
      </c>
      <c r="I4" s="132" t="s">
        <v>785</v>
      </c>
      <c r="J4" s="70">
        <v>2</v>
      </c>
      <c r="K4" s="58" t="s">
        <v>798</v>
      </c>
      <c r="L4" s="58" t="s">
        <v>770</v>
      </c>
      <c r="M4" s="73">
        <f t="shared" si="0"/>
        <v>46066</v>
      </c>
      <c r="N4" s="23" t="e">
        <f t="shared" ref="N4:N69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885</v>
      </c>
      <c r="U4" s="12" t="s">
        <v>886</v>
      </c>
      <c r="V4" s="90" t="s">
        <v>777</v>
      </c>
      <c r="W4" s="28" t="s">
        <v>730</v>
      </c>
      <c r="X4" s="43" t="s">
        <v>155</v>
      </c>
      <c r="Y4" s="28"/>
      <c r="Z4" s="28">
        <v>1</v>
      </c>
      <c r="AA4" s="28">
        <v>1</v>
      </c>
      <c r="AB4" s="28">
        <v>2</v>
      </c>
      <c r="AC4" s="28">
        <v>2</v>
      </c>
      <c r="AD4" s="66">
        <v>1</v>
      </c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882</v>
      </c>
      <c r="C5" s="87"/>
      <c r="D5" s="20" t="s">
        <v>27</v>
      </c>
      <c r="E5" s="100" t="s">
        <v>372</v>
      </c>
      <c r="F5" s="69" t="s">
        <v>149</v>
      </c>
      <c r="G5" s="131" t="s">
        <v>9</v>
      </c>
      <c r="H5" s="135">
        <v>24422070830392</v>
      </c>
      <c r="I5" s="132"/>
      <c r="J5" s="58"/>
      <c r="K5" s="58"/>
      <c r="L5" s="58"/>
      <c r="M5" s="73" t="e">
        <f t="shared" si="0"/>
        <v>#NUM!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885</v>
      </c>
      <c r="U5" s="12" t="s">
        <v>886</v>
      </c>
      <c r="V5" s="90"/>
      <c r="W5" s="28"/>
      <c r="X5" s="43"/>
      <c r="Y5" s="28"/>
      <c r="Z5" s="28"/>
      <c r="AA5" s="28"/>
      <c r="AB5" s="28"/>
      <c r="AC5" s="28"/>
      <c r="AD5" s="66"/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883</v>
      </c>
      <c r="C6" s="87"/>
      <c r="D6" s="20" t="s">
        <v>24</v>
      </c>
      <c r="E6" s="31" t="s">
        <v>373</v>
      </c>
      <c r="F6" s="69" t="s">
        <v>149</v>
      </c>
      <c r="G6" s="131" t="s">
        <v>9</v>
      </c>
      <c r="H6" s="135">
        <v>24422070060366</v>
      </c>
      <c r="I6" s="132" t="s">
        <v>769</v>
      </c>
      <c r="J6" s="70">
        <v>2</v>
      </c>
      <c r="K6" s="58" t="s">
        <v>798</v>
      </c>
      <c r="L6" s="58" t="s">
        <v>770</v>
      </c>
      <c r="M6" s="73">
        <f t="shared" si="0"/>
        <v>46069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885</v>
      </c>
      <c r="U6" s="12" t="s">
        <v>886</v>
      </c>
      <c r="V6" s="90" t="s">
        <v>777</v>
      </c>
      <c r="W6" s="28" t="s">
        <v>730</v>
      </c>
      <c r="X6" s="43" t="s">
        <v>155</v>
      </c>
      <c r="Y6" s="28"/>
      <c r="Z6" s="28">
        <v>1</v>
      </c>
      <c r="AA6" s="28">
        <v>1</v>
      </c>
      <c r="AB6" s="28">
        <v>2</v>
      </c>
      <c r="AC6" s="28">
        <v>2</v>
      </c>
      <c r="AD6" s="66">
        <v>1</v>
      </c>
      <c r="AE6" s="28"/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thickBot="1" x14ac:dyDescent="0.3">
      <c r="A7" s="1" t="s">
        <v>126</v>
      </c>
      <c r="B7" s="3" t="s">
        <v>882</v>
      </c>
      <c r="C7" s="118">
        <v>4</v>
      </c>
      <c r="D7" s="20" t="s">
        <v>28</v>
      </c>
      <c r="E7" s="31" t="s">
        <v>374</v>
      </c>
      <c r="F7" s="69" t="s">
        <v>149</v>
      </c>
      <c r="G7" s="131" t="s">
        <v>9</v>
      </c>
      <c r="H7" s="135">
        <v>24422070060369</v>
      </c>
      <c r="I7" s="132"/>
      <c r="J7" s="70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885</v>
      </c>
      <c r="U7" s="12" t="s">
        <v>886</v>
      </c>
      <c r="V7" s="90"/>
      <c r="W7" s="28"/>
      <c r="X7" s="43"/>
      <c r="Y7" s="28"/>
      <c r="Z7" s="28"/>
      <c r="AA7" s="28"/>
      <c r="AB7" s="28"/>
      <c r="AC7" s="28"/>
      <c r="AD7" s="66"/>
      <c r="AE7" s="28"/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883</v>
      </c>
      <c r="C8" s="87"/>
      <c r="D8" s="20" t="s">
        <v>29</v>
      </c>
      <c r="E8" s="31" t="s">
        <v>375</v>
      </c>
      <c r="F8" s="69" t="s">
        <v>149</v>
      </c>
      <c r="G8" s="131" t="s">
        <v>9</v>
      </c>
      <c r="H8" s="135">
        <v>24422070060370</v>
      </c>
      <c r="I8" s="132" t="s">
        <v>769</v>
      </c>
      <c r="J8" s="58" t="s">
        <v>801</v>
      </c>
      <c r="K8" s="58" t="s">
        <v>798</v>
      </c>
      <c r="L8" s="58" t="s">
        <v>770</v>
      </c>
      <c r="M8" s="73">
        <f t="shared" si="0"/>
        <v>46069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885</v>
      </c>
      <c r="U8" s="12" t="s">
        <v>886</v>
      </c>
      <c r="V8" s="90" t="s">
        <v>777</v>
      </c>
      <c r="W8" s="28" t="s">
        <v>730</v>
      </c>
      <c r="X8" s="43" t="s">
        <v>155</v>
      </c>
      <c r="Y8" s="28"/>
      <c r="Z8" s="28">
        <v>1</v>
      </c>
      <c r="AA8" s="28">
        <v>1</v>
      </c>
      <c r="AB8" s="28">
        <v>2</v>
      </c>
      <c r="AC8" s="28">
        <v>2</v>
      </c>
      <c r="AD8" s="66">
        <v>1</v>
      </c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882</v>
      </c>
      <c r="C9" s="118">
        <v>1</v>
      </c>
      <c r="D9" s="20" t="s">
        <v>30</v>
      </c>
      <c r="E9" s="31" t="s">
        <v>376</v>
      </c>
      <c r="F9" s="69" t="s">
        <v>149</v>
      </c>
      <c r="G9" s="131" t="s">
        <v>9</v>
      </c>
      <c r="H9" s="135">
        <v>24422070060371</v>
      </c>
      <c r="I9" s="132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885</v>
      </c>
      <c r="U9" s="12" t="s">
        <v>886</v>
      </c>
      <c r="V9" s="90"/>
      <c r="W9" s="28"/>
      <c r="X9" s="43"/>
      <c r="Y9" s="28"/>
      <c r="Z9" s="28"/>
      <c r="AA9" s="28"/>
      <c r="AB9" s="28"/>
      <c r="AC9" s="28"/>
      <c r="AD9" s="66"/>
      <c r="AE9" s="28"/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882</v>
      </c>
      <c r="C10" s="87"/>
      <c r="D10" s="20" t="s">
        <v>31</v>
      </c>
      <c r="E10" s="31" t="s">
        <v>377</v>
      </c>
      <c r="F10" s="69" t="s">
        <v>149</v>
      </c>
      <c r="G10" s="131" t="s">
        <v>9</v>
      </c>
      <c r="H10" s="135">
        <v>24422070060322</v>
      </c>
      <c r="I10" s="132"/>
      <c r="J10" s="70"/>
      <c r="K10" s="58"/>
      <c r="L10" s="58"/>
      <c r="M10" s="73" t="e">
        <f t="shared" si="0"/>
        <v>#NUM!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885</v>
      </c>
      <c r="U10" s="12" t="s">
        <v>886</v>
      </c>
      <c r="V10" s="90" t="s">
        <v>777</v>
      </c>
      <c r="W10" s="28" t="s">
        <v>175</v>
      </c>
      <c r="X10" s="43" t="s">
        <v>771</v>
      </c>
      <c r="Y10" s="28"/>
      <c r="Z10" s="28">
        <v>2</v>
      </c>
      <c r="AA10" s="28">
        <v>2</v>
      </c>
      <c r="AB10" s="28"/>
      <c r="AC10" s="28"/>
      <c r="AD10" s="66">
        <v>2</v>
      </c>
      <c r="AE10" s="28"/>
      <c r="AF10" s="28"/>
      <c r="AG10" s="28"/>
      <c r="AH10" s="20"/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883</v>
      </c>
      <c r="C11" s="87"/>
      <c r="D11" s="20" t="s">
        <v>32</v>
      </c>
      <c r="E11" s="31" t="s">
        <v>378</v>
      </c>
      <c r="F11" s="69" t="s">
        <v>149</v>
      </c>
      <c r="G11" s="131" t="s">
        <v>9</v>
      </c>
      <c r="H11" s="135">
        <v>24422070060372</v>
      </c>
      <c r="I11" s="132" t="s">
        <v>775</v>
      </c>
      <c r="J11" s="70">
        <v>1</v>
      </c>
      <c r="K11" s="58" t="s">
        <v>187</v>
      </c>
      <c r="L11" s="58" t="s">
        <v>770</v>
      </c>
      <c r="M11" s="73">
        <f t="shared" si="0"/>
        <v>46034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885</v>
      </c>
      <c r="U11" s="12" t="s">
        <v>886</v>
      </c>
      <c r="V11" s="90" t="s">
        <v>165</v>
      </c>
      <c r="W11" s="28" t="s">
        <v>894</v>
      </c>
      <c r="X11" s="43" t="s">
        <v>155</v>
      </c>
      <c r="Y11" s="28"/>
      <c r="Z11" s="28">
        <v>2</v>
      </c>
      <c r="AA11" s="28">
        <v>2</v>
      </c>
      <c r="AB11" s="28">
        <v>2</v>
      </c>
      <c r="AC11" s="28">
        <v>2</v>
      </c>
      <c r="AD11" s="66">
        <v>2</v>
      </c>
      <c r="AE11" s="28">
        <v>2</v>
      </c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883</v>
      </c>
      <c r="C12" s="87"/>
      <c r="D12" s="20" t="s">
        <v>33</v>
      </c>
      <c r="E12" s="31" t="s">
        <v>379</v>
      </c>
      <c r="F12" s="69" t="s">
        <v>149</v>
      </c>
      <c r="G12" s="131" t="s">
        <v>9</v>
      </c>
      <c r="H12" s="135">
        <v>24422070060373</v>
      </c>
      <c r="I12" s="132"/>
      <c r="J12" s="70"/>
      <c r="K12" s="58"/>
      <c r="L12" s="58"/>
      <c r="M12" s="73" t="e">
        <f t="shared" si="0"/>
        <v>#NUM!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885</v>
      </c>
      <c r="U12" s="12" t="s">
        <v>886</v>
      </c>
      <c r="V12" s="90" t="s">
        <v>165</v>
      </c>
      <c r="W12" s="28" t="s">
        <v>895</v>
      </c>
      <c r="X12" s="43" t="s">
        <v>155</v>
      </c>
      <c r="Y12" s="28"/>
      <c r="Z12" s="28">
        <v>1</v>
      </c>
      <c r="AA12" s="28">
        <v>1</v>
      </c>
      <c r="AB12" s="28">
        <v>1</v>
      </c>
      <c r="AC12" s="28">
        <v>1</v>
      </c>
      <c r="AD12" s="66">
        <v>1</v>
      </c>
      <c r="AE12" s="28"/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883</v>
      </c>
      <c r="C13" s="87"/>
      <c r="D13" s="20" t="s">
        <v>34</v>
      </c>
      <c r="E13" s="31" t="s">
        <v>380</v>
      </c>
      <c r="F13" s="69" t="s">
        <v>149</v>
      </c>
      <c r="G13" s="131" t="s">
        <v>9</v>
      </c>
      <c r="H13" s="135">
        <v>24422070060425</v>
      </c>
      <c r="I13" s="132"/>
      <c r="J13" s="58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885</v>
      </c>
      <c r="U13" s="12" t="s">
        <v>886</v>
      </c>
      <c r="V13" s="90" t="s">
        <v>777</v>
      </c>
      <c r="W13" s="28" t="s">
        <v>800</v>
      </c>
      <c r="X13" s="43" t="s">
        <v>155</v>
      </c>
      <c r="Y13" s="28"/>
      <c r="Z13" s="28">
        <v>1</v>
      </c>
      <c r="AA13" s="28">
        <v>1</v>
      </c>
      <c r="AB13" s="28"/>
      <c r="AC13" s="28"/>
      <c r="AD13" s="66">
        <v>1</v>
      </c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882</v>
      </c>
      <c r="C14" s="87"/>
      <c r="D14" s="20" t="s">
        <v>35</v>
      </c>
      <c r="E14" s="31" t="s">
        <v>381</v>
      </c>
      <c r="F14" s="69" t="s">
        <v>149</v>
      </c>
      <c r="G14" s="131" t="s">
        <v>9</v>
      </c>
      <c r="H14" s="135">
        <v>24422070060375</v>
      </c>
      <c r="I14" s="132"/>
      <c r="J14" s="58"/>
      <c r="K14" s="58"/>
      <c r="L14" s="58"/>
      <c r="M14" s="73" t="e">
        <f t="shared" si="0"/>
        <v>#NUM!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885</v>
      </c>
      <c r="U14" s="12" t="s">
        <v>886</v>
      </c>
      <c r="V14" s="90"/>
      <c r="W14" s="28"/>
      <c r="X14" s="43"/>
      <c r="Y14" s="28"/>
      <c r="Z14" s="28"/>
      <c r="AA14" s="28"/>
      <c r="AB14" s="28"/>
      <c r="AC14" s="28"/>
      <c r="AD14" s="66"/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882</v>
      </c>
      <c r="C15" s="87"/>
      <c r="D15" s="20" t="s">
        <v>36</v>
      </c>
      <c r="E15" s="31" t="s">
        <v>382</v>
      </c>
      <c r="F15" s="69" t="s">
        <v>149</v>
      </c>
      <c r="G15" s="131" t="s">
        <v>9</v>
      </c>
      <c r="H15" s="135">
        <v>24422070060427</v>
      </c>
      <c r="I15" s="132"/>
      <c r="J15" s="70"/>
      <c r="K15" s="58"/>
      <c r="L15" s="58"/>
      <c r="M15" s="73" t="e">
        <f t="shared" si="0"/>
        <v>#NUM!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885</v>
      </c>
      <c r="U15" s="12" t="s">
        <v>886</v>
      </c>
      <c r="V15" s="90"/>
      <c r="W15" s="28"/>
      <c r="X15" s="43"/>
      <c r="Y15" s="28"/>
      <c r="Z15" s="28"/>
      <c r="AA15" s="28"/>
      <c r="AB15" s="28"/>
      <c r="AC15" s="28"/>
      <c r="AD15" s="66"/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882</v>
      </c>
      <c r="C16" s="118">
        <v>2</v>
      </c>
      <c r="D16" s="20" t="s">
        <v>37</v>
      </c>
      <c r="E16" s="31" t="s">
        <v>383</v>
      </c>
      <c r="F16" s="69" t="s">
        <v>149</v>
      </c>
      <c r="G16" s="131" t="s">
        <v>9</v>
      </c>
      <c r="H16" s="135">
        <v>24422070060376</v>
      </c>
      <c r="I16" s="132"/>
      <c r="J16" s="70"/>
      <c r="K16" s="58"/>
      <c r="L16" s="58"/>
      <c r="M16" s="73" t="e">
        <f t="shared" si="0"/>
        <v>#NUM!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885</v>
      </c>
      <c r="U16" s="12" t="s">
        <v>886</v>
      </c>
      <c r="V16" s="90"/>
      <c r="W16" s="28"/>
      <c r="X16" s="43"/>
      <c r="Y16" s="28"/>
      <c r="Z16" s="28"/>
      <c r="AA16" s="28"/>
      <c r="AB16" s="28"/>
      <c r="AC16" s="28"/>
      <c r="AD16" s="66"/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883</v>
      </c>
      <c r="C17" s="87"/>
      <c r="D17" s="20" t="s">
        <v>38</v>
      </c>
      <c r="E17" s="31" t="s">
        <v>384</v>
      </c>
      <c r="F17" s="69" t="s">
        <v>149</v>
      </c>
      <c r="G17" s="131" t="s">
        <v>9</v>
      </c>
      <c r="H17" s="135">
        <v>24422070060377</v>
      </c>
      <c r="I17" s="132"/>
      <c r="J17" s="58"/>
      <c r="K17" s="58"/>
      <c r="L17" s="58"/>
      <c r="M17" s="73" t="e">
        <f t="shared" si="0"/>
        <v>#NUM!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885</v>
      </c>
      <c r="U17" s="12" t="s">
        <v>886</v>
      </c>
      <c r="V17" s="90"/>
      <c r="W17" s="28"/>
      <c r="X17" s="43"/>
      <c r="Y17" s="28"/>
      <c r="Z17" s="28"/>
      <c r="AA17" s="28"/>
      <c r="AB17" s="28"/>
      <c r="AC17" s="28"/>
      <c r="AD17" s="66"/>
      <c r="AE17" s="28"/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882</v>
      </c>
      <c r="C18" s="87"/>
      <c r="D18" s="20" t="s">
        <v>39</v>
      </c>
      <c r="E18" s="31" t="s">
        <v>385</v>
      </c>
      <c r="F18" s="69" t="s">
        <v>149</v>
      </c>
      <c r="G18" s="131" t="s">
        <v>9</v>
      </c>
      <c r="H18" s="135">
        <v>24422070060378</v>
      </c>
      <c r="I18" s="132" t="s">
        <v>789</v>
      </c>
      <c r="J18" s="70">
        <v>1</v>
      </c>
      <c r="K18" s="58" t="s">
        <v>187</v>
      </c>
      <c r="L18" s="58" t="s">
        <v>770</v>
      </c>
      <c r="M18" s="73">
        <f t="shared" si="0"/>
        <v>46041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885</v>
      </c>
      <c r="U18" s="12" t="s">
        <v>886</v>
      </c>
      <c r="V18" s="90" t="s">
        <v>777</v>
      </c>
      <c r="W18" s="28" t="s">
        <v>748</v>
      </c>
      <c r="X18" s="43" t="s">
        <v>155</v>
      </c>
      <c r="Y18" s="28"/>
      <c r="Z18" s="28">
        <v>1</v>
      </c>
      <c r="AA18" s="28">
        <v>1</v>
      </c>
      <c r="AB18" s="28">
        <v>1</v>
      </c>
      <c r="AC18" s="28">
        <v>1</v>
      </c>
      <c r="AD18" s="66">
        <v>1</v>
      </c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3" t="s">
        <v>882</v>
      </c>
      <c r="C19" s="87"/>
      <c r="D19" s="20" t="s">
        <v>40</v>
      </c>
      <c r="E19" s="31" t="s">
        <v>386</v>
      </c>
      <c r="F19" s="69" t="s">
        <v>149</v>
      </c>
      <c r="G19" s="131" t="s">
        <v>9</v>
      </c>
      <c r="H19" s="135">
        <v>24422070060379</v>
      </c>
      <c r="I19" s="132" t="s">
        <v>780</v>
      </c>
      <c r="J19" s="70">
        <v>2</v>
      </c>
      <c r="K19" s="58" t="s">
        <v>798</v>
      </c>
      <c r="L19" s="58" t="s">
        <v>770</v>
      </c>
      <c r="M19" s="73">
        <f t="shared" si="0"/>
        <v>46056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885</v>
      </c>
      <c r="U19" s="12" t="s">
        <v>886</v>
      </c>
      <c r="V19" s="90" t="s">
        <v>777</v>
      </c>
      <c r="W19" s="28" t="s">
        <v>175</v>
      </c>
      <c r="X19" s="43" t="s">
        <v>771</v>
      </c>
      <c r="Y19" s="28"/>
      <c r="Z19" s="28">
        <v>1</v>
      </c>
      <c r="AA19" s="28">
        <v>1</v>
      </c>
      <c r="AB19" s="28">
        <v>2</v>
      </c>
      <c r="AC19" s="28">
        <v>2</v>
      </c>
      <c r="AD19" s="66">
        <v>1</v>
      </c>
      <c r="AE19" s="28"/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3" t="s">
        <v>882</v>
      </c>
      <c r="C20" s="118">
        <v>1</v>
      </c>
      <c r="D20" s="20" t="s">
        <v>41</v>
      </c>
      <c r="E20" s="31" t="s">
        <v>387</v>
      </c>
      <c r="F20" s="69" t="s">
        <v>149</v>
      </c>
      <c r="G20" s="131" t="s">
        <v>9</v>
      </c>
      <c r="H20" s="135">
        <v>24422070060380</v>
      </c>
      <c r="I20" s="132"/>
      <c r="J20" s="58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885</v>
      </c>
      <c r="U20" s="12" t="s">
        <v>886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3" t="s">
        <v>882</v>
      </c>
      <c r="C21" s="87"/>
      <c r="D21" s="20" t="s">
        <v>42</v>
      </c>
      <c r="E21" s="31" t="s">
        <v>388</v>
      </c>
      <c r="F21" s="69" t="s">
        <v>149</v>
      </c>
      <c r="G21" s="131" t="s">
        <v>9</v>
      </c>
      <c r="H21" s="135">
        <v>24422070060381</v>
      </c>
      <c r="I21" s="132" t="s">
        <v>769</v>
      </c>
      <c r="J21" s="70">
        <v>2</v>
      </c>
      <c r="K21" s="58" t="s">
        <v>798</v>
      </c>
      <c r="L21" s="58" t="s">
        <v>770</v>
      </c>
      <c r="M21" s="73">
        <f t="shared" si="0"/>
        <v>46069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885</v>
      </c>
      <c r="U21" s="12" t="s">
        <v>886</v>
      </c>
      <c r="V21" s="90" t="s">
        <v>165</v>
      </c>
      <c r="W21" s="28" t="s">
        <v>894</v>
      </c>
      <c r="X21" s="43" t="s">
        <v>155</v>
      </c>
      <c r="Y21" s="28" t="s">
        <v>809</v>
      </c>
      <c r="Z21" s="28">
        <v>1</v>
      </c>
      <c r="AA21" s="28">
        <v>1</v>
      </c>
      <c r="AB21" s="28">
        <v>1</v>
      </c>
      <c r="AC21" s="28">
        <v>1</v>
      </c>
      <c r="AD21" s="66">
        <v>1</v>
      </c>
      <c r="AE21" s="28"/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882</v>
      </c>
      <c r="C22" s="87"/>
      <c r="D22" s="20" t="s">
        <v>43</v>
      </c>
      <c r="E22" s="31" t="s">
        <v>389</v>
      </c>
      <c r="F22" s="69" t="s">
        <v>149</v>
      </c>
      <c r="G22" s="131" t="s">
        <v>9</v>
      </c>
      <c r="H22" s="135">
        <v>24422070060384</v>
      </c>
      <c r="I22" s="132" t="s">
        <v>789</v>
      </c>
      <c r="J22" s="70">
        <v>1</v>
      </c>
      <c r="K22" s="58" t="s">
        <v>187</v>
      </c>
      <c r="L22" s="58" t="s">
        <v>770</v>
      </c>
      <c r="M22" s="73">
        <f t="shared" si="0"/>
        <v>46041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885</v>
      </c>
      <c r="U22" s="12" t="s">
        <v>886</v>
      </c>
      <c r="V22" s="90" t="s">
        <v>777</v>
      </c>
      <c r="W22" s="28" t="s">
        <v>175</v>
      </c>
      <c r="X22" s="43" t="s">
        <v>771</v>
      </c>
      <c r="Y22" s="28"/>
      <c r="Z22" s="28">
        <v>1</v>
      </c>
      <c r="AA22" s="28">
        <v>1</v>
      </c>
      <c r="AB22" s="28">
        <v>1</v>
      </c>
      <c r="AC22" s="28">
        <v>1</v>
      </c>
      <c r="AD22" s="66">
        <v>1</v>
      </c>
      <c r="AE22" s="28">
        <v>2</v>
      </c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882</v>
      </c>
      <c r="C23" s="87"/>
      <c r="D23" s="20" t="s">
        <v>44</v>
      </c>
      <c r="E23" s="31" t="s">
        <v>390</v>
      </c>
      <c r="F23" s="69" t="s">
        <v>149</v>
      </c>
      <c r="G23" s="131" t="s">
        <v>9</v>
      </c>
      <c r="H23" s="135">
        <v>24422070060430</v>
      </c>
      <c r="I23" s="132"/>
      <c r="J23" s="70"/>
      <c r="K23" s="58"/>
      <c r="L23" s="58"/>
      <c r="M23" s="73" t="e">
        <f t="shared" si="0"/>
        <v>#NUM!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885</v>
      </c>
      <c r="U23" s="12" t="s">
        <v>886</v>
      </c>
      <c r="V23" s="90"/>
      <c r="W23" s="28"/>
      <c r="X23" s="43"/>
      <c r="Y23" s="28"/>
      <c r="Z23" s="28"/>
      <c r="AA23" s="28"/>
      <c r="AB23" s="28"/>
      <c r="AC23" s="28"/>
      <c r="AD23" s="66"/>
      <c r="AE23" s="28"/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883</v>
      </c>
      <c r="C24" s="118">
        <v>1</v>
      </c>
      <c r="D24" s="20" t="s">
        <v>45</v>
      </c>
      <c r="E24" s="31" t="s">
        <v>391</v>
      </c>
      <c r="F24" s="69" t="s">
        <v>149</v>
      </c>
      <c r="G24" s="131" t="s">
        <v>9</v>
      </c>
      <c r="H24" s="135">
        <v>24422070060385</v>
      </c>
      <c r="I24" s="132"/>
      <c r="J24" s="70"/>
      <c r="K24" s="58"/>
      <c r="L24" s="58"/>
      <c r="M24" s="73" t="e">
        <f t="shared" si="0"/>
        <v>#NUM!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885</v>
      </c>
      <c r="U24" s="12" t="s">
        <v>886</v>
      </c>
      <c r="V24" s="90"/>
      <c r="W24" s="28"/>
      <c r="X24" s="43"/>
      <c r="Y24" s="28"/>
      <c r="Z24" s="28"/>
      <c r="AA24" s="28"/>
      <c r="AB24" s="28"/>
      <c r="AC24" s="28"/>
      <c r="AD24" s="66"/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882</v>
      </c>
      <c r="C25" s="87"/>
      <c r="D25" s="20" t="s">
        <v>46</v>
      </c>
      <c r="E25" s="31" t="s">
        <v>392</v>
      </c>
      <c r="F25" s="69" t="s">
        <v>149</v>
      </c>
      <c r="G25" s="131" t="s">
        <v>9</v>
      </c>
      <c r="H25" s="135">
        <v>24422070060386</v>
      </c>
      <c r="I25" s="132" t="s">
        <v>781</v>
      </c>
      <c r="J25" s="58" t="s">
        <v>801</v>
      </c>
      <c r="K25" s="58" t="s">
        <v>798</v>
      </c>
      <c r="L25" s="58" t="s">
        <v>770</v>
      </c>
      <c r="M25" s="73">
        <f t="shared" si="0"/>
        <v>46057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885</v>
      </c>
      <c r="U25" s="12" t="s">
        <v>886</v>
      </c>
      <c r="V25" s="90" t="s">
        <v>777</v>
      </c>
      <c r="W25" s="28" t="s">
        <v>161</v>
      </c>
      <c r="X25" s="43" t="s">
        <v>155</v>
      </c>
      <c r="Y25" s="28" t="s">
        <v>802</v>
      </c>
      <c r="Z25" s="28">
        <v>1</v>
      </c>
      <c r="AA25" s="28">
        <v>1</v>
      </c>
      <c r="AB25" s="28">
        <v>1</v>
      </c>
      <c r="AC25" s="28">
        <v>1</v>
      </c>
      <c r="AD25" s="66">
        <v>1</v>
      </c>
      <c r="AE25" s="28"/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883</v>
      </c>
      <c r="C26" s="87"/>
      <c r="D26" s="20" t="s">
        <v>47</v>
      </c>
      <c r="E26" s="31" t="s">
        <v>393</v>
      </c>
      <c r="F26" s="69" t="s">
        <v>149</v>
      </c>
      <c r="G26" s="131" t="s">
        <v>9</v>
      </c>
      <c r="H26" s="135">
        <v>24422070060388</v>
      </c>
      <c r="I26" s="132" t="s">
        <v>769</v>
      </c>
      <c r="J26" s="58" t="s">
        <v>779</v>
      </c>
      <c r="K26" s="58" t="s">
        <v>798</v>
      </c>
      <c r="L26" s="58" t="s">
        <v>770</v>
      </c>
      <c r="M26" s="73">
        <f t="shared" si="0"/>
        <v>46069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885</v>
      </c>
      <c r="U26" s="12" t="s">
        <v>886</v>
      </c>
      <c r="V26" s="90" t="s">
        <v>165</v>
      </c>
      <c r="W26" s="28" t="s">
        <v>896</v>
      </c>
      <c r="X26" s="43" t="s">
        <v>155</v>
      </c>
      <c r="Y26" s="28" t="s">
        <v>162</v>
      </c>
      <c r="Z26" s="28">
        <v>1</v>
      </c>
      <c r="AA26" s="28">
        <v>1</v>
      </c>
      <c r="AB26" s="28">
        <v>2</v>
      </c>
      <c r="AC26" s="28">
        <v>2</v>
      </c>
      <c r="AD26" s="66">
        <v>1</v>
      </c>
      <c r="AE26" s="28"/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883</v>
      </c>
      <c r="C27" s="87"/>
      <c r="D27" s="20" t="s">
        <v>48</v>
      </c>
      <c r="E27" s="31" t="s">
        <v>394</v>
      </c>
      <c r="F27" s="69" t="s">
        <v>149</v>
      </c>
      <c r="G27" s="131" t="s">
        <v>9</v>
      </c>
      <c r="H27" s="135">
        <v>24422070060232</v>
      </c>
      <c r="I27" s="132" t="s">
        <v>781</v>
      </c>
      <c r="J27" s="70">
        <v>2</v>
      </c>
      <c r="K27" s="58" t="s">
        <v>798</v>
      </c>
      <c r="L27" s="58" t="s">
        <v>770</v>
      </c>
      <c r="M27" s="73">
        <f t="shared" si="0"/>
        <v>46057</v>
      </c>
      <c r="N27" s="23" t="e">
        <f t="shared" si="2"/>
        <v>#NUM!</v>
      </c>
      <c r="O27" s="73" t="e">
        <f t="shared" si="1"/>
        <v>#NUM!</v>
      </c>
      <c r="P27" s="58"/>
      <c r="Q27" s="58"/>
      <c r="R27" s="58"/>
      <c r="S27" s="58"/>
      <c r="T27" s="12" t="s">
        <v>885</v>
      </c>
      <c r="U27" s="12" t="s">
        <v>886</v>
      </c>
      <c r="V27" s="90" t="s">
        <v>777</v>
      </c>
      <c r="W27" s="28" t="s">
        <v>161</v>
      </c>
      <c r="X27" s="43" t="s">
        <v>155</v>
      </c>
      <c r="Y27" s="28" t="s">
        <v>803</v>
      </c>
      <c r="Z27" s="28">
        <v>1</v>
      </c>
      <c r="AA27" s="28">
        <v>1</v>
      </c>
      <c r="AB27" s="28">
        <v>1</v>
      </c>
      <c r="AC27" s="28">
        <v>1</v>
      </c>
      <c r="AD27" s="66">
        <v>1</v>
      </c>
      <c r="AE27" s="28">
        <v>2</v>
      </c>
      <c r="AF27" s="28"/>
      <c r="AG27" s="28"/>
      <c r="AH27" s="20"/>
      <c r="AI27" s="28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882</v>
      </c>
      <c r="C28" s="87"/>
      <c r="D28" s="20" t="s">
        <v>49</v>
      </c>
      <c r="E28" s="31" t="s">
        <v>395</v>
      </c>
      <c r="F28" s="69" t="s">
        <v>149</v>
      </c>
      <c r="G28" s="131" t="s">
        <v>9</v>
      </c>
      <c r="H28" s="135">
        <v>24422070060390</v>
      </c>
      <c r="I28" s="132" t="s">
        <v>792</v>
      </c>
      <c r="J28" s="58" t="s">
        <v>157</v>
      </c>
      <c r="K28" s="58" t="s">
        <v>187</v>
      </c>
      <c r="L28" s="58" t="s">
        <v>770</v>
      </c>
      <c r="M28" s="73">
        <f t="shared" si="0"/>
        <v>46048</v>
      </c>
      <c r="N28" s="23" t="e">
        <f t="shared" si="2"/>
        <v>#NUM!</v>
      </c>
      <c r="O28" s="73" t="e">
        <f t="shared" si="1"/>
        <v>#NUM!</v>
      </c>
      <c r="P28" s="58"/>
      <c r="Q28" s="58"/>
      <c r="R28" s="58"/>
      <c r="S28" s="58"/>
      <c r="T28" s="12" t="s">
        <v>885</v>
      </c>
      <c r="U28" s="12" t="s">
        <v>886</v>
      </c>
      <c r="V28" s="90" t="s">
        <v>777</v>
      </c>
      <c r="W28" s="28" t="s">
        <v>174</v>
      </c>
      <c r="X28" s="43" t="s">
        <v>771</v>
      </c>
      <c r="Y28" s="28"/>
      <c r="Z28" s="28">
        <v>1</v>
      </c>
      <c r="AA28" s="28">
        <v>1</v>
      </c>
      <c r="AB28" s="28">
        <v>1</v>
      </c>
      <c r="AC28" s="28">
        <v>1</v>
      </c>
      <c r="AD28" s="66">
        <v>1</v>
      </c>
      <c r="AE28" s="28"/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882</v>
      </c>
      <c r="C29" s="87"/>
      <c r="D29" s="20" t="s">
        <v>50</v>
      </c>
      <c r="E29" s="31" t="s">
        <v>396</v>
      </c>
      <c r="F29" s="69" t="s">
        <v>149</v>
      </c>
      <c r="G29" s="131" t="s">
        <v>9</v>
      </c>
      <c r="H29" s="135">
        <v>24422070060391</v>
      </c>
      <c r="I29" s="132" t="s">
        <v>869</v>
      </c>
      <c r="J29" s="70">
        <v>2</v>
      </c>
      <c r="K29" s="58" t="s">
        <v>798</v>
      </c>
      <c r="L29" s="58" t="s">
        <v>770</v>
      </c>
      <c r="M29" s="73">
        <f t="shared" si="0"/>
        <v>46077</v>
      </c>
      <c r="N29" s="23" t="e">
        <f t="shared" si="2"/>
        <v>#NUM!</v>
      </c>
      <c r="O29" s="73" t="e">
        <f t="shared" si="1"/>
        <v>#NUM!</v>
      </c>
      <c r="P29" s="58"/>
      <c r="Q29" s="58"/>
      <c r="R29" s="58"/>
      <c r="S29" s="58"/>
      <c r="T29" s="12" t="s">
        <v>885</v>
      </c>
      <c r="U29" s="12" t="s">
        <v>886</v>
      </c>
      <c r="V29" s="90" t="s">
        <v>777</v>
      </c>
      <c r="W29" s="28" t="s">
        <v>742</v>
      </c>
      <c r="X29" s="43" t="s">
        <v>771</v>
      </c>
      <c r="Y29" s="28"/>
      <c r="Z29" s="28">
        <v>1</v>
      </c>
      <c r="AA29" s="28">
        <v>1</v>
      </c>
      <c r="AB29" s="28"/>
      <c r="AC29" s="28">
        <v>2</v>
      </c>
      <c r="AD29" s="66">
        <v>1</v>
      </c>
      <c r="AE29" s="28"/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882</v>
      </c>
      <c r="C30" s="87"/>
      <c r="D30" s="20" t="s">
        <v>51</v>
      </c>
      <c r="E30" s="31" t="s">
        <v>397</v>
      </c>
      <c r="F30" s="69" t="s">
        <v>149</v>
      </c>
      <c r="G30" s="131" t="s">
        <v>9</v>
      </c>
      <c r="H30" s="135">
        <v>24422070060437</v>
      </c>
      <c r="I30" s="133" t="s">
        <v>864</v>
      </c>
      <c r="J30" s="71">
        <v>3</v>
      </c>
      <c r="K30" s="59" t="s">
        <v>837</v>
      </c>
      <c r="L30" s="59" t="s">
        <v>770</v>
      </c>
      <c r="M30" s="73">
        <f t="shared" si="0"/>
        <v>46090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885</v>
      </c>
      <c r="U30" s="12" t="s">
        <v>886</v>
      </c>
      <c r="V30" s="90" t="s">
        <v>777</v>
      </c>
      <c r="W30" s="28" t="s">
        <v>175</v>
      </c>
      <c r="X30" s="43" t="s">
        <v>771</v>
      </c>
      <c r="Y30" s="28"/>
      <c r="Z30" s="28">
        <v>1</v>
      </c>
      <c r="AA30" s="28">
        <v>1</v>
      </c>
      <c r="AB30" s="28">
        <v>2</v>
      </c>
      <c r="AC30" s="28">
        <v>2</v>
      </c>
      <c r="AD30" s="66">
        <v>1</v>
      </c>
      <c r="AE30" s="28"/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882</v>
      </c>
      <c r="C31" s="118">
        <v>1</v>
      </c>
      <c r="D31" s="20" t="s">
        <v>52</v>
      </c>
      <c r="E31" s="31" t="s">
        <v>398</v>
      </c>
      <c r="F31" s="69" t="s">
        <v>149</v>
      </c>
      <c r="G31" s="131" t="s">
        <v>9</v>
      </c>
      <c r="H31" s="135">
        <v>24422070060593</v>
      </c>
      <c r="I31" s="133"/>
      <c r="J31" s="71"/>
      <c r="K31" s="59"/>
      <c r="L31" s="59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9"/>
      <c r="Q31" s="59"/>
      <c r="R31" s="59"/>
      <c r="S31" s="59"/>
      <c r="T31" s="12" t="s">
        <v>885</v>
      </c>
      <c r="U31" s="12" t="s">
        <v>886</v>
      </c>
      <c r="V31" s="90"/>
      <c r="W31" s="28"/>
      <c r="X31" s="43"/>
      <c r="Y31" s="38"/>
      <c r="Z31" s="38"/>
      <c r="AA31" s="28"/>
      <c r="AB31" s="28"/>
      <c r="AC31" s="28"/>
      <c r="AD31" s="66"/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883</v>
      </c>
      <c r="C32" s="87"/>
      <c r="D32" s="20" t="s">
        <v>53</v>
      </c>
      <c r="E32" s="31" t="s">
        <v>399</v>
      </c>
      <c r="F32" s="69" t="s">
        <v>149</v>
      </c>
      <c r="G32" s="131" t="s">
        <v>9</v>
      </c>
      <c r="H32" s="135">
        <v>24422070060393</v>
      </c>
      <c r="I32" s="133" t="s">
        <v>791</v>
      </c>
      <c r="J32" s="71">
        <v>1</v>
      </c>
      <c r="K32" s="59" t="s">
        <v>187</v>
      </c>
      <c r="L32" s="59" t="s">
        <v>770</v>
      </c>
      <c r="M32" s="73">
        <f t="shared" si="0"/>
        <v>46045</v>
      </c>
      <c r="N32" s="23" t="e">
        <f t="shared" si="2"/>
        <v>#NUM!</v>
      </c>
      <c r="O32" s="73" t="e">
        <f t="shared" si="1"/>
        <v>#NUM!</v>
      </c>
      <c r="P32" s="59"/>
      <c r="Q32" s="59"/>
      <c r="R32" s="59"/>
      <c r="S32" s="59"/>
      <c r="T32" s="12" t="s">
        <v>885</v>
      </c>
      <c r="U32" s="12" t="s">
        <v>886</v>
      </c>
      <c r="V32" s="90" t="s">
        <v>777</v>
      </c>
      <c r="W32" s="28" t="s">
        <v>201</v>
      </c>
      <c r="X32" s="43" t="s">
        <v>155</v>
      </c>
      <c r="Y32" s="28"/>
      <c r="Z32" s="28">
        <v>1</v>
      </c>
      <c r="AA32" s="28">
        <v>1</v>
      </c>
      <c r="AB32" s="28">
        <v>2</v>
      </c>
      <c r="AC32" s="28">
        <v>2</v>
      </c>
      <c r="AD32" s="66">
        <v>1</v>
      </c>
      <c r="AE32" s="28"/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882</v>
      </c>
      <c r="C33" s="118">
        <v>2</v>
      </c>
      <c r="D33" s="20" t="s">
        <v>54</v>
      </c>
      <c r="E33" s="31" t="s">
        <v>400</v>
      </c>
      <c r="F33" s="69" t="s">
        <v>149</v>
      </c>
      <c r="G33" s="131" t="s">
        <v>9</v>
      </c>
      <c r="H33" s="135">
        <v>24422070060394</v>
      </c>
      <c r="I33" s="133"/>
      <c r="J33" s="71"/>
      <c r="K33" s="59"/>
      <c r="L33" s="59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9"/>
      <c r="Q33" s="59"/>
      <c r="R33" s="59"/>
      <c r="S33" s="59"/>
      <c r="T33" s="12" t="s">
        <v>885</v>
      </c>
      <c r="U33" s="12" t="s">
        <v>886</v>
      </c>
      <c r="V33" s="90"/>
      <c r="W33" s="28"/>
      <c r="X33" s="43"/>
      <c r="Y33" s="28"/>
      <c r="Z33" s="28"/>
      <c r="AA33" s="28"/>
      <c r="AB33" s="28"/>
      <c r="AC33" s="28"/>
      <c r="AD33" s="66"/>
      <c r="AE33" s="28"/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882</v>
      </c>
      <c r="C34" s="118">
        <v>1</v>
      </c>
      <c r="D34" s="20" t="s">
        <v>55</v>
      </c>
      <c r="E34" s="31" t="s">
        <v>401</v>
      </c>
      <c r="F34" s="69" t="s">
        <v>149</v>
      </c>
      <c r="G34" s="131" t="s">
        <v>9</v>
      </c>
      <c r="H34" s="135">
        <v>24422070060395</v>
      </c>
      <c r="I34" s="132"/>
      <c r="J34" s="70"/>
      <c r="K34" s="58"/>
      <c r="L34" s="58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885</v>
      </c>
      <c r="U34" s="12" t="s">
        <v>886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17</v>
      </c>
      <c r="B35" s="54" t="s">
        <v>883</v>
      </c>
      <c r="C35" s="57"/>
      <c r="D35" s="44" t="s">
        <v>95</v>
      </c>
      <c r="E35" s="31" t="s">
        <v>441</v>
      </c>
      <c r="F35" s="69" t="s">
        <v>149</v>
      </c>
      <c r="G35" s="131" t="s">
        <v>9</v>
      </c>
      <c r="H35" s="138">
        <v>24422070060442</v>
      </c>
      <c r="I35" s="133"/>
      <c r="J35" s="71"/>
      <c r="K35" s="59"/>
      <c r="L35" s="59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9"/>
      <c r="Q35" s="59"/>
      <c r="R35" s="59"/>
      <c r="S35" s="59"/>
      <c r="T35" s="12" t="s">
        <v>885</v>
      </c>
      <c r="U35" s="12" t="s">
        <v>886</v>
      </c>
      <c r="V35" s="90"/>
      <c r="W35" s="28"/>
      <c r="X35" s="43"/>
      <c r="Y35" s="28"/>
      <c r="Z35" s="28"/>
      <c r="AA35" s="15"/>
      <c r="AB35" s="15"/>
      <c r="AC35" s="15"/>
      <c r="AD35" s="68"/>
      <c r="AE35" s="15"/>
      <c r="AF35" s="15"/>
      <c r="AG35" s="15"/>
      <c r="AH35" s="81"/>
      <c r="AI35" s="15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883</v>
      </c>
      <c r="C36" s="87"/>
      <c r="D36" s="20" t="s">
        <v>56</v>
      </c>
      <c r="E36" s="31" t="s">
        <v>402</v>
      </c>
      <c r="F36" s="69" t="s">
        <v>149</v>
      </c>
      <c r="G36" s="131" t="s">
        <v>9</v>
      </c>
      <c r="H36" s="135">
        <v>24422070060396</v>
      </c>
      <c r="I36" s="132" t="s">
        <v>769</v>
      </c>
      <c r="J36" s="70">
        <v>2</v>
      </c>
      <c r="K36" s="58" t="s">
        <v>798</v>
      </c>
      <c r="L36" s="58" t="s">
        <v>770</v>
      </c>
      <c r="M36" s="73">
        <f t="shared" si="0"/>
        <v>46069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885</v>
      </c>
      <c r="U36" s="12" t="s">
        <v>886</v>
      </c>
      <c r="V36" s="90" t="s">
        <v>777</v>
      </c>
      <c r="W36" s="28" t="s">
        <v>797</v>
      </c>
      <c r="X36" s="43" t="s">
        <v>155</v>
      </c>
      <c r="Y36" s="28"/>
      <c r="Z36" s="28">
        <v>1</v>
      </c>
      <c r="AA36" s="28">
        <v>1</v>
      </c>
      <c r="AB36" s="28">
        <v>2</v>
      </c>
      <c r="AC36" s="28">
        <v>2</v>
      </c>
      <c r="AD36" s="66">
        <v>1</v>
      </c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882</v>
      </c>
      <c r="C37" s="87"/>
      <c r="D37" s="20" t="s">
        <v>57</v>
      </c>
      <c r="E37" s="31" t="s">
        <v>403</v>
      </c>
      <c r="F37" s="69" t="s">
        <v>149</v>
      </c>
      <c r="G37" s="131" t="s">
        <v>9</v>
      </c>
      <c r="H37" s="135">
        <v>24422070060398</v>
      </c>
      <c r="I37" s="132" t="s">
        <v>780</v>
      </c>
      <c r="J37" s="58" t="s">
        <v>779</v>
      </c>
      <c r="K37" s="58" t="s">
        <v>798</v>
      </c>
      <c r="L37" s="58" t="s">
        <v>770</v>
      </c>
      <c r="M37" s="73">
        <f t="shared" si="0"/>
        <v>46056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885</v>
      </c>
      <c r="U37" s="12" t="s">
        <v>886</v>
      </c>
      <c r="V37" s="90" t="s">
        <v>777</v>
      </c>
      <c r="W37" s="28" t="s">
        <v>175</v>
      </c>
      <c r="X37" s="43" t="s">
        <v>771</v>
      </c>
      <c r="Y37" s="28"/>
      <c r="Z37" s="28">
        <v>1</v>
      </c>
      <c r="AA37" s="28">
        <v>1</v>
      </c>
      <c r="AB37" s="28">
        <v>2</v>
      </c>
      <c r="AC37" s="28">
        <v>2</v>
      </c>
      <c r="AD37" s="66">
        <v>1</v>
      </c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882</v>
      </c>
      <c r="C38" s="87"/>
      <c r="D38" s="20" t="s">
        <v>58</v>
      </c>
      <c r="E38" s="31" t="s">
        <v>404</v>
      </c>
      <c r="F38" s="69" t="s">
        <v>149</v>
      </c>
      <c r="G38" s="131" t="s">
        <v>9</v>
      </c>
      <c r="H38" s="135">
        <v>24422070060400</v>
      </c>
      <c r="I38" s="132" t="s">
        <v>792</v>
      </c>
      <c r="J38" s="70">
        <v>1</v>
      </c>
      <c r="K38" s="58" t="s">
        <v>187</v>
      </c>
      <c r="L38" s="58" t="s">
        <v>770</v>
      </c>
      <c r="M38" s="73">
        <f t="shared" si="0"/>
        <v>46048</v>
      </c>
      <c r="N38" s="23" t="e">
        <f t="shared" si="2"/>
        <v>#NUM!</v>
      </c>
      <c r="O38" s="73" t="e">
        <f t="shared" si="1"/>
        <v>#NUM!</v>
      </c>
      <c r="P38" s="58"/>
      <c r="Q38" s="58"/>
      <c r="R38" s="58"/>
      <c r="S38" s="58"/>
      <c r="T38" s="12" t="s">
        <v>885</v>
      </c>
      <c r="U38" s="12" t="s">
        <v>886</v>
      </c>
      <c r="V38" s="90" t="s">
        <v>777</v>
      </c>
      <c r="W38" s="28" t="s">
        <v>174</v>
      </c>
      <c r="X38" s="43" t="s">
        <v>771</v>
      </c>
      <c r="Y38" s="28"/>
      <c r="Z38" s="28">
        <v>1</v>
      </c>
      <c r="AA38" s="28">
        <v>1</v>
      </c>
      <c r="AB38" s="28">
        <v>1</v>
      </c>
      <c r="AC38" s="28">
        <v>1</v>
      </c>
      <c r="AD38" s="66">
        <v>1</v>
      </c>
      <c r="AE38" s="28"/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882</v>
      </c>
      <c r="C39" s="87"/>
      <c r="D39" s="20" t="s">
        <v>59</v>
      </c>
      <c r="E39" s="31" t="s">
        <v>405</v>
      </c>
      <c r="F39" s="69" t="s">
        <v>149</v>
      </c>
      <c r="G39" s="131" t="s">
        <v>9</v>
      </c>
      <c r="H39" s="135">
        <v>24422070060402</v>
      </c>
      <c r="I39" s="132" t="s">
        <v>792</v>
      </c>
      <c r="J39" s="70">
        <v>1</v>
      </c>
      <c r="K39" s="58" t="s">
        <v>187</v>
      </c>
      <c r="L39" s="58" t="s">
        <v>770</v>
      </c>
      <c r="M39" s="73">
        <f t="shared" si="0"/>
        <v>46048</v>
      </c>
      <c r="N39" s="23" t="e">
        <f t="shared" si="2"/>
        <v>#NUM!</v>
      </c>
      <c r="O39" s="73" t="e">
        <f t="shared" si="1"/>
        <v>#NUM!</v>
      </c>
      <c r="P39" s="58"/>
      <c r="Q39" s="58"/>
      <c r="R39" s="58"/>
      <c r="S39" s="58"/>
      <c r="T39" s="12" t="s">
        <v>885</v>
      </c>
      <c r="U39" s="12" t="s">
        <v>886</v>
      </c>
      <c r="V39" s="90" t="s">
        <v>777</v>
      </c>
      <c r="W39" s="28" t="s">
        <v>175</v>
      </c>
      <c r="X39" s="43" t="s">
        <v>771</v>
      </c>
      <c r="Y39" s="28"/>
      <c r="Z39" s="28">
        <v>1</v>
      </c>
      <c r="AA39" s="28">
        <v>1</v>
      </c>
      <c r="AB39" s="28">
        <v>2</v>
      </c>
      <c r="AC39" s="28">
        <v>2</v>
      </c>
      <c r="AD39" s="66">
        <v>1</v>
      </c>
      <c r="AE39" s="28"/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883</v>
      </c>
      <c r="C40" s="87"/>
      <c r="D40" s="20" t="s">
        <v>60</v>
      </c>
      <c r="E40" s="31" t="s">
        <v>406</v>
      </c>
      <c r="F40" s="69" t="s">
        <v>149</v>
      </c>
      <c r="G40" s="131" t="s">
        <v>9</v>
      </c>
      <c r="H40" s="135">
        <v>24422070060404</v>
      </c>
      <c r="I40" s="132"/>
      <c r="J40" s="58"/>
      <c r="K40" s="58"/>
      <c r="L40" s="58"/>
      <c r="M40" s="73" t="e">
        <f t="shared" si="0"/>
        <v>#NUM!</v>
      </c>
      <c r="N40" s="23" t="e">
        <f t="shared" si="2"/>
        <v>#NUM!</v>
      </c>
      <c r="O40" s="73" t="e">
        <f t="shared" si="1"/>
        <v>#NUM!</v>
      </c>
      <c r="P40" s="58"/>
      <c r="Q40" s="58"/>
      <c r="R40" s="58"/>
      <c r="S40" s="58"/>
      <c r="T40" s="12" t="s">
        <v>885</v>
      </c>
      <c r="U40" s="12" t="s">
        <v>886</v>
      </c>
      <c r="V40" s="90"/>
      <c r="W40" s="28"/>
      <c r="X40" s="43"/>
      <c r="Y40" s="28"/>
      <c r="Z40" s="28"/>
      <c r="AA40" s="28"/>
      <c r="AB40" s="28"/>
      <c r="AC40" s="28"/>
      <c r="AD40" s="66"/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2" t="s">
        <v>882</v>
      </c>
      <c r="C41" s="87"/>
      <c r="D41" s="20" t="s">
        <v>61</v>
      </c>
      <c r="E41" s="31" t="s">
        <v>407</v>
      </c>
      <c r="F41" s="69" t="s">
        <v>149</v>
      </c>
      <c r="G41" s="131" t="s">
        <v>9</v>
      </c>
      <c r="H41" s="135">
        <v>24422070060453</v>
      </c>
      <c r="I41" s="132" t="s">
        <v>783</v>
      </c>
      <c r="J41" s="70">
        <v>1</v>
      </c>
      <c r="K41" s="58" t="s">
        <v>187</v>
      </c>
      <c r="L41" s="58" t="s">
        <v>770</v>
      </c>
      <c r="M41" s="73">
        <f t="shared" si="0"/>
        <v>46030</v>
      </c>
      <c r="N41" s="23" t="e">
        <f t="shared" si="2"/>
        <v>#NUM!</v>
      </c>
      <c r="O41" s="73" t="e">
        <f t="shared" si="1"/>
        <v>#NUM!</v>
      </c>
      <c r="P41" s="58"/>
      <c r="Q41" s="58"/>
      <c r="R41" s="58"/>
      <c r="S41" s="58"/>
      <c r="T41" s="12" t="s">
        <v>885</v>
      </c>
      <c r="U41" s="12" t="s">
        <v>886</v>
      </c>
      <c r="V41" s="90" t="s">
        <v>777</v>
      </c>
      <c r="W41" s="28" t="s">
        <v>751</v>
      </c>
      <c r="X41" s="43" t="s">
        <v>155</v>
      </c>
      <c r="Y41" s="28"/>
      <c r="Z41" s="28">
        <v>1</v>
      </c>
      <c r="AA41" s="28">
        <v>1</v>
      </c>
      <c r="AB41" s="28">
        <v>1</v>
      </c>
      <c r="AC41" s="28">
        <v>1</v>
      </c>
      <c r="AD41" s="66">
        <v>1</v>
      </c>
      <c r="AE41" s="28">
        <v>2</v>
      </c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2" t="s">
        <v>882</v>
      </c>
      <c r="C42" s="87"/>
      <c r="D42" s="20" t="s">
        <v>62</v>
      </c>
      <c r="E42" s="31" t="s">
        <v>408</v>
      </c>
      <c r="F42" s="69" t="s">
        <v>149</v>
      </c>
      <c r="G42" s="131" t="s">
        <v>9</v>
      </c>
      <c r="H42" s="135">
        <v>24422070060405</v>
      </c>
      <c r="I42" s="133"/>
      <c r="J42" s="71"/>
      <c r="K42" s="59"/>
      <c r="L42" s="59"/>
      <c r="M42" s="73" t="e">
        <f t="shared" si="0"/>
        <v>#NUM!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885</v>
      </c>
      <c r="U42" s="12" t="s">
        <v>886</v>
      </c>
      <c r="V42" s="90"/>
      <c r="W42" s="28"/>
      <c r="X42" s="43"/>
      <c r="Y42" s="28"/>
      <c r="Z42" s="28"/>
      <c r="AA42" s="28"/>
      <c r="AB42" s="28"/>
      <c r="AC42" s="28"/>
      <c r="AD42" s="66"/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spans="1:48" ht="15.75" customHeight="1" thickBot="1" x14ac:dyDescent="0.3">
      <c r="A43" s="1" t="s">
        <v>126</v>
      </c>
      <c r="B43" s="2" t="s">
        <v>882</v>
      </c>
      <c r="C43" s="87"/>
      <c r="D43" s="20" t="s">
        <v>63</v>
      </c>
      <c r="E43" s="31" t="s">
        <v>409</v>
      </c>
      <c r="F43" s="69" t="s">
        <v>149</v>
      </c>
      <c r="G43" s="131" t="s">
        <v>9</v>
      </c>
      <c r="H43" s="135">
        <v>24422070060406</v>
      </c>
      <c r="I43" s="133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885</v>
      </c>
      <c r="U43" s="12" t="s">
        <v>886</v>
      </c>
      <c r="V43" s="90"/>
      <c r="W43" s="28"/>
      <c r="X43" s="43"/>
      <c r="Y43" s="28"/>
      <c r="Z43" s="28"/>
      <c r="AA43" s="28"/>
      <c r="AB43" s="28"/>
      <c r="AC43" s="28"/>
      <c r="AD43" s="66"/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spans="1:48" ht="15.75" customHeight="1" thickBot="1" x14ac:dyDescent="0.3">
      <c r="A44" s="1" t="s">
        <v>126</v>
      </c>
      <c r="B44" s="2" t="s">
        <v>882</v>
      </c>
      <c r="C44" s="87"/>
      <c r="D44" s="20" t="s">
        <v>64</v>
      </c>
      <c r="E44" s="31" t="s">
        <v>410</v>
      </c>
      <c r="F44" s="69" t="s">
        <v>149</v>
      </c>
      <c r="G44" s="131" t="s">
        <v>9</v>
      </c>
      <c r="H44" s="135">
        <v>24422070060407</v>
      </c>
      <c r="I44" s="133" t="s">
        <v>786</v>
      </c>
      <c r="J44" s="71">
        <v>1</v>
      </c>
      <c r="K44" s="59" t="s">
        <v>187</v>
      </c>
      <c r="L44" s="59" t="s">
        <v>770</v>
      </c>
      <c r="M44" s="73">
        <f t="shared" si="0"/>
        <v>46036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885</v>
      </c>
      <c r="U44" s="12" t="s">
        <v>886</v>
      </c>
      <c r="V44" s="90" t="s">
        <v>777</v>
      </c>
      <c r="W44" s="28" t="s">
        <v>161</v>
      </c>
      <c r="X44" s="43" t="s">
        <v>155</v>
      </c>
      <c r="Y44" s="28"/>
      <c r="Z44" s="28">
        <v>1</v>
      </c>
      <c r="AA44" s="28">
        <v>1</v>
      </c>
      <c r="AB44" s="28">
        <v>1</v>
      </c>
      <c r="AC44" s="28">
        <v>1</v>
      </c>
      <c r="AD44" s="66">
        <v>1</v>
      </c>
      <c r="AE44" s="28">
        <v>2</v>
      </c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126</v>
      </c>
      <c r="B45" s="2" t="s">
        <v>883</v>
      </c>
      <c r="C45" s="118">
        <v>1</v>
      </c>
      <c r="D45" s="20" t="s">
        <v>65</v>
      </c>
      <c r="E45" s="31" t="s">
        <v>411</v>
      </c>
      <c r="F45" s="69" t="s">
        <v>149</v>
      </c>
      <c r="G45" s="131" t="s">
        <v>9</v>
      </c>
      <c r="H45" s="135">
        <v>24422070060408</v>
      </c>
      <c r="I45" s="133"/>
      <c r="J45" s="71"/>
      <c r="K45" s="59"/>
      <c r="L45" s="59"/>
      <c r="M45" s="73" t="e">
        <f t="shared" si="0"/>
        <v>#NUM!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885</v>
      </c>
      <c r="U45" s="12" t="s">
        <v>886</v>
      </c>
      <c r="V45" s="90"/>
      <c r="W45" s="28"/>
      <c r="X45" s="43"/>
      <c r="Y45" s="28"/>
      <c r="Z45" s="28"/>
      <c r="AA45" s="28"/>
      <c r="AB45" s="28"/>
      <c r="AC45" s="28"/>
      <c r="AD45" s="66"/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126</v>
      </c>
      <c r="B46" s="4" t="s">
        <v>882</v>
      </c>
      <c r="C46" s="87"/>
      <c r="D46" s="20" t="s">
        <v>66</v>
      </c>
      <c r="E46" s="31" t="s">
        <v>412</v>
      </c>
      <c r="F46" s="69" t="s">
        <v>149</v>
      </c>
      <c r="G46" s="131" t="s">
        <v>9</v>
      </c>
      <c r="H46" s="135">
        <v>24422070060409</v>
      </c>
      <c r="I46" s="133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885</v>
      </c>
      <c r="U46" s="12" t="s">
        <v>886</v>
      </c>
      <c r="V46" s="90" t="s">
        <v>777</v>
      </c>
      <c r="W46" s="28" t="s">
        <v>800</v>
      </c>
      <c r="X46" s="43" t="s">
        <v>155</v>
      </c>
      <c r="Y46" s="28"/>
      <c r="Z46" s="28">
        <v>1</v>
      </c>
      <c r="AA46" s="28">
        <v>1</v>
      </c>
      <c r="AB46" s="28"/>
      <c r="AC46" s="28"/>
      <c r="AD46" s="66">
        <v>1</v>
      </c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/>
      <c r="B47" s="129" t="s">
        <v>883</v>
      </c>
      <c r="C47" s="87"/>
      <c r="D47" s="20" t="s">
        <v>67</v>
      </c>
      <c r="E47" s="31" t="s">
        <v>295</v>
      </c>
      <c r="F47" s="69" t="s">
        <v>149</v>
      </c>
      <c r="G47" s="131" t="s">
        <v>9</v>
      </c>
      <c r="H47" s="135">
        <v>24422070060360</v>
      </c>
      <c r="I47" s="133"/>
      <c r="J47" s="71"/>
      <c r="K47" s="59"/>
      <c r="L47" s="59"/>
      <c r="M47" s="73"/>
      <c r="N47" s="23"/>
      <c r="O47" s="73"/>
      <c r="P47" s="59"/>
      <c r="Q47" s="59"/>
      <c r="R47" s="59"/>
      <c r="S47" s="59"/>
      <c r="T47" s="12" t="s">
        <v>885</v>
      </c>
      <c r="U47" s="12" t="s">
        <v>886</v>
      </c>
      <c r="V47" s="90"/>
      <c r="W47" s="28"/>
      <c r="X47" s="43"/>
      <c r="Y47" s="28"/>
      <c r="Z47" s="28"/>
      <c r="AA47" s="28"/>
      <c r="AB47" s="28"/>
      <c r="AC47" s="28"/>
      <c r="AD47" s="66"/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6"/>
      <c r="AV47" s="6"/>
    </row>
    <row r="48" spans="1:48" ht="15.75" customHeight="1" thickBot="1" x14ac:dyDescent="0.3">
      <c r="A48" s="1" t="s">
        <v>126</v>
      </c>
      <c r="B48" s="5" t="s">
        <v>883</v>
      </c>
      <c r="C48" s="126">
        <v>1</v>
      </c>
      <c r="D48" s="20" t="s">
        <v>68</v>
      </c>
      <c r="E48" s="31" t="s">
        <v>413</v>
      </c>
      <c r="F48" s="69" t="s">
        <v>149</v>
      </c>
      <c r="G48" s="131" t="s">
        <v>9</v>
      </c>
      <c r="H48" s="135">
        <v>24422070060410</v>
      </c>
      <c r="I48" s="133"/>
      <c r="J48" s="71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885</v>
      </c>
      <c r="U48" s="12" t="s">
        <v>886</v>
      </c>
      <c r="V48" s="90"/>
      <c r="W48" s="28"/>
      <c r="X48" s="43"/>
      <c r="Y48" s="28"/>
      <c r="Z48" s="28"/>
      <c r="AA48" s="28"/>
      <c r="AB48" s="28"/>
      <c r="AC48" s="28"/>
      <c r="AD48" s="66"/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6"/>
      <c r="AV48" s="6"/>
    </row>
    <row r="49" spans="1:48" ht="15.75" customHeight="1" thickBot="1" x14ac:dyDescent="0.3">
      <c r="A49" s="1" t="s">
        <v>126</v>
      </c>
      <c r="B49" s="45" t="s">
        <v>882</v>
      </c>
      <c r="C49" s="89"/>
      <c r="D49" s="20" t="s">
        <v>69</v>
      </c>
      <c r="E49" s="31" t="s">
        <v>414</v>
      </c>
      <c r="F49" s="69" t="s">
        <v>149</v>
      </c>
      <c r="G49" s="131" t="s">
        <v>9</v>
      </c>
      <c r="H49" s="135">
        <v>24422070060458</v>
      </c>
      <c r="I49" s="133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885</v>
      </c>
      <c r="U49" s="12" t="s">
        <v>886</v>
      </c>
      <c r="V49" s="90"/>
      <c r="W49" s="28"/>
      <c r="X49" s="43"/>
      <c r="Y49" s="28"/>
      <c r="Z49" s="28"/>
      <c r="AA49" s="28"/>
      <c r="AB49" s="28"/>
      <c r="AC49" s="28"/>
      <c r="AD49" s="66"/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6"/>
      <c r="AV49" s="6"/>
    </row>
    <row r="50" spans="1:48" ht="15.75" customHeight="1" thickBot="1" x14ac:dyDescent="0.3">
      <c r="A50" s="1" t="s">
        <v>17</v>
      </c>
      <c r="B50" s="46" t="s">
        <v>882</v>
      </c>
      <c r="C50" s="50"/>
      <c r="D50" s="20" t="s">
        <v>70</v>
      </c>
      <c r="E50" s="31" t="s">
        <v>415</v>
      </c>
      <c r="F50" s="69" t="s">
        <v>149</v>
      </c>
      <c r="G50" s="131" t="s">
        <v>7</v>
      </c>
      <c r="H50" s="135">
        <v>24422070060411</v>
      </c>
      <c r="I50" s="133" t="s">
        <v>157</v>
      </c>
      <c r="J50" s="59" t="s">
        <v>779</v>
      </c>
      <c r="K50" s="59" t="s">
        <v>798</v>
      </c>
      <c r="L50" s="59" t="s">
        <v>770</v>
      </c>
      <c r="M50" s="73">
        <f t="shared" si="0"/>
        <v>46054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885</v>
      </c>
      <c r="U50" s="12" t="s">
        <v>886</v>
      </c>
      <c r="V50" s="90" t="s">
        <v>777</v>
      </c>
      <c r="W50" s="28" t="s">
        <v>819</v>
      </c>
      <c r="X50" s="43" t="s">
        <v>820</v>
      </c>
      <c r="Y50" s="28"/>
      <c r="Z50" s="28">
        <v>1</v>
      </c>
      <c r="AA50" s="28">
        <v>1</v>
      </c>
      <c r="AB50" s="28">
        <v>1</v>
      </c>
      <c r="AC50" s="28">
        <v>1</v>
      </c>
      <c r="AD50" s="66">
        <v>1</v>
      </c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8" ht="15.75" customHeight="1" thickBot="1" x14ac:dyDescent="0.3">
      <c r="A51" s="1" t="s">
        <v>17</v>
      </c>
      <c r="B51" s="46" t="s">
        <v>882</v>
      </c>
      <c r="C51" s="114">
        <v>2</v>
      </c>
      <c r="D51" s="20" t="s">
        <v>71</v>
      </c>
      <c r="E51" s="31" t="s">
        <v>416</v>
      </c>
      <c r="F51" s="69" t="s">
        <v>149</v>
      </c>
      <c r="G51" s="131" t="s">
        <v>7</v>
      </c>
      <c r="H51" s="135">
        <v>24422070060412</v>
      </c>
      <c r="I51" s="133"/>
      <c r="J51" s="71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885</v>
      </c>
      <c r="U51" s="12" t="s">
        <v>886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8" ht="15.75" customHeight="1" thickBot="1" x14ac:dyDescent="0.3">
      <c r="A52" s="1" t="s">
        <v>17</v>
      </c>
      <c r="B52" s="46" t="s">
        <v>882</v>
      </c>
      <c r="C52" s="50"/>
      <c r="D52" s="20" t="s">
        <v>72</v>
      </c>
      <c r="E52" s="31" t="s">
        <v>417</v>
      </c>
      <c r="F52" s="69" t="s">
        <v>149</v>
      </c>
      <c r="G52" s="131" t="s">
        <v>7</v>
      </c>
      <c r="H52" s="135">
        <v>24422070060413</v>
      </c>
      <c r="I52" s="133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885</v>
      </c>
      <c r="U52" s="12" t="s">
        <v>886</v>
      </c>
      <c r="V52" s="90"/>
      <c r="W52" s="28"/>
      <c r="X52" s="43"/>
      <c r="Y52" s="28"/>
      <c r="Z52" s="28"/>
      <c r="AA52" s="28"/>
      <c r="AB52" s="28"/>
      <c r="AC52" s="28"/>
      <c r="AD52" s="66"/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8" ht="15.75" customHeight="1" thickBot="1" x14ac:dyDescent="0.3">
      <c r="A53" s="1" t="s">
        <v>17</v>
      </c>
      <c r="B53" s="46" t="s">
        <v>882</v>
      </c>
      <c r="C53" s="50"/>
      <c r="D53" s="20" t="s">
        <v>73</v>
      </c>
      <c r="E53" s="31" t="s">
        <v>418</v>
      </c>
      <c r="F53" s="69" t="s">
        <v>149</v>
      </c>
      <c r="G53" s="131" t="s">
        <v>7</v>
      </c>
      <c r="H53" s="135">
        <v>24422070060414</v>
      </c>
      <c r="I53" s="133" t="s">
        <v>792</v>
      </c>
      <c r="J53" s="71">
        <v>1</v>
      </c>
      <c r="K53" s="59" t="s">
        <v>187</v>
      </c>
      <c r="L53" s="59" t="s">
        <v>770</v>
      </c>
      <c r="M53" s="73">
        <f t="shared" si="0"/>
        <v>46048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885</v>
      </c>
      <c r="U53" s="12" t="s">
        <v>886</v>
      </c>
      <c r="V53" s="90" t="s">
        <v>777</v>
      </c>
      <c r="W53" s="28" t="s">
        <v>816</v>
      </c>
      <c r="X53" s="43" t="s">
        <v>155</v>
      </c>
      <c r="Y53" s="28"/>
      <c r="Z53" s="28">
        <v>1</v>
      </c>
      <c r="AA53" s="28">
        <v>1</v>
      </c>
      <c r="AB53" s="28">
        <v>1</v>
      </c>
      <c r="AC53" s="28">
        <v>1</v>
      </c>
      <c r="AD53" s="66">
        <v>1</v>
      </c>
      <c r="AE53" s="28"/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8" ht="15.75" customHeight="1" thickBot="1" x14ac:dyDescent="0.3">
      <c r="A54" s="1" t="s">
        <v>17</v>
      </c>
      <c r="B54" s="46" t="s">
        <v>882</v>
      </c>
      <c r="C54" s="50"/>
      <c r="D54" s="20" t="s">
        <v>74</v>
      </c>
      <c r="E54" s="31" t="s">
        <v>419</v>
      </c>
      <c r="F54" s="69" t="s">
        <v>149</v>
      </c>
      <c r="G54" s="131" t="s">
        <v>7</v>
      </c>
      <c r="H54" s="135">
        <v>24422070060415</v>
      </c>
      <c r="I54" s="133" t="s">
        <v>159</v>
      </c>
      <c r="J54" s="71">
        <v>12</v>
      </c>
      <c r="K54" s="59" t="s">
        <v>768</v>
      </c>
      <c r="L54" s="59" t="s">
        <v>153</v>
      </c>
      <c r="M54" s="73">
        <f t="shared" si="0"/>
        <v>46001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885</v>
      </c>
      <c r="U54" s="12" t="s">
        <v>886</v>
      </c>
      <c r="V54" s="90" t="s">
        <v>777</v>
      </c>
      <c r="W54" s="28" t="s">
        <v>821</v>
      </c>
      <c r="X54" s="43" t="s">
        <v>820</v>
      </c>
      <c r="Y54" s="28"/>
      <c r="Z54" s="28">
        <v>1</v>
      </c>
      <c r="AA54" s="28">
        <v>1</v>
      </c>
      <c r="AB54" s="28">
        <v>1</v>
      </c>
      <c r="AC54" s="28">
        <v>1</v>
      </c>
      <c r="AD54" s="66">
        <v>1</v>
      </c>
      <c r="AE54" s="28">
        <v>2</v>
      </c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8" ht="15.75" customHeight="1" thickBot="1" x14ac:dyDescent="0.3">
      <c r="A55" s="1" t="s">
        <v>17</v>
      </c>
      <c r="B55" s="46" t="s">
        <v>882</v>
      </c>
      <c r="C55" s="50"/>
      <c r="D55" s="20" t="s">
        <v>75</v>
      </c>
      <c r="E55" s="31" t="s">
        <v>420</v>
      </c>
      <c r="F55" s="69" t="s">
        <v>149</v>
      </c>
      <c r="G55" s="131" t="s">
        <v>7</v>
      </c>
      <c r="H55" s="135">
        <v>24422070060416</v>
      </c>
      <c r="I55" s="133"/>
      <c r="J55" s="71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885</v>
      </c>
      <c r="U55" s="12" t="s">
        <v>886</v>
      </c>
      <c r="V55" s="90" t="s">
        <v>777</v>
      </c>
      <c r="W55" s="28" t="s">
        <v>765</v>
      </c>
      <c r="X55" s="43" t="s">
        <v>155</v>
      </c>
      <c r="Y55" s="28"/>
      <c r="Z55" s="28">
        <v>1</v>
      </c>
      <c r="AA55" s="28">
        <v>1</v>
      </c>
      <c r="AB55" s="28"/>
      <c r="AC55" s="28"/>
      <c r="AD55" s="66">
        <v>1</v>
      </c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8" ht="15.75" customHeight="1" thickBot="1" x14ac:dyDescent="0.3">
      <c r="A56" s="1" t="s">
        <v>17</v>
      </c>
      <c r="B56" s="46" t="s">
        <v>882</v>
      </c>
      <c r="C56" s="50"/>
      <c r="D56" s="20" t="s">
        <v>76</v>
      </c>
      <c r="E56" s="31" t="s">
        <v>421</v>
      </c>
      <c r="F56" s="69" t="s">
        <v>149</v>
      </c>
      <c r="G56" s="131" t="s">
        <v>7</v>
      </c>
      <c r="H56" s="135">
        <v>24422070060417</v>
      </c>
      <c r="I56" s="133"/>
      <c r="J56" s="71">
        <v>8</v>
      </c>
      <c r="K56" s="59"/>
      <c r="L56" s="59"/>
      <c r="M56" s="73">
        <f t="shared" si="0"/>
        <v>213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885</v>
      </c>
      <c r="U56" s="12" t="s">
        <v>886</v>
      </c>
      <c r="V56" s="90"/>
      <c r="W56" s="28"/>
      <c r="X56" s="43"/>
      <c r="Y56" s="28"/>
      <c r="Z56" s="28"/>
      <c r="AA56" s="28"/>
      <c r="AB56" s="28"/>
      <c r="AC56" s="28"/>
      <c r="AD56" s="66"/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8" ht="15.75" customHeight="1" thickBot="1" x14ac:dyDescent="0.3">
      <c r="A57" s="1" t="s">
        <v>17</v>
      </c>
      <c r="B57" s="46" t="s">
        <v>883</v>
      </c>
      <c r="C57" s="50"/>
      <c r="D57" s="20" t="s">
        <v>77</v>
      </c>
      <c r="E57" s="31" t="s">
        <v>422</v>
      </c>
      <c r="F57" s="69" t="s">
        <v>149</v>
      </c>
      <c r="G57" s="131" t="s">
        <v>7</v>
      </c>
      <c r="H57" s="135">
        <v>24422070060418</v>
      </c>
      <c r="I57" s="133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885</v>
      </c>
      <c r="U57" s="12" t="s">
        <v>886</v>
      </c>
      <c r="V57" s="90"/>
      <c r="W57" s="28"/>
      <c r="X57" s="43"/>
      <c r="Y57" s="28"/>
      <c r="Z57" s="28"/>
      <c r="AA57" s="28"/>
      <c r="AB57" s="28"/>
      <c r="AC57" s="28"/>
      <c r="AD57" s="66"/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8" ht="15.75" customHeight="1" thickBot="1" x14ac:dyDescent="0.3">
      <c r="A58" s="1" t="s">
        <v>17</v>
      </c>
      <c r="B58" s="46" t="s">
        <v>883</v>
      </c>
      <c r="C58" s="50"/>
      <c r="D58" s="20" t="s">
        <v>78</v>
      </c>
      <c r="E58" s="31" t="s">
        <v>423</v>
      </c>
      <c r="F58" s="69" t="s">
        <v>149</v>
      </c>
      <c r="G58" s="131" t="s">
        <v>7</v>
      </c>
      <c r="H58" s="135">
        <v>24422070060419</v>
      </c>
      <c r="I58" s="133"/>
      <c r="J58" s="59"/>
      <c r="K58" s="59"/>
      <c r="L58" s="59"/>
      <c r="M58" s="73" t="e">
        <f t="shared" si="0"/>
        <v>#NUM!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885</v>
      </c>
      <c r="U58" s="12" t="s">
        <v>886</v>
      </c>
      <c r="V58" s="90"/>
      <c r="W58" s="28"/>
      <c r="X58" s="43"/>
      <c r="Y58" s="28"/>
      <c r="Z58" s="28"/>
      <c r="AA58" s="28"/>
      <c r="AB58" s="28"/>
      <c r="AC58" s="28"/>
      <c r="AD58" s="66"/>
      <c r="AE58" s="28"/>
      <c r="AF58" s="28"/>
      <c r="AG58" s="28"/>
      <c r="AH58" s="20"/>
      <c r="AI58" s="28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1:48" ht="15.75" customHeight="1" thickBot="1" x14ac:dyDescent="0.3">
      <c r="A59" s="1" t="s">
        <v>17</v>
      </c>
      <c r="B59" s="52" t="s">
        <v>882</v>
      </c>
      <c r="C59" s="115">
        <v>1</v>
      </c>
      <c r="D59" s="20" t="s">
        <v>79</v>
      </c>
      <c r="E59" s="31" t="s">
        <v>424</v>
      </c>
      <c r="F59" s="69" t="s">
        <v>149</v>
      </c>
      <c r="G59" s="131" t="s">
        <v>7</v>
      </c>
      <c r="H59" s="135">
        <v>24422070060420</v>
      </c>
      <c r="I59" s="133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885</v>
      </c>
      <c r="U59" s="12" t="s">
        <v>886</v>
      </c>
      <c r="V59" s="90"/>
      <c r="W59" s="28"/>
      <c r="X59" s="43"/>
      <c r="Y59" s="28"/>
      <c r="Z59" s="28"/>
      <c r="AA59" s="28"/>
      <c r="AB59" s="28"/>
      <c r="AC59" s="28"/>
      <c r="AD59" s="66"/>
      <c r="AE59" s="28"/>
      <c r="AF59" s="28"/>
      <c r="AG59" s="28"/>
      <c r="AH59" s="20"/>
      <c r="AI59" s="28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1:48" ht="15.75" customHeight="1" thickBot="1" x14ac:dyDescent="0.3">
      <c r="A60" s="1" t="s">
        <v>17</v>
      </c>
      <c r="B60" s="53" t="s">
        <v>882</v>
      </c>
      <c r="C60" s="127">
        <v>1</v>
      </c>
      <c r="D60" s="20" t="s">
        <v>80</v>
      </c>
      <c r="E60" s="31" t="s">
        <v>425</v>
      </c>
      <c r="F60" s="69" t="s">
        <v>149</v>
      </c>
      <c r="G60" s="131" t="s">
        <v>7</v>
      </c>
      <c r="H60" s="135">
        <v>24422070060421</v>
      </c>
      <c r="I60" s="133"/>
      <c r="J60" s="71"/>
      <c r="K60" s="59"/>
      <c r="L60" s="59"/>
      <c r="M60" s="73" t="e">
        <f t="shared" si="0"/>
        <v>#NUM!</v>
      </c>
      <c r="N60" s="23" t="e">
        <f t="shared" si="2"/>
        <v>#NUM!</v>
      </c>
      <c r="O60" s="73" t="e">
        <f t="shared" si="1"/>
        <v>#NUM!</v>
      </c>
      <c r="P60" s="59"/>
      <c r="Q60" s="59"/>
      <c r="R60" s="59"/>
      <c r="S60" s="59"/>
      <c r="T60" s="12" t="s">
        <v>885</v>
      </c>
      <c r="U60" s="12" t="s">
        <v>886</v>
      </c>
      <c r="V60" s="90"/>
      <c r="W60" s="28"/>
      <c r="X60" s="43"/>
      <c r="Y60" s="28"/>
      <c r="Z60" s="28"/>
      <c r="AA60" s="28"/>
      <c r="AB60" s="28"/>
      <c r="AC60" s="28"/>
      <c r="AD60" s="66"/>
      <c r="AE60" s="28"/>
      <c r="AF60" s="28"/>
      <c r="AG60" s="28"/>
      <c r="AH60" s="20"/>
      <c r="AI60" s="28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1:48" ht="17.25" customHeight="1" thickBot="1" x14ac:dyDescent="0.3">
      <c r="A61" s="1" t="s">
        <v>17</v>
      </c>
      <c r="B61" s="54" t="s">
        <v>882</v>
      </c>
      <c r="C61" s="57"/>
      <c r="D61" s="20" t="s">
        <v>81</v>
      </c>
      <c r="E61" s="31" t="s">
        <v>426</v>
      </c>
      <c r="F61" s="69" t="s">
        <v>149</v>
      </c>
      <c r="G61" s="131" t="s">
        <v>7</v>
      </c>
      <c r="H61" s="135">
        <v>24422070060422</v>
      </c>
      <c r="I61" s="133" t="s">
        <v>778</v>
      </c>
      <c r="J61" s="71">
        <v>1</v>
      </c>
      <c r="K61" s="59" t="s">
        <v>187</v>
      </c>
      <c r="L61" s="59" t="s">
        <v>770</v>
      </c>
      <c r="M61" s="73">
        <f t="shared" si="0"/>
        <v>46029</v>
      </c>
      <c r="N61" s="23" t="e">
        <f t="shared" si="2"/>
        <v>#NUM!</v>
      </c>
      <c r="O61" s="73" t="e">
        <f t="shared" si="1"/>
        <v>#NUM!</v>
      </c>
      <c r="P61" s="59"/>
      <c r="Q61" s="59"/>
      <c r="R61" s="59"/>
      <c r="S61" s="59"/>
      <c r="T61" s="12" t="s">
        <v>885</v>
      </c>
      <c r="U61" s="12" t="s">
        <v>886</v>
      </c>
      <c r="V61" s="90" t="s">
        <v>777</v>
      </c>
      <c r="W61" s="28" t="s">
        <v>724</v>
      </c>
      <c r="X61" s="43" t="s">
        <v>155</v>
      </c>
      <c r="Y61" s="28"/>
      <c r="Z61" s="28">
        <v>1</v>
      </c>
      <c r="AA61" s="28">
        <v>1</v>
      </c>
      <c r="AB61" s="28">
        <v>2</v>
      </c>
      <c r="AC61" s="28">
        <v>2</v>
      </c>
      <c r="AD61" s="66">
        <v>1</v>
      </c>
      <c r="AE61" s="28"/>
      <c r="AF61" s="28" t="s">
        <v>861</v>
      </c>
      <c r="AG61" s="28"/>
      <c r="AH61" s="20"/>
      <c r="AI61" s="28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1:48" ht="15.75" customHeight="1" thickBot="1" x14ac:dyDescent="0.3">
      <c r="A62" s="1" t="s">
        <v>17</v>
      </c>
      <c r="B62" s="52" t="s">
        <v>882</v>
      </c>
      <c r="C62" s="55"/>
      <c r="D62" s="20" t="s">
        <v>82</v>
      </c>
      <c r="E62" s="31" t="s">
        <v>427</v>
      </c>
      <c r="F62" s="69" t="s">
        <v>149</v>
      </c>
      <c r="G62" s="131" t="s">
        <v>7</v>
      </c>
      <c r="H62" s="135">
        <v>24422070060423</v>
      </c>
      <c r="I62" s="133"/>
      <c r="J62" s="59"/>
      <c r="K62" s="59"/>
      <c r="L62" s="59"/>
      <c r="M62" s="73" t="e">
        <f t="shared" si="0"/>
        <v>#NUM!</v>
      </c>
      <c r="N62" s="23" t="e">
        <f t="shared" si="2"/>
        <v>#NUM!</v>
      </c>
      <c r="O62" s="73" t="e">
        <f t="shared" si="1"/>
        <v>#NUM!</v>
      </c>
      <c r="P62" s="59"/>
      <c r="Q62" s="59"/>
      <c r="R62" s="59"/>
      <c r="S62" s="59"/>
      <c r="T62" s="12" t="s">
        <v>885</v>
      </c>
      <c r="U62" s="12" t="s">
        <v>886</v>
      </c>
      <c r="V62" s="90"/>
      <c r="W62" s="28"/>
      <c r="X62" s="43"/>
      <c r="Y62" s="28"/>
      <c r="Z62" s="28"/>
      <c r="AA62" s="28"/>
      <c r="AB62" s="28"/>
      <c r="AC62" s="28"/>
      <c r="AD62" s="66"/>
      <c r="AE62" s="28"/>
      <c r="AF62" s="28"/>
      <c r="AG62" s="28"/>
      <c r="AH62" s="20"/>
      <c r="AI62" s="28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</row>
    <row r="63" spans="1:48" ht="15.75" customHeight="1" thickBot="1" x14ac:dyDescent="0.3">
      <c r="A63" s="1" t="s">
        <v>17</v>
      </c>
      <c r="B63" s="54" t="s">
        <v>882</v>
      </c>
      <c r="C63" s="57"/>
      <c r="D63" s="20" t="s">
        <v>83</v>
      </c>
      <c r="E63" s="31" t="s">
        <v>428</v>
      </c>
      <c r="F63" s="69" t="s">
        <v>149</v>
      </c>
      <c r="G63" s="131" t="s">
        <v>7</v>
      </c>
      <c r="H63" s="135">
        <v>24422070060424</v>
      </c>
      <c r="I63" s="133" t="s">
        <v>775</v>
      </c>
      <c r="J63" s="71">
        <v>1</v>
      </c>
      <c r="K63" s="59" t="s">
        <v>187</v>
      </c>
      <c r="L63" s="59" t="s">
        <v>770</v>
      </c>
      <c r="M63" s="73">
        <f t="shared" si="0"/>
        <v>46034</v>
      </c>
      <c r="N63" s="23" t="e">
        <f t="shared" si="2"/>
        <v>#NUM!</v>
      </c>
      <c r="O63" s="73" t="e">
        <f t="shared" si="1"/>
        <v>#NUM!</v>
      </c>
      <c r="P63" s="59"/>
      <c r="Q63" s="59"/>
      <c r="R63" s="59"/>
      <c r="S63" s="59"/>
      <c r="T63" s="12" t="s">
        <v>885</v>
      </c>
      <c r="U63" s="12" t="s">
        <v>886</v>
      </c>
      <c r="V63" s="90" t="s">
        <v>777</v>
      </c>
      <c r="W63" s="28" t="s">
        <v>175</v>
      </c>
      <c r="X63" s="43" t="s">
        <v>771</v>
      </c>
      <c r="Y63" s="28"/>
      <c r="Z63" s="28">
        <v>1</v>
      </c>
      <c r="AA63" s="28">
        <v>1</v>
      </c>
      <c r="AB63" s="28"/>
      <c r="AC63" s="28">
        <v>2</v>
      </c>
      <c r="AD63" s="66">
        <v>1</v>
      </c>
      <c r="AE63" s="28"/>
      <c r="AF63" s="28"/>
      <c r="AG63" s="28"/>
      <c r="AH63" s="20"/>
      <c r="AI63" s="28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</row>
    <row r="64" spans="1:48" ht="15.75" customHeight="1" thickBot="1" x14ac:dyDescent="0.3">
      <c r="A64" s="1" t="s">
        <v>17</v>
      </c>
      <c r="B64" s="54" t="s">
        <v>882</v>
      </c>
      <c r="C64" s="57"/>
      <c r="D64" s="20" t="s">
        <v>84</v>
      </c>
      <c r="E64" s="31" t="s">
        <v>429</v>
      </c>
      <c r="F64" s="69" t="s">
        <v>149</v>
      </c>
      <c r="G64" s="131" t="s">
        <v>7</v>
      </c>
      <c r="H64" s="135">
        <v>24422070060584</v>
      </c>
      <c r="I64" s="133" t="s">
        <v>782</v>
      </c>
      <c r="J64" s="71">
        <v>12</v>
      </c>
      <c r="K64" s="59" t="s">
        <v>768</v>
      </c>
      <c r="L64" s="59" t="s">
        <v>153</v>
      </c>
      <c r="M64" s="73">
        <f t="shared" si="0"/>
        <v>45996</v>
      </c>
      <c r="N64" s="23" t="e">
        <f t="shared" si="2"/>
        <v>#NUM!</v>
      </c>
      <c r="O64" s="73" t="e">
        <f t="shared" si="1"/>
        <v>#NUM!</v>
      </c>
      <c r="P64" s="59"/>
      <c r="Q64" s="59"/>
      <c r="R64" s="59"/>
      <c r="S64" s="59"/>
      <c r="T64" s="12" t="s">
        <v>885</v>
      </c>
      <c r="U64" s="12" t="s">
        <v>886</v>
      </c>
      <c r="V64" s="90" t="s">
        <v>777</v>
      </c>
      <c r="W64" s="28" t="s">
        <v>161</v>
      </c>
      <c r="X64" s="43" t="s">
        <v>155</v>
      </c>
      <c r="Y64" s="28"/>
      <c r="Z64" s="28">
        <v>1</v>
      </c>
      <c r="AA64" s="28">
        <v>1</v>
      </c>
      <c r="AB64" s="28">
        <v>1</v>
      </c>
      <c r="AC64" s="28">
        <v>1</v>
      </c>
      <c r="AD64" s="66">
        <v>1</v>
      </c>
      <c r="AE64" s="28"/>
      <c r="AF64" s="28"/>
      <c r="AG64" s="28"/>
      <c r="AH64" s="20"/>
      <c r="AI64" s="28"/>
      <c r="AJ64" s="86"/>
      <c r="AK64" s="86"/>
      <c r="AL64" s="16"/>
      <c r="AM64" s="86"/>
      <c r="AN64" s="16"/>
      <c r="AO64" s="86"/>
      <c r="AP64" s="86"/>
      <c r="AQ64" s="16"/>
      <c r="AR64" s="86"/>
      <c r="AS64" s="16"/>
      <c r="AT64" s="86"/>
    </row>
    <row r="65" spans="1:46" ht="15.75" customHeight="1" thickBot="1" x14ac:dyDescent="0.3">
      <c r="A65" s="1" t="s">
        <v>17</v>
      </c>
      <c r="B65" s="54" t="s">
        <v>882</v>
      </c>
      <c r="C65" s="57"/>
      <c r="D65" s="20" t="s">
        <v>85</v>
      </c>
      <c r="E65" s="31" t="s">
        <v>430</v>
      </c>
      <c r="F65" s="69" t="s">
        <v>149</v>
      </c>
      <c r="G65" s="131" t="s">
        <v>7</v>
      </c>
      <c r="H65" s="135">
        <v>24422070060429</v>
      </c>
      <c r="I65" s="133" t="s">
        <v>789</v>
      </c>
      <c r="J65" s="71">
        <v>1</v>
      </c>
      <c r="K65" s="59" t="s">
        <v>187</v>
      </c>
      <c r="L65" s="59" t="s">
        <v>770</v>
      </c>
      <c r="M65" s="73">
        <f t="shared" si="0"/>
        <v>46041</v>
      </c>
      <c r="N65" s="23" t="e">
        <f t="shared" si="2"/>
        <v>#NUM!</v>
      </c>
      <c r="O65" s="73" t="e">
        <f t="shared" si="1"/>
        <v>#NUM!</v>
      </c>
      <c r="P65" s="59"/>
      <c r="Q65" s="59"/>
      <c r="R65" s="59"/>
      <c r="S65" s="59"/>
      <c r="T65" s="12" t="s">
        <v>885</v>
      </c>
      <c r="U65" s="12" t="s">
        <v>886</v>
      </c>
      <c r="V65" s="90" t="s">
        <v>777</v>
      </c>
      <c r="W65" s="28" t="s">
        <v>772</v>
      </c>
      <c r="X65" s="43" t="s">
        <v>771</v>
      </c>
      <c r="Y65" s="28"/>
      <c r="Z65" s="28">
        <v>1</v>
      </c>
      <c r="AA65" s="15">
        <v>1</v>
      </c>
      <c r="AB65" s="28">
        <v>2</v>
      </c>
      <c r="AC65" s="15">
        <v>2</v>
      </c>
      <c r="AD65" s="68">
        <v>1</v>
      </c>
      <c r="AE65" s="28"/>
      <c r="AF65" s="15"/>
      <c r="AG65" s="28"/>
      <c r="AH65" s="81"/>
      <c r="AI65" s="28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1:46" ht="15.75" customHeight="1" thickBot="1" x14ac:dyDescent="0.3">
      <c r="A66" s="1" t="s">
        <v>17</v>
      </c>
      <c r="B66" s="54" t="s">
        <v>882</v>
      </c>
      <c r="C66" s="57"/>
      <c r="D66" s="20" t="s">
        <v>86</v>
      </c>
      <c r="E66" s="31" t="s">
        <v>431</v>
      </c>
      <c r="F66" s="69" t="s">
        <v>149</v>
      </c>
      <c r="G66" s="131" t="s">
        <v>7</v>
      </c>
      <c r="H66" s="135">
        <v>24422070060431</v>
      </c>
      <c r="I66" s="133"/>
      <c r="J66" s="71"/>
      <c r="K66" s="59"/>
      <c r="L66" s="59"/>
      <c r="M66" s="73" t="e">
        <f t="shared" si="0"/>
        <v>#NUM!</v>
      </c>
      <c r="N66" s="23" t="e">
        <f t="shared" si="2"/>
        <v>#NUM!</v>
      </c>
      <c r="O66" s="73" t="e">
        <f t="shared" si="1"/>
        <v>#NUM!</v>
      </c>
      <c r="P66" s="59"/>
      <c r="Q66" s="59"/>
      <c r="R66" s="59"/>
      <c r="S66" s="59"/>
      <c r="T66" s="12" t="s">
        <v>885</v>
      </c>
      <c r="U66" s="12" t="s">
        <v>886</v>
      </c>
      <c r="V66" s="90" t="s">
        <v>777</v>
      </c>
      <c r="W66" s="28" t="s">
        <v>742</v>
      </c>
      <c r="X66" s="43" t="s">
        <v>771</v>
      </c>
      <c r="Y66" s="28"/>
      <c r="Z66" s="28">
        <v>1</v>
      </c>
      <c r="AA66" s="65">
        <v>1</v>
      </c>
      <c r="AB66" s="65"/>
      <c r="AC66" s="65"/>
      <c r="AD66" s="67">
        <v>1</v>
      </c>
      <c r="AE66" s="65"/>
      <c r="AF66" s="65"/>
      <c r="AG66" s="65"/>
      <c r="AH66" s="82"/>
      <c r="AI66" s="65"/>
      <c r="AJ66" s="16"/>
      <c r="AK66" s="16"/>
      <c r="AL66" s="29"/>
      <c r="AM66" s="16"/>
      <c r="AN66" s="29"/>
      <c r="AO66" s="16"/>
      <c r="AP66" s="16"/>
      <c r="AQ66" s="29"/>
      <c r="AR66" s="16"/>
      <c r="AS66" s="29"/>
      <c r="AT66" s="16"/>
    </row>
    <row r="67" spans="1:46" ht="15.75" customHeight="1" thickBot="1" x14ac:dyDescent="0.3">
      <c r="A67" s="1" t="s">
        <v>17</v>
      </c>
      <c r="B67" s="54" t="s">
        <v>882</v>
      </c>
      <c r="C67" s="116">
        <v>1</v>
      </c>
      <c r="D67" s="20" t="s">
        <v>87</v>
      </c>
      <c r="E67" s="31" t="s">
        <v>432</v>
      </c>
      <c r="F67" s="69" t="s">
        <v>149</v>
      </c>
      <c r="G67" s="131" t="s">
        <v>7</v>
      </c>
      <c r="H67" s="135">
        <v>24422070060432</v>
      </c>
      <c r="I67" s="133"/>
      <c r="J67" s="71"/>
      <c r="K67" s="59"/>
      <c r="L67" s="59"/>
      <c r="M67" s="73" t="e">
        <f t="shared" si="0"/>
        <v>#NUM!</v>
      </c>
      <c r="N67" s="23" t="e">
        <f t="shared" si="2"/>
        <v>#NUM!</v>
      </c>
      <c r="O67" s="73" t="e">
        <f t="shared" si="1"/>
        <v>#NUM!</v>
      </c>
      <c r="P67" s="59"/>
      <c r="Q67" s="59"/>
      <c r="R67" s="59"/>
      <c r="S67" s="59"/>
      <c r="T67" s="12" t="s">
        <v>885</v>
      </c>
      <c r="U67" s="12" t="s">
        <v>886</v>
      </c>
      <c r="V67" s="90"/>
      <c r="W67" s="28"/>
      <c r="X67" s="43"/>
      <c r="Y67" s="28"/>
      <c r="Z67" s="28"/>
      <c r="AA67" s="28"/>
      <c r="AB67" s="65"/>
      <c r="AC67" s="28"/>
      <c r="AD67" s="66"/>
      <c r="AE67" s="65"/>
      <c r="AF67" s="28"/>
      <c r="AG67" s="65"/>
      <c r="AH67" s="20"/>
      <c r="AI67" s="65"/>
      <c r="AJ67" s="16"/>
      <c r="AK67" s="16"/>
      <c r="AL67" s="29"/>
      <c r="AM67" s="16"/>
      <c r="AN67" s="29"/>
      <c r="AO67" s="16"/>
      <c r="AP67" s="16"/>
      <c r="AQ67" s="29"/>
      <c r="AR67" s="16"/>
      <c r="AS67" s="29"/>
      <c r="AT67" s="16"/>
    </row>
    <row r="68" spans="1:46" ht="15.75" customHeight="1" thickBot="1" x14ac:dyDescent="0.3">
      <c r="A68" s="1" t="s">
        <v>17</v>
      </c>
      <c r="B68" s="54" t="s">
        <v>883</v>
      </c>
      <c r="C68" s="57"/>
      <c r="D68" s="20" t="s">
        <v>88</v>
      </c>
      <c r="E68" s="31" t="s">
        <v>433</v>
      </c>
      <c r="F68" s="69" t="s">
        <v>149</v>
      </c>
      <c r="G68" s="131" t="s">
        <v>7</v>
      </c>
      <c r="H68" s="135">
        <v>24422070060433</v>
      </c>
      <c r="I68" s="133" t="s">
        <v>862</v>
      </c>
      <c r="J68" s="59" t="s">
        <v>157</v>
      </c>
      <c r="K68" s="59" t="s">
        <v>187</v>
      </c>
      <c r="L68" s="59" t="s">
        <v>770</v>
      </c>
      <c r="M68" s="73">
        <f t="shared" si="0"/>
        <v>46044</v>
      </c>
      <c r="N68" s="23" t="e">
        <f t="shared" si="2"/>
        <v>#NUM!</v>
      </c>
      <c r="O68" s="73" t="e">
        <f t="shared" si="1"/>
        <v>#NUM!</v>
      </c>
      <c r="P68" s="59"/>
      <c r="Q68" s="59"/>
      <c r="R68" s="59"/>
      <c r="S68" s="59"/>
      <c r="T68" s="12" t="s">
        <v>885</v>
      </c>
      <c r="U68" s="12" t="s">
        <v>886</v>
      </c>
      <c r="V68" s="90" t="s">
        <v>777</v>
      </c>
      <c r="W68" s="28" t="s">
        <v>765</v>
      </c>
      <c r="X68" s="43" t="s">
        <v>155</v>
      </c>
      <c r="Y68" s="28"/>
      <c r="Z68" s="28">
        <v>1</v>
      </c>
      <c r="AA68" s="28">
        <v>1</v>
      </c>
      <c r="AB68" s="65">
        <v>2</v>
      </c>
      <c r="AC68" s="28">
        <v>2</v>
      </c>
      <c r="AD68" s="66">
        <v>1</v>
      </c>
      <c r="AE68" s="65"/>
      <c r="AF68" s="28"/>
      <c r="AG68" s="65"/>
      <c r="AH68" s="20"/>
      <c r="AI68" s="65"/>
      <c r="AJ68" s="16"/>
      <c r="AK68" s="16"/>
      <c r="AL68" s="29"/>
      <c r="AM68" s="16"/>
      <c r="AN68" s="29"/>
      <c r="AO68" s="16"/>
      <c r="AP68" s="16"/>
      <c r="AQ68" s="29"/>
      <c r="AR68" s="16"/>
      <c r="AS68" s="29"/>
      <c r="AT68" s="16"/>
    </row>
    <row r="69" spans="1:46" ht="15.75" customHeight="1" thickBot="1" x14ac:dyDescent="0.3">
      <c r="A69" s="1" t="s">
        <v>17</v>
      </c>
      <c r="B69" s="54" t="s">
        <v>883</v>
      </c>
      <c r="C69" s="57"/>
      <c r="D69" s="20" t="s">
        <v>89</v>
      </c>
      <c r="E69" s="31" t="s">
        <v>434</v>
      </c>
      <c r="F69" s="69" t="s">
        <v>149</v>
      </c>
      <c r="G69" s="131" t="s">
        <v>7</v>
      </c>
      <c r="H69" s="135">
        <v>24422070060434</v>
      </c>
      <c r="I69" s="133"/>
      <c r="J69" s="59"/>
      <c r="K69" s="59"/>
      <c r="L69" s="59"/>
      <c r="M69" s="73" t="e">
        <f t="shared" ref="M69:M85" si="3">DATE(L69,J69,I69)</f>
        <v>#NUM!</v>
      </c>
      <c r="N69" s="23" t="e">
        <f t="shared" si="2"/>
        <v>#NUM!</v>
      </c>
      <c r="O69" s="73" t="e">
        <f t="shared" ref="O69:O85" si="4">DATE(S69,Q69,P69)</f>
        <v>#NUM!</v>
      </c>
      <c r="P69" s="59"/>
      <c r="Q69" s="59"/>
      <c r="R69" s="59"/>
      <c r="S69" s="59"/>
      <c r="T69" s="12" t="s">
        <v>885</v>
      </c>
      <c r="U69" s="12" t="s">
        <v>886</v>
      </c>
      <c r="V69" s="90"/>
      <c r="W69" s="28"/>
      <c r="X69" s="43"/>
      <c r="Y69" s="28"/>
      <c r="Z69" s="28"/>
      <c r="AA69" s="28"/>
      <c r="AB69" s="65"/>
      <c r="AC69" s="28"/>
      <c r="AD69" s="66"/>
      <c r="AE69" s="65"/>
      <c r="AF69" s="28"/>
      <c r="AG69" s="65"/>
      <c r="AH69" s="20"/>
      <c r="AI69" s="6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882</v>
      </c>
      <c r="C70" s="57"/>
      <c r="D70" s="20" t="s">
        <v>90</v>
      </c>
      <c r="E70" s="31" t="s">
        <v>435</v>
      </c>
      <c r="F70" s="69" t="s">
        <v>149</v>
      </c>
      <c r="G70" s="131" t="s">
        <v>7</v>
      </c>
      <c r="H70" s="135">
        <v>24422070060240</v>
      </c>
      <c r="I70" s="133"/>
      <c r="J70" s="71"/>
      <c r="K70" s="59"/>
      <c r="L70" s="71"/>
      <c r="M70" s="73" t="e">
        <f t="shared" si="3"/>
        <v>#NUM!</v>
      </c>
      <c r="N70" s="23" t="e">
        <f t="shared" ref="N70:N85" si="5">DATEDIF(M70,O70,"m")</f>
        <v>#NUM!</v>
      </c>
      <c r="O70" s="73" t="e">
        <f t="shared" si="4"/>
        <v>#NUM!</v>
      </c>
      <c r="P70" s="59"/>
      <c r="Q70" s="59"/>
      <c r="R70" s="59"/>
      <c r="S70" s="59"/>
      <c r="T70" s="12" t="s">
        <v>885</v>
      </c>
      <c r="U70" s="12" t="s">
        <v>886</v>
      </c>
      <c r="V70" s="90"/>
      <c r="W70" s="28"/>
      <c r="X70" s="43"/>
      <c r="Y70" s="28"/>
      <c r="Z70" s="28"/>
      <c r="AA70" s="15"/>
      <c r="AB70" s="15"/>
      <c r="AC70" s="15"/>
      <c r="AD70" s="68"/>
      <c r="AE70" s="15"/>
      <c r="AF70" s="15"/>
      <c r="AG70" s="15"/>
      <c r="AH70" s="81"/>
      <c r="AI70" s="15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</row>
    <row r="71" spans="1:46" ht="15.75" customHeight="1" thickBot="1" x14ac:dyDescent="0.3">
      <c r="A71" s="1" t="s">
        <v>17</v>
      </c>
      <c r="B71" s="54" t="s">
        <v>883</v>
      </c>
      <c r="C71" s="116">
        <v>4</v>
      </c>
      <c r="D71" s="20" t="s">
        <v>91</v>
      </c>
      <c r="E71" s="31" t="s">
        <v>436</v>
      </c>
      <c r="F71" s="69" t="s">
        <v>149</v>
      </c>
      <c r="G71" s="131" t="s">
        <v>7</v>
      </c>
      <c r="H71" s="135">
        <v>24422070060435</v>
      </c>
      <c r="I71" s="133"/>
      <c r="J71" s="59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885</v>
      </c>
      <c r="U71" s="12" t="s">
        <v>886</v>
      </c>
      <c r="V71" s="90"/>
      <c r="W71" s="28"/>
      <c r="X71" s="43"/>
      <c r="Y71" s="28"/>
      <c r="Z71" s="28"/>
      <c r="AA71" s="15"/>
      <c r="AB71" s="15"/>
      <c r="AC71" s="15"/>
      <c r="AD71" s="68"/>
      <c r="AE71" s="15"/>
      <c r="AF71" s="15"/>
      <c r="AG71" s="15"/>
      <c r="AH71" s="81"/>
      <c r="AI71" s="15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</row>
    <row r="72" spans="1:46" ht="15.75" customHeight="1" thickBot="1" x14ac:dyDescent="0.3">
      <c r="A72" s="1" t="s">
        <v>17</v>
      </c>
      <c r="B72" s="54" t="s">
        <v>882</v>
      </c>
      <c r="C72" s="57"/>
      <c r="D72" s="20" t="s">
        <v>92</v>
      </c>
      <c r="E72" s="31" t="s">
        <v>437</v>
      </c>
      <c r="F72" s="69" t="s">
        <v>149</v>
      </c>
      <c r="G72" s="131" t="s">
        <v>7</v>
      </c>
      <c r="H72" s="135">
        <v>24422070060436</v>
      </c>
      <c r="I72" s="133" t="s">
        <v>793</v>
      </c>
      <c r="J72" s="59" t="s">
        <v>157</v>
      </c>
      <c r="K72" s="59" t="s">
        <v>187</v>
      </c>
      <c r="L72" s="59" t="s">
        <v>770</v>
      </c>
      <c r="M72" s="73">
        <f t="shared" si="3"/>
        <v>46049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885</v>
      </c>
      <c r="U72" s="12" t="s">
        <v>886</v>
      </c>
      <c r="V72" s="90" t="s">
        <v>777</v>
      </c>
      <c r="W72" s="28" t="s">
        <v>182</v>
      </c>
      <c r="X72" s="43" t="s">
        <v>155</v>
      </c>
      <c r="Y72" s="28"/>
      <c r="Z72" s="28">
        <v>1</v>
      </c>
      <c r="AA72" s="15">
        <v>1</v>
      </c>
      <c r="AB72" s="15">
        <v>1</v>
      </c>
      <c r="AC72" s="15">
        <v>2</v>
      </c>
      <c r="AD72" s="68">
        <v>1</v>
      </c>
      <c r="AE72" s="15"/>
      <c r="AF72" s="15"/>
      <c r="AG72" s="15"/>
      <c r="AH72" s="81"/>
      <c r="AI72" s="15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</row>
    <row r="73" spans="1:46" ht="15.75" customHeight="1" thickBot="1" x14ac:dyDescent="0.3">
      <c r="A73" s="1" t="s">
        <v>17</v>
      </c>
      <c r="B73" s="54" t="s">
        <v>883</v>
      </c>
      <c r="C73" s="57"/>
      <c r="D73" s="20" t="s">
        <v>93</v>
      </c>
      <c r="E73" s="31" t="s">
        <v>438</v>
      </c>
      <c r="F73" s="69" t="s">
        <v>149</v>
      </c>
      <c r="G73" s="131" t="s">
        <v>7</v>
      </c>
      <c r="H73" s="135">
        <v>24422070060438</v>
      </c>
      <c r="I73" s="133"/>
      <c r="J73" s="71"/>
      <c r="K73" s="59"/>
      <c r="L73" s="59"/>
      <c r="M73" s="73" t="e">
        <f t="shared" si="3"/>
        <v>#NUM!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885</v>
      </c>
      <c r="U73" s="12" t="s">
        <v>886</v>
      </c>
      <c r="V73" s="90"/>
      <c r="W73" s="28"/>
      <c r="X73" s="43"/>
      <c r="Y73" s="28"/>
      <c r="Z73" s="28"/>
      <c r="AA73" s="15"/>
      <c r="AB73" s="15"/>
      <c r="AC73" s="15"/>
      <c r="AD73" s="68"/>
      <c r="AE73" s="15"/>
      <c r="AF73" s="15"/>
      <c r="AG73" s="15"/>
      <c r="AH73" s="81"/>
      <c r="AI73" s="15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883</v>
      </c>
      <c r="C74" s="57"/>
      <c r="D74" s="20" t="s">
        <v>94</v>
      </c>
      <c r="E74" s="31" t="s">
        <v>439</v>
      </c>
      <c r="F74" s="69" t="s">
        <v>149</v>
      </c>
      <c r="G74" s="131" t="s">
        <v>7</v>
      </c>
      <c r="H74" s="135">
        <v>24422070060439</v>
      </c>
      <c r="I74" s="133"/>
      <c r="J74" s="71"/>
      <c r="K74" s="59"/>
      <c r="L74" s="59"/>
      <c r="M74" s="73" t="e">
        <f t="shared" si="3"/>
        <v>#NUM!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885</v>
      </c>
      <c r="U74" s="12" t="s">
        <v>886</v>
      </c>
      <c r="V74" s="90"/>
      <c r="W74" s="28"/>
      <c r="X74" s="43"/>
      <c r="Y74" s="28"/>
      <c r="Z74" s="28"/>
      <c r="AA74" s="15"/>
      <c r="AB74" s="15"/>
      <c r="AC74" s="15"/>
      <c r="AD74" s="68"/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882</v>
      </c>
      <c r="C75" s="57"/>
      <c r="D75" s="20" t="s">
        <v>95</v>
      </c>
      <c r="E75" s="31" t="s">
        <v>440</v>
      </c>
      <c r="F75" s="69" t="s">
        <v>149</v>
      </c>
      <c r="G75" s="131" t="s">
        <v>7</v>
      </c>
      <c r="H75" s="135">
        <v>24422070060441</v>
      </c>
      <c r="I75" s="133" t="s">
        <v>781</v>
      </c>
      <c r="J75" s="71">
        <v>2</v>
      </c>
      <c r="K75" s="59" t="s">
        <v>798</v>
      </c>
      <c r="L75" s="59" t="s">
        <v>770</v>
      </c>
      <c r="M75" s="73">
        <f t="shared" si="3"/>
        <v>46057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885</v>
      </c>
      <c r="U75" s="12" t="s">
        <v>886</v>
      </c>
      <c r="V75" s="90" t="s">
        <v>165</v>
      </c>
      <c r="W75" s="28" t="s">
        <v>740</v>
      </c>
      <c r="X75" s="43" t="s">
        <v>155</v>
      </c>
      <c r="Y75" s="28"/>
      <c r="Z75" s="28">
        <v>1</v>
      </c>
      <c r="AA75" s="15">
        <v>1</v>
      </c>
      <c r="AB75" s="15">
        <v>1</v>
      </c>
      <c r="AC75" s="15">
        <v>1</v>
      </c>
      <c r="AD75" s="68">
        <v>1</v>
      </c>
      <c r="AE75" s="15">
        <v>1</v>
      </c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882</v>
      </c>
      <c r="C76" s="57"/>
      <c r="D76" s="20" t="s">
        <v>96</v>
      </c>
      <c r="E76" s="130" t="s">
        <v>847</v>
      </c>
      <c r="F76" s="69" t="s">
        <v>149</v>
      </c>
      <c r="G76" s="131" t="s">
        <v>7</v>
      </c>
      <c r="H76" s="135">
        <v>24422070060629</v>
      </c>
      <c r="I76" s="133" t="s">
        <v>794</v>
      </c>
      <c r="J76" s="71">
        <v>10</v>
      </c>
      <c r="K76" s="59" t="s">
        <v>817</v>
      </c>
      <c r="L76" s="59" t="s">
        <v>770</v>
      </c>
      <c r="M76" s="73">
        <f t="shared" si="3"/>
        <v>46324</v>
      </c>
      <c r="N76" s="23" t="e">
        <f t="shared" si="5"/>
        <v>#NUM!</v>
      </c>
      <c r="O76" s="73">
        <f t="shared" si="4"/>
        <v>46141</v>
      </c>
      <c r="P76" s="59" t="s">
        <v>794</v>
      </c>
      <c r="Q76" s="59" t="s">
        <v>876</v>
      </c>
      <c r="R76" s="59" t="s">
        <v>868</v>
      </c>
      <c r="S76" s="59" t="s">
        <v>770</v>
      </c>
      <c r="T76" s="12" t="s">
        <v>885</v>
      </c>
      <c r="U76" s="12" t="s">
        <v>886</v>
      </c>
      <c r="V76" s="90" t="s">
        <v>777</v>
      </c>
      <c r="W76" s="28" t="s">
        <v>202</v>
      </c>
      <c r="X76" s="43" t="s">
        <v>771</v>
      </c>
      <c r="Y76" s="28"/>
      <c r="Z76" s="28">
        <v>2</v>
      </c>
      <c r="AA76" s="15">
        <v>2</v>
      </c>
      <c r="AB76" s="15">
        <v>2</v>
      </c>
      <c r="AC76" s="15">
        <v>2</v>
      </c>
      <c r="AD76" s="68">
        <v>2</v>
      </c>
      <c r="AE76" s="15">
        <v>2</v>
      </c>
      <c r="AF76" s="15">
        <v>2</v>
      </c>
      <c r="AG76" s="15">
        <v>2</v>
      </c>
      <c r="AH76" s="81" t="s">
        <v>870</v>
      </c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thickBot="1" x14ac:dyDescent="0.3">
      <c r="A77" s="1" t="s">
        <v>17</v>
      </c>
      <c r="B77" s="54" t="s">
        <v>882</v>
      </c>
      <c r="C77" s="57"/>
      <c r="D77" s="20" t="s">
        <v>97</v>
      </c>
      <c r="E77" s="31" t="s">
        <v>442</v>
      </c>
      <c r="F77" s="69" t="s">
        <v>149</v>
      </c>
      <c r="G77" s="131" t="s">
        <v>7</v>
      </c>
      <c r="H77" s="135">
        <v>24422070060444</v>
      </c>
      <c r="I77" s="133" t="s">
        <v>794</v>
      </c>
      <c r="J77" s="71">
        <v>10</v>
      </c>
      <c r="K77" s="59" t="s">
        <v>817</v>
      </c>
      <c r="L77" s="59" t="s">
        <v>153</v>
      </c>
      <c r="M77" s="73">
        <f t="shared" si="3"/>
        <v>45959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885</v>
      </c>
      <c r="U77" s="12" t="s">
        <v>886</v>
      </c>
      <c r="V77" s="90" t="s">
        <v>777</v>
      </c>
      <c r="W77" s="28" t="s">
        <v>174</v>
      </c>
      <c r="X77" s="43" t="s">
        <v>771</v>
      </c>
      <c r="Y77" s="28"/>
      <c r="Z77" s="28">
        <v>1</v>
      </c>
      <c r="AA77" s="15">
        <v>1</v>
      </c>
      <c r="AB77" s="15">
        <v>1</v>
      </c>
      <c r="AC77" s="15">
        <v>1</v>
      </c>
      <c r="AD77" s="68">
        <v>1</v>
      </c>
      <c r="AE77" s="15"/>
      <c r="AF77" s="15"/>
      <c r="AG77" s="15"/>
      <c r="AH77" s="81"/>
      <c r="AI77" s="15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</row>
    <row r="78" spans="1:46" ht="15.75" customHeight="1" thickBot="1" x14ac:dyDescent="0.3">
      <c r="A78" s="1" t="s">
        <v>17</v>
      </c>
      <c r="B78" s="54" t="s">
        <v>882</v>
      </c>
      <c r="C78" s="57"/>
      <c r="D78" s="20" t="s">
        <v>98</v>
      </c>
      <c r="E78" s="31" t="s">
        <v>443</v>
      </c>
      <c r="F78" s="69" t="s">
        <v>149</v>
      </c>
      <c r="G78" s="131" t="s">
        <v>7</v>
      </c>
      <c r="H78" s="135">
        <v>24422070060445</v>
      </c>
      <c r="I78" s="133" t="s">
        <v>785</v>
      </c>
      <c r="J78" s="59" t="s">
        <v>779</v>
      </c>
      <c r="K78" s="59" t="s">
        <v>798</v>
      </c>
      <c r="L78" s="59" t="s">
        <v>770</v>
      </c>
      <c r="M78" s="73">
        <f t="shared" si="3"/>
        <v>46066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885</v>
      </c>
      <c r="U78" s="12" t="s">
        <v>886</v>
      </c>
      <c r="V78" s="90" t="s">
        <v>777</v>
      </c>
      <c r="W78" s="28" t="s">
        <v>174</v>
      </c>
      <c r="X78" s="43" t="s">
        <v>771</v>
      </c>
      <c r="Y78" s="28"/>
      <c r="Z78" s="28">
        <v>1</v>
      </c>
      <c r="AA78" s="15">
        <v>1</v>
      </c>
      <c r="AB78" s="15">
        <v>1</v>
      </c>
      <c r="AC78" s="15">
        <v>1</v>
      </c>
      <c r="AD78" s="68">
        <v>1</v>
      </c>
      <c r="AE78" s="15"/>
      <c r="AF78" s="15"/>
      <c r="AG78" s="15"/>
      <c r="AH78" s="81"/>
      <c r="AI78" s="15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</row>
    <row r="79" spans="1:46" ht="15.75" customHeight="1" thickBot="1" x14ac:dyDescent="0.3">
      <c r="A79" s="1" t="s">
        <v>17</v>
      </c>
      <c r="B79" s="54" t="s">
        <v>882</v>
      </c>
      <c r="C79" s="57"/>
      <c r="D79" s="20" t="s">
        <v>99</v>
      </c>
      <c r="E79" s="31" t="s">
        <v>444</v>
      </c>
      <c r="F79" s="69" t="s">
        <v>149</v>
      </c>
      <c r="G79" s="131" t="s">
        <v>7</v>
      </c>
      <c r="H79" s="135">
        <v>24422070060446</v>
      </c>
      <c r="I79" s="133" t="s">
        <v>157</v>
      </c>
      <c r="J79" s="59" t="s">
        <v>779</v>
      </c>
      <c r="K79" s="59" t="s">
        <v>798</v>
      </c>
      <c r="L79" s="59" t="s">
        <v>770</v>
      </c>
      <c r="M79" s="73">
        <f t="shared" si="3"/>
        <v>46054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885</v>
      </c>
      <c r="U79" s="12" t="s">
        <v>886</v>
      </c>
      <c r="V79" s="90" t="s">
        <v>777</v>
      </c>
      <c r="W79" s="28" t="s">
        <v>819</v>
      </c>
      <c r="X79" s="43" t="s">
        <v>820</v>
      </c>
      <c r="Y79" s="28"/>
      <c r="Z79" s="28">
        <v>1</v>
      </c>
      <c r="AA79" s="15">
        <v>1</v>
      </c>
      <c r="AB79" s="15">
        <v>1</v>
      </c>
      <c r="AC79" s="15">
        <v>1</v>
      </c>
      <c r="AD79" s="68">
        <v>1</v>
      </c>
      <c r="AE79" s="15"/>
      <c r="AF79" s="15"/>
      <c r="AG79" s="15"/>
      <c r="AH79" s="81"/>
      <c r="AI79" s="15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</row>
    <row r="80" spans="1:46" ht="15.75" customHeight="1" thickBot="1" x14ac:dyDescent="0.3">
      <c r="A80" s="1" t="s">
        <v>17</v>
      </c>
      <c r="B80" s="54" t="s">
        <v>883</v>
      </c>
      <c r="C80" s="116">
        <v>1</v>
      </c>
      <c r="D80" s="20" t="s">
        <v>100</v>
      </c>
      <c r="E80" s="31" t="s">
        <v>445</v>
      </c>
      <c r="F80" s="69" t="s">
        <v>149</v>
      </c>
      <c r="G80" s="131" t="s">
        <v>7</v>
      </c>
      <c r="H80" s="135">
        <v>24422070060447</v>
      </c>
      <c r="I80" s="133"/>
      <c r="J80" s="59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885</v>
      </c>
      <c r="U80" s="12" t="s">
        <v>886</v>
      </c>
      <c r="V80" s="90"/>
      <c r="W80" s="28"/>
      <c r="X80" s="43"/>
      <c r="Y80" s="28"/>
      <c r="Z80" s="28"/>
      <c r="AA80" s="15"/>
      <c r="AB80" s="15"/>
      <c r="AC80" s="15"/>
      <c r="AD80" s="68"/>
      <c r="AE80" s="15"/>
      <c r="AF80" s="15"/>
      <c r="AG80" s="15"/>
      <c r="AH80" s="81"/>
      <c r="AI80" s="15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</row>
    <row r="81" spans="1:46" ht="15.75" customHeight="1" thickBot="1" x14ac:dyDescent="0.3">
      <c r="A81" s="1" t="s">
        <v>17</v>
      </c>
      <c r="B81" s="54" t="s">
        <v>882</v>
      </c>
      <c r="C81" s="57"/>
      <c r="D81" s="20" t="s">
        <v>101</v>
      </c>
      <c r="E81" s="31" t="s">
        <v>446</v>
      </c>
      <c r="F81" s="69" t="s">
        <v>149</v>
      </c>
      <c r="G81" s="131" t="s">
        <v>7</v>
      </c>
      <c r="H81" s="135">
        <v>24422070060448</v>
      </c>
      <c r="I81" s="133"/>
      <c r="J81" s="71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885</v>
      </c>
      <c r="U81" s="12" t="s">
        <v>886</v>
      </c>
      <c r="V81" s="90" t="s">
        <v>777</v>
      </c>
      <c r="W81" s="28" t="s">
        <v>811</v>
      </c>
      <c r="X81" s="43" t="s">
        <v>771</v>
      </c>
      <c r="Y81" s="28"/>
      <c r="Z81" s="28">
        <v>1</v>
      </c>
      <c r="AA81" s="15">
        <v>1</v>
      </c>
      <c r="AB81" s="15"/>
      <c r="AC81" s="15"/>
      <c r="AD81" s="68">
        <v>1</v>
      </c>
      <c r="AE81" s="15"/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882</v>
      </c>
      <c r="C82" s="57"/>
      <c r="D82" s="20" t="s">
        <v>102</v>
      </c>
      <c r="E82" s="31" t="s">
        <v>447</v>
      </c>
      <c r="F82" s="69" t="s">
        <v>149</v>
      </c>
      <c r="G82" s="131" t="s">
        <v>7</v>
      </c>
      <c r="H82" s="135">
        <v>24422070060452</v>
      </c>
      <c r="I82" s="133" t="s">
        <v>781</v>
      </c>
      <c r="J82" s="71">
        <v>2</v>
      </c>
      <c r="K82" s="59" t="s">
        <v>798</v>
      </c>
      <c r="L82" s="59" t="s">
        <v>770</v>
      </c>
      <c r="M82" s="73">
        <f t="shared" si="3"/>
        <v>46057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885</v>
      </c>
      <c r="U82" s="12" t="s">
        <v>886</v>
      </c>
      <c r="V82" s="90" t="s">
        <v>777</v>
      </c>
      <c r="W82" s="28" t="s">
        <v>740</v>
      </c>
      <c r="X82" s="43" t="s">
        <v>155</v>
      </c>
      <c r="Y82" s="28"/>
      <c r="Z82" s="28">
        <v>1</v>
      </c>
      <c r="AA82" s="15">
        <v>1</v>
      </c>
      <c r="AB82" s="15">
        <v>1</v>
      </c>
      <c r="AC82" s="15">
        <v>1</v>
      </c>
      <c r="AD82" s="68">
        <v>1</v>
      </c>
      <c r="AE82" s="15">
        <v>1</v>
      </c>
      <c r="AF82" s="15"/>
      <c r="AG82" s="15"/>
      <c r="AH82" s="81"/>
      <c r="AI82" s="15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</row>
    <row r="83" spans="1:46" ht="15.75" customHeight="1" thickBot="1" x14ac:dyDescent="0.3">
      <c r="A83" s="1" t="s">
        <v>17</v>
      </c>
      <c r="B83" s="54" t="s">
        <v>883</v>
      </c>
      <c r="C83" s="116">
        <v>1</v>
      </c>
      <c r="D83" s="20" t="s">
        <v>103</v>
      </c>
      <c r="E83" s="31" t="s">
        <v>448</v>
      </c>
      <c r="F83" s="69" t="s">
        <v>149</v>
      </c>
      <c r="G83" s="131" t="s">
        <v>7</v>
      </c>
      <c r="H83" s="135">
        <v>24422070060455</v>
      </c>
      <c r="I83" s="133"/>
      <c r="J83" s="71"/>
      <c r="K83" s="59"/>
      <c r="L83" s="59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885</v>
      </c>
      <c r="U83" s="12" t="s">
        <v>886</v>
      </c>
      <c r="V83" s="90"/>
      <c r="W83" s="28"/>
      <c r="X83" s="43"/>
      <c r="Y83" s="28"/>
      <c r="Z83" s="28"/>
      <c r="AA83" s="15"/>
      <c r="AB83" s="15"/>
      <c r="AC83" s="15"/>
      <c r="AD83" s="68"/>
      <c r="AE83" s="15"/>
      <c r="AF83" s="15"/>
      <c r="AG83" s="15"/>
      <c r="AH83" s="81"/>
      <c r="AI83" s="15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</row>
    <row r="84" spans="1:46" ht="15.75" customHeight="1" thickBot="1" x14ac:dyDescent="0.3">
      <c r="A84" s="1" t="s">
        <v>17</v>
      </c>
      <c r="B84" s="54" t="s">
        <v>883</v>
      </c>
      <c r="C84" s="116">
        <v>2</v>
      </c>
      <c r="D84" s="20" t="s">
        <v>104</v>
      </c>
      <c r="E84" s="31" t="s">
        <v>449</v>
      </c>
      <c r="F84" s="69" t="s">
        <v>149</v>
      </c>
      <c r="G84" s="131" t="s">
        <v>7</v>
      </c>
      <c r="H84" s="135">
        <v>24422070060456</v>
      </c>
      <c r="I84" s="133"/>
      <c r="J84" s="71"/>
      <c r="K84" s="59"/>
      <c r="L84" s="59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885</v>
      </c>
      <c r="U84" s="12" t="s">
        <v>886</v>
      </c>
      <c r="V84" s="90"/>
      <c r="W84" s="28"/>
      <c r="X84" s="43"/>
      <c r="Y84" s="28"/>
      <c r="Z84" s="28"/>
      <c r="AA84" s="15"/>
      <c r="AB84" s="15"/>
      <c r="AC84" s="15"/>
      <c r="AD84" s="68"/>
      <c r="AE84" s="15"/>
      <c r="AF84" s="15"/>
      <c r="AG84" s="15"/>
      <c r="AH84" s="81"/>
      <c r="AI84" s="15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</row>
    <row r="85" spans="1:46" ht="15.75" customHeight="1" thickBot="1" x14ac:dyDescent="0.3">
      <c r="A85" s="1" t="s">
        <v>17</v>
      </c>
      <c r="B85" s="54" t="s">
        <v>882</v>
      </c>
      <c r="C85" s="57"/>
      <c r="D85" s="20" t="s">
        <v>105</v>
      </c>
      <c r="E85" s="31" t="s">
        <v>450</v>
      </c>
      <c r="F85" s="69" t="s">
        <v>149</v>
      </c>
      <c r="G85" s="131" t="s">
        <v>7</v>
      </c>
      <c r="H85" s="135">
        <v>24422070060457</v>
      </c>
      <c r="I85" s="133" t="s">
        <v>769</v>
      </c>
      <c r="J85" s="71">
        <v>2</v>
      </c>
      <c r="K85" s="59" t="s">
        <v>798</v>
      </c>
      <c r="L85" s="59" t="s">
        <v>770</v>
      </c>
      <c r="M85" s="73">
        <f t="shared" si="3"/>
        <v>46069</v>
      </c>
      <c r="N85" s="23" t="e">
        <f t="shared" si="5"/>
        <v>#NUM!</v>
      </c>
      <c r="O85" s="73" t="e">
        <f t="shared" si="4"/>
        <v>#NUM!</v>
      </c>
      <c r="P85" s="59"/>
      <c r="Q85" s="59"/>
      <c r="R85" s="59"/>
      <c r="S85" s="59"/>
      <c r="T85" s="12" t="s">
        <v>885</v>
      </c>
      <c r="U85" s="12" t="s">
        <v>886</v>
      </c>
      <c r="V85" s="90" t="s">
        <v>777</v>
      </c>
      <c r="W85" s="28" t="s">
        <v>195</v>
      </c>
      <c r="X85" s="43" t="s">
        <v>155</v>
      </c>
      <c r="Y85" s="28"/>
      <c r="Z85" s="28">
        <v>1</v>
      </c>
      <c r="AA85" s="15">
        <v>1</v>
      </c>
      <c r="AB85" s="15">
        <v>2</v>
      </c>
      <c r="AC85" s="15">
        <v>2</v>
      </c>
      <c r="AD85" s="68">
        <v>1</v>
      </c>
      <c r="AE85" s="15"/>
      <c r="AF85" s="15"/>
      <c r="AG85" s="15"/>
      <c r="AH85" s="81"/>
      <c r="AI85" s="15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</row>
    <row r="86" spans="1:46" ht="15.75" customHeight="1" x14ac:dyDescent="0.25">
      <c r="A86" s="49"/>
      <c r="B86" s="49"/>
      <c r="C86" s="49"/>
      <c r="D86" s="49"/>
      <c r="E86" s="49"/>
      <c r="F86" s="49"/>
      <c r="G86" s="49"/>
      <c r="H86" s="48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83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84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84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84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84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84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84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84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x14ac:dyDescent="0.25">
      <c r="A106" s="48"/>
      <c r="B106" s="48"/>
      <c r="C106" s="48"/>
      <c r="D106" s="48"/>
      <c r="E106" s="48"/>
      <c r="F106" s="48">
        <v>8</v>
      </c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84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</row>
    <row r="233" spans="1:46" ht="15.75" customHeight="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84"/>
      <c r="AI233" s="17"/>
    </row>
    <row r="234" spans="1:46" ht="15.75" customHeight="1" x14ac:dyDescent="0.25"/>
    <row r="235" spans="1:46" ht="15.75" customHeight="1" x14ac:dyDescent="0.25"/>
    <row r="236" spans="1:46" ht="15.75" customHeight="1" x14ac:dyDescent="0.25"/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autoFilter ref="A1:AV85"/>
  <conditionalFormatting sqref="N2:N34 N36:N85">
    <cfRule type="cellIs" dxfId="19" priority="6" operator="greaterThan">
      <formula>5</formula>
    </cfRule>
    <cfRule type="cellIs" dxfId="18" priority="7" operator="lessThan">
      <formula>6</formula>
    </cfRule>
    <cfRule type="cellIs" dxfId="17" priority="9" operator="greaterThan">
      <formula>6</formula>
    </cfRule>
    <cfRule type="cellIs" dxfId="16" priority="10" operator="lessThan">
      <formula>6</formula>
    </cfRule>
  </conditionalFormatting>
  <conditionalFormatting sqref="N1:N34 N36:N1048576">
    <cfRule type="cellIs" dxfId="15" priority="8" operator="greaterThan">
      <formula>6</formula>
    </cfRule>
  </conditionalFormatting>
  <conditionalFormatting sqref="N35">
    <cfRule type="cellIs" dxfId="14" priority="1" operator="greaterThan">
      <formula>5</formula>
    </cfRule>
    <cfRule type="cellIs" dxfId="13" priority="2" operator="lessThan">
      <formula>6</formula>
    </cfRule>
    <cfRule type="cellIs" dxfId="12" priority="4" operator="greaterThan">
      <formula>6</formula>
    </cfRule>
    <cfRule type="cellIs" dxfId="11" priority="5" operator="lessThan">
      <formula>6</formula>
    </cfRule>
  </conditionalFormatting>
  <conditionalFormatting sqref="N35">
    <cfRule type="cellIs" dxfId="10" priority="3" operator="greaterThan">
      <formula>6</formula>
    </cfRule>
  </conditionalFormatting>
  <dataValidations count="1">
    <dataValidation type="list" allowBlank="1" showInputMessage="1" showErrorMessage="1" sqref="X2:X85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9" max="47" man="1"/>
    <brk id="85" max="47" man="1"/>
    <brk id="141" max="35" man="1"/>
  </rowBreaks>
  <colBreaks count="2" manualBreakCount="2">
    <brk id="21" max="241" man="1"/>
    <brk id="35" max="241" man="1"/>
  </colBreaks>
  <ignoredErrors>
    <ignoredError sqref="D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V2:V85</xm:sqref>
        </x14:dataValidation>
        <x14:dataValidation type="list" allowBlank="1" showInputMessage="1" showErrorMessage="1">
          <x14:formula1>
            <xm:f>CATALOGO!$A$2:$A$87</xm:f>
          </x14:formula1>
          <xm:sqref>W2:W85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49"/>
  <sheetViews>
    <sheetView view="pageBreakPreview" zoomScale="80" zoomScaleNormal="70" zoomScaleSheetLayoutView="80" workbookViewId="0">
      <pane ySplit="1" topLeftCell="A56" activePane="bottomLeft" state="frozen"/>
      <selection pane="bottomLeft" activeCell="E74" sqref="E74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882</v>
      </c>
      <c r="C2" s="87"/>
      <c r="D2" s="20" t="s">
        <v>23</v>
      </c>
      <c r="E2" s="31" t="s">
        <v>451</v>
      </c>
      <c r="F2" s="22" t="s">
        <v>150</v>
      </c>
      <c r="G2" s="11" t="s">
        <v>9</v>
      </c>
      <c r="H2" s="21">
        <v>24422070060459</v>
      </c>
      <c r="I2" s="58" t="s">
        <v>792</v>
      </c>
      <c r="J2" s="58" t="s">
        <v>157</v>
      </c>
      <c r="K2" s="58" t="s">
        <v>187</v>
      </c>
      <c r="L2" s="58" t="s">
        <v>770</v>
      </c>
      <c r="M2" s="73">
        <f>DATE(L2,J2,I2)</f>
        <v>46048</v>
      </c>
      <c r="N2" s="23" t="e">
        <f>DATEDIF(M2,O2,"m")</f>
        <v>#NUM!</v>
      </c>
      <c r="O2" s="73" t="e">
        <f>DATE(S2,Q2,P2)</f>
        <v>#NUM!</v>
      </c>
      <c r="P2" s="58"/>
      <c r="Q2" s="58"/>
      <c r="R2" s="58"/>
      <c r="S2" s="58"/>
      <c r="T2" s="12" t="s">
        <v>727</v>
      </c>
      <c r="U2" s="12" t="s">
        <v>886</v>
      </c>
      <c r="V2" s="90" t="s">
        <v>777</v>
      </c>
      <c r="W2" s="28" t="s">
        <v>201</v>
      </c>
      <c r="X2" s="43" t="s">
        <v>155</v>
      </c>
      <c r="Y2" s="61"/>
      <c r="Z2" s="28">
        <v>1</v>
      </c>
      <c r="AA2" s="28">
        <v>1</v>
      </c>
      <c r="AB2" s="28">
        <v>1</v>
      </c>
      <c r="AC2" s="28">
        <v>1</v>
      </c>
      <c r="AD2" s="66">
        <v>1</v>
      </c>
      <c r="AE2" s="28"/>
      <c r="AF2" s="28"/>
      <c r="AG2" s="28"/>
      <c r="AH2" s="20"/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883</v>
      </c>
      <c r="C3" s="87"/>
      <c r="D3" s="20" t="s">
        <v>25</v>
      </c>
      <c r="E3" s="31" t="s">
        <v>452</v>
      </c>
      <c r="F3" s="22" t="s">
        <v>150</v>
      </c>
      <c r="G3" s="11" t="s">
        <v>9</v>
      </c>
      <c r="H3" s="21">
        <v>24422070060460</v>
      </c>
      <c r="I3" s="58" t="s">
        <v>792</v>
      </c>
      <c r="J3" s="70">
        <v>1</v>
      </c>
      <c r="K3" s="58" t="s">
        <v>187</v>
      </c>
      <c r="L3" s="58" t="s">
        <v>770</v>
      </c>
      <c r="M3" s="73">
        <f t="shared" ref="M3:M59" si="0">DATE(L3,J3,I3)</f>
        <v>46048</v>
      </c>
      <c r="N3" s="23" t="e">
        <f>DATEDIF(M3,O3,"m")</f>
        <v>#NUM!</v>
      </c>
      <c r="O3" s="73" t="e">
        <f t="shared" ref="O3:O59" si="1">DATE(S3,Q3,P3)</f>
        <v>#NUM!</v>
      </c>
      <c r="P3" s="58"/>
      <c r="Q3" s="58"/>
      <c r="R3" s="58"/>
      <c r="S3" s="58"/>
      <c r="T3" s="12" t="s">
        <v>727</v>
      </c>
      <c r="U3" s="12" t="s">
        <v>886</v>
      </c>
      <c r="V3" s="90" t="s">
        <v>777</v>
      </c>
      <c r="W3" s="28" t="s">
        <v>773</v>
      </c>
      <c r="X3" s="43" t="s">
        <v>771</v>
      </c>
      <c r="Y3" s="28"/>
      <c r="Z3" s="28">
        <v>1</v>
      </c>
      <c r="AA3" s="28">
        <v>1</v>
      </c>
      <c r="AB3" s="28">
        <v>2</v>
      </c>
      <c r="AC3" s="28">
        <v>2</v>
      </c>
      <c r="AD3" s="66">
        <v>1</v>
      </c>
      <c r="AE3" s="28"/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882</v>
      </c>
      <c r="C4" s="87"/>
      <c r="D4" s="20" t="s">
        <v>26</v>
      </c>
      <c r="E4" s="31" t="s">
        <v>453</v>
      </c>
      <c r="F4" s="22" t="s">
        <v>150</v>
      </c>
      <c r="G4" s="11" t="s">
        <v>9</v>
      </c>
      <c r="H4" s="21">
        <v>24422070060461</v>
      </c>
      <c r="I4" s="58" t="s">
        <v>769</v>
      </c>
      <c r="J4" s="70">
        <v>2</v>
      </c>
      <c r="K4" s="58" t="s">
        <v>798</v>
      </c>
      <c r="L4" s="58" t="s">
        <v>770</v>
      </c>
      <c r="M4" s="73">
        <f t="shared" si="0"/>
        <v>46069</v>
      </c>
      <c r="N4" s="23" t="e">
        <f t="shared" ref="N4:N60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727</v>
      </c>
      <c r="U4" s="12" t="s">
        <v>886</v>
      </c>
      <c r="V4" s="90" t="s">
        <v>165</v>
      </c>
      <c r="W4" s="28" t="s">
        <v>190</v>
      </c>
      <c r="X4" s="43" t="s">
        <v>155</v>
      </c>
      <c r="Y4" s="28" t="s">
        <v>871</v>
      </c>
      <c r="Z4" s="28">
        <v>1</v>
      </c>
      <c r="AA4" s="28">
        <v>1</v>
      </c>
      <c r="AB4" s="28">
        <v>2</v>
      </c>
      <c r="AC4" s="28">
        <v>2</v>
      </c>
      <c r="AD4" s="66">
        <v>1</v>
      </c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882</v>
      </c>
      <c r="C5" s="118">
        <v>1</v>
      </c>
      <c r="D5" s="20" t="s">
        <v>27</v>
      </c>
      <c r="E5" s="31" t="s">
        <v>454</v>
      </c>
      <c r="F5" s="22" t="s">
        <v>150</v>
      </c>
      <c r="G5" s="11" t="s">
        <v>9</v>
      </c>
      <c r="H5" s="21">
        <v>24422070060462</v>
      </c>
      <c r="I5" s="58"/>
      <c r="J5" s="58"/>
      <c r="K5" s="58"/>
      <c r="L5" s="58"/>
      <c r="M5" s="73" t="e">
        <f t="shared" si="0"/>
        <v>#NUM!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727</v>
      </c>
      <c r="U5" s="12" t="s">
        <v>886</v>
      </c>
      <c r="V5" s="90"/>
      <c r="W5" s="28"/>
      <c r="X5" s="43"/>
      <c r="Y5" s="28"/>
      <c r="Z5" s="28"/>
      <c r="AA5" s="28"/>
      <c r="AB5" s="28"/>
      <c r="AC5" s="28"/>
      <c r="AD5" s="66"/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883</v>
      </c>
      <c r="C6" s="87"/>
      <c r="D6" s="20" t="s">
        <v>24</v>
      </c>
      <c r="E6" s="31" t="s">
        <v>455</v>
      </c>
      <c r="F6" s="22" t="s">
        <v>150</v>
      </c>
      <c r="G6" s="11" t="s">
        <v>9</v>
      </c>
      <c r="H6" s="21">
        <v>24422070060464</v>
      </c>
      <c r="I6" s="58" t="s">
        <v>775</v>
      </c>
      <c r="J6" s="70">
        <v>2</v>
      </c>
      <c r="K6" s="58" t="s">
        <v>798</v>
      </c>
      <c r="L6" s="58" t="s">
        <v>770</v>
      </c>
      <c r="M6" s="73">
        <f t="shared" si="0"/>
        <v>46065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727</v>
      </c>
      <c r="U6" s="12" t="s">
        <v>886</v>
      </c>
      <c r="V6" s="90" t="s">
        <v>777</v>
      </c>
      <c r="W6" s="28" t="s">
        <v>168</v>
      </c>
      <c r="X6" s="43" t="s">
        <v>771</v>
      </c>
      <c r="Y6" s="28"/>
      <c r="Z6" s="28">
        <v>1</v>
      </c>
      <c r="AA6" s="28">
        <v>1</v>
      </c>
      <c r="AB6" s="28">
        <v>1</v>
      </c>
      <c r="AC6" s="28">
        <v>1</v>
      </c>
      <c r="AD6" s="66">
        <v>1</v>
      </c>
      <c r="AE6" s="28"/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customHeight="1" thickBot="1" x14ac:dyDescent="0.3">
      <c r="A7" s="1" t="s">
        <v>126</v>
      </c>
      <c r="B7" s="3" t="s">
        <v>882</v>
      </c>
      <c r="C7" s="118">
        <v>5</v>
      </c>
      <c r="D7" s="20" t="s">
        <v>28</v>
      </c>
      <c r="E7" s="31" t="s">
        <v>456</v>
      </c>
      <c r="F7" s="22" t="s">
        <v>150</v>
      </c>
      <c r="G7" s="11" t="s">
        <v>9</v>
      </c>
      <c r="H7" s="21">
        <v>24422070060465</v>
      </c>
      <c r="I7" s="58"/>
      <c r="J7" s="58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727</v>
      </c>
      <c r="U7" s="12" t="s">
        <v>886</v>
      </c>
      <c r="V7" s="90"/>
      <c r="W7" s="28"/>
      <c r="X7" s="43"/>
      <c r="Y7" s="28"/>
      <c r="Z7" s="28"/>
      <c r="AA7" s="28"/>
      <c r="AB7" s="28"/>
      <c r="AC7" s="28"/>
      <c r="AD7" s="66"/>
      <c r="AE7" s="28"/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883</v>
      </c>
      <c r="C8" s="87"/>
      <c r="D8" s="20" t="s">
        <v>29</v>
      </c>
      <c r="E8" s="31" t="s">
        <v>457</v>
      </c>
      <c r="F8" s="22" t="s">
        <v>150</v>
      </c>
      <c r="G8" s="11" t="s">
        <v>9</v>
      </c>
      <c r="H8" s="21">
        <v>24422070060467</v>
      </c>
      <c r="I8" s="58" t="s">
        <v>788</v>
      </c>
      <c r="J8" s="70">
        <v>3</v>
      </c>
      <c r="K8" s="58" t="s">
        <v>837</v>
      </c>
      <c r="L8" s="58" t="s">
        <v>770</v>
      </c>
      <c r="M8" s="73">
        <f t="shared" si="0"/>
        <v>46098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727</v>
      </c>
      <c r="U8" s="12" t="s">
        <v>886</v>
      </c>
      <c r="V8" s="90" t="s">
        <v>777</v>
      </c>
      <c r="W8" s="28" t="s">
        <v>161</v>
      </c>
      <c r="X8" s="43" t="s">
        <v>155</v>
      </c>
      <c r="Y8" s="28" t="s">
        <v>872</v>
      </c>
      <c r="Z8" s="28">
        <v>2</v>
      </c>
      <c r="AA8" s="28">
        <v>2</v>
      </c>
      <c r="AB8" s="28">
        <v>2</v>
      </c>
      <c r="AC8" s="28">
        <v>2</v>
      </c>
      <c r="AD8" s="66">
        <v>2</v>
      </c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883</v>
      </c>
      <c r="C9" s="87"/>
      <c r="D9" s="20" t="s">
        <v>30</v>
      </c>
      <c r="E9" s="31" t="s">
        <v>458</v>
      </c>
      <c r="F9" s="22" t="s">
        <v>150</v>
      </c>
      <c r="G9" s="11" t="s">
        <v>9</v>
      </c>
      <c r="H9" s="21">
        <v>24422070060469</v>
      </c>
      <c r="I9" s="58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727</v>
      </c>
      <c r="U9" s="12" t="s">
        <v>886</v>
      </c>
      <c r="V9" s="90"/>
      <c r="W9" s="28"/>
      <c r="X9" s="43"/>
      <c r="Y9" s="28"/>
      <c r="Z9" s="28"/>
      <c r="AA9" s="28"/>
      <c r="AB9" s="28"/>
      <c r="AC9" s="28"/>
      <c r="AD9" s="66"/>
      <c r="AE9" s="28"/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883</v>
      </c>
      <c r="C10" s="87"/>
      <c r="D10" s="20" t="s">
        <v>31</v>
      </c>
      <c r="E10" s="31" t="s">
        <v>459</v>
      </c>
      <c r="F10" s="22" t="s">
        <v>150</v>
      </c>
      <c r="G10" s="11" t="s">
        <v>9</v>
      </c>
      <c r="H10" s="21">
        <v>24422070060519</v>
      </c>
      <c r="I10" s="58" t="s">
        <v>785</v>
      </c>
      <c r="J10" s="70">
        <v>1</v>
      </c>
      <c r="K10" s="58" t="s">
        <v>187</v>
      </c>
      <c r="L10" s="58" t="s">
        <v>770</v>
      </c>
      <c r="M10" s="73">
        <f t="shared" si="0"/>
        <v>46035</v>
      </c>
      <c r="N10" s="23">
        <f t="shared" si="2"/>
        <v>6</v>
      </c>
      <c r="O10" s="73">
        <f t="shared" si="1"/>
        <v>46216</v>
      </c>
      <c r="P10" s="58" t="s">
        <v>785</v>
      </c>
      <c r="Q10" s="58" t="s">
        <v>778</v>
      </c>
      <c r="R10" s="58" t="s">
        <v>804</v>
      </c>
      <c r="S10" s="58" t="s">
        <v>770</v>
      </c>
      <c r="T10" s="12" t="s">
        <v>727</v>
      </c>
      <c r="U10" s="12" t="s">
        <v>886</v>
      </c>
      <c r="V10" s="90" t="s">
        <v>777</v>
      </c>
      <c r="W10" s="28" t="s">
        <v>724</v>
      </c>
      <c r="X10" s="43" t="s">
        <v>155</v>
      </c>
      <c r="Y10" s="28"/>
      <c r="Z10" s="28">
        <v>1</v>
      </c>
      <c r="AA10" s="28">
        <v>1</v>
      </c>
      <c r="AB10" s="28">
        <v>1</v>
      </c>
      <c r="AC10" s="28">
        <v>1</v>
      </c>
      <c r="AD10" s="66">
        <v>1</v>
      </c>
      <c r="AE10" s="28">
        <v>1</v>
      </c>
      <c r="AF10" s="28">
        <v>1</v>
      </c>
      <c r="AG10" s="28">
        <v>1</v>
      </c>
      <c r="AH10" s="20" t="s">
        <v>805</v>
      </c>
      <c r="AI10" s="28" t="s">
        <v>806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882</v>
      </c>
      <c r="C11" s="87"/>
      <c r="D11" s="20" t="s">
        <v>32</v>
      </c>
      <c r="E11" s="31" t="s">
        <v>460</v>
      </c>
      <c r="F11" s="22" t="s">
        <v>150</v>
      </c>
      <c r="G11" s="11" t="s">
        <v>9</v>
      </c>
      <c r="H11" s="21">
        <v>24422070060471</v>
      </c>
      <c r="I11" s="58" t="s">
        <v>160</v>
      </c>
      <c r="J11" s="58" t="s">
        <v>801</v>
      </c>
      <c r="K11" s="58" t="s">
        <v>798</v>
      </c>
      <c r="L11" s="58" t="s">
        <v>770</v>
      </c>
      <c r="M11" s="73">
        <f t="shared" si="0"/>
        <v>46071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727</v>
      </c>
      <c r="U11" s="12" t="s">
        <v>886</v>
      </c>
      <c r="V11" s="90" t="s">
        <v>777</v>
      </c>
      <c r="W11" s="28" t="s">
        <v>168</v>
      </c>
      <c r="X11" s="43" t="s">
        <v>771</v>
      </c>
      <c r="Y11" s="28"/>
      <c r="Z11" s="28">
        <v>1</v>
      </c>
      <c r="AA11" s="28">
        <v>1</v>
      </c>
      <c r="AB11" s="28">
        <v>1</v>
      </c>
      <c r="AC11" s="28">
        <v>1</v>
      </c>
      <c r="AD11" s="66">
        <v>1</v>
      </c>
      <c r="AE11" s="28"/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883</v>
      </c>
      <c r="C12" s="87"/>
      <c r="D12" s="20" t="s">
        <v>33</v>
      </c>
      <c r="E12" s="31" t="s">
        <v>461</v>
      </c>
      <c r="F12" s="22" t="s">
        <v>150</v>
      </c>
      <c r="G12" s="11" t="s">
        <v>9</v>
      </c>
      <c r="H12" s="21">
        <v>24422070060472</v>
      </c>
      <c r="I12" s="58"/>
      <c r="J12" s="70"/>
      <c r="K12" s="58"/>
      <c r="L12" s="58"/>
      <c r="M12" s="73" t="e">
        <f t="shared" si="0"/>
        <v>#NUM!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727</v>
      </c>
      <c r="U12" s="12" t="s">
        <v>886</v>
      </c>
      <c r="V12" s="90" t="s">
        <v>777</v>
      </c>
      <c r="W12" s="28" t="s">
        <v>772</v>
      </c>
      <c r="X12" s="43" t="s">
        <v>771</v>
      </c>
      <c r="Y12" s="28"/>
      <c r="Z12" s="28"/>
      <c r="AA12" s="28"/>
      <c r="AB12" s="28">
        <v>2</v>
      </c>
      <c r="AC12" s="28"/>
      <c r="AD12" s="66"/>
      <c r="AE12" s="28"/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882</v>
      </c>
      <c r="C13" s="87"/>
      <c r="D13" s="20" t="s">
        <v>34</v>
      </c>
      <c r="E13" s="31" t="s">
        <v>462</v>
      </c>
      <c r="F13" s="22" t="s">
        <v>150</v>
      </c>
      <c r="G13" s="11" t="s">
        <v>9</v>
      </c>
      <c r="H13" s="21">
        <v>24422070060473</v>
      </c>
      <c r="I13" s="58"/>
      <c r="J13" s="70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727</v>
      </c>
      <c r="U13" s="12" t="s">
        <v>886</v>
      </c>
      <c r="V13" s="90" t="s">
        <v>777</v>
      </c>
      <c r="W13" s="28" t="s">
        <v>773</v>
      </c>
      <c r="X13" s="43" t="s">
        <v>771</v>
      </c>
      <c r="Y13" s="28"/>
      <c r="Z13" s="28">
        <v>1</v>
      </c>
      <c r="AA13" s="28">
        <v>1</v>
      </c>
      <c r="AB13" s="28"/>
      <c r="AC13" s="28"/>
      <c r="AD13" s="66">
        <v>1</v>
      </c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882</v>
      </c>
      <c r="C14" s="118">
        <v>1</v>
      </c>
      <c r="D14" s="20" t="s">
        <v>35</v>
      </c>
      <c r="E14" s="31" t="s">
        <v>463</v>
      </c>
      <c r="F14" s="22" t="s">
        <v>150</v>
      </c>
      <c r="G14" s="11" t="s">
        <v>9</v>
      </c>
      <c r="H14" s="21">
        <v>24422070060474</v>
      </c>
      <c r="I14" s="58"/>
      <c r="J14" s="58"/>
      <c r="K14" s="58"/>
      <c r="L14" s="58"/>
      <c r="M14" s="73" t="e">
        <f t="shared" si="0"/>
        <v>#NUM!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727</v>
      </c>
      <c r="U14" s="12" t="s">
        <v>886</v>
      </c>
      <c r="V14" s="90"/>
      <c r="W14" s="28"/>
      <c r="X14" s="43"/>
      <c r="Y14" s="28"/>
      <c r="Z14" s="28"/>
      <c r="AA14" s="28"/>
      <c r="AB14" s="28"/>
      <c r="AC14" s="28"/>
      <c r="AD14" s="66"/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883</v>
      </c>
      <c r="C15" s="118">
        <v>1</v>
      </c>
      <c r="D15" s="20" t="s">
        <v>36</v>
      </c>
      <c r="E15" s="31" t="s">
        <v>464</v>
      </c>
      <c r="F15" s="22" t="s">
        <v>150</v>
      </c>
      <c r="G15" s="11" t="s">
        <v>9</v>
      </c>
      <c r="H15" s="21">
        <v>24422070060553</v>
      </c>
      <c r="I15" s="58"/>
      <c r="J15" s="70"/>
      <c r="K15" s="58"/>
      <c r="L15" s="58"/>
      <c r="M15" s="73" t="e">
        <f t="shared" si="0"/>
        <v>#NUM!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727</v>
      </c>
      <c r="U15" s="12" t="s">
        <v>886</v>
      </c>
      <c r="V15" s="90"/>
      <c r="W15" s="28"/>
      <c r="X15" s="43"/>
      <c r="Y15" s="28"/>
      <c r="Z15" s="28"/>
      <c r="AA15" s="28"/>
      <c r="AB15" s="28"/>
      <c r="AC15" s="28"/>
      <c r="AD15" s="66"/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882</v>
      </c>
      <c r="C16" s="87"/>
      <c r="D16" s="20" t="s">
        <v>37</v>
      </c>
      <c r="E16" s="31" t="s">
        <v>465</v>
      </c>
      <c r="F16" s="22" t="s">
        <v>150</v>
      </c>
      <c r="G16" s="11" t="s">
        <v>9</v>
      </c>
      <c r="H16" s="21">
        <v>24422070060475</v>
      </c>
      <c r="I16" s="58"/>
      <c r="J16" s="70"/>
      <c r="K16" s="58"/>
      <c r="L16" s="58"/>
      <c r="M16" s="73" t="e">
        <f t="shared" si="0"/>
        <v>#NUM!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727</v>
      </c>
      <c r="U16" s="12" t="s">
        <v>886</v>
      </c>
      <c r="V16" s="90"/>
      <c r="W16" s="28"/>
      <c r="X16" s="43"/>
      <c r="Y16" s="28"/>
      <c r="Z16" s="28"/>
      <c r="AA16" s="28"/>
      <c r="AB16" s="28"/>
      <c r="AC16" s="28"/>
      <c r="AD16" s="66"/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882</v>
      </c>
      <c r="C17" s="118">
        <v>2</v>
      </c>
      <c r="D17" s="20" t="s">
        <v>38</v>
      </c>
      <c r="E17" s="31" t="s">
        <v>466</v>
      </c>
      <c r="F17" s="22" t="s">
        <v>150</v>
      </c>
      <c r="G17" s="11" t="s">
        <v>9</v>
      </c>
      <c r="H17" s="21">
        <v>24422070060476</v>
      </c>
      <c r="I17" s="58"/>
      <c r="J17" s="58"/>
      <c r="K17" s="58"/>
      <c r="L17" s="58"/>
      <c r="M17" s="73" t="e">
        <f t="shared" si="0"/>
        <v>#NUM!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727</v>
      </c>
      <c r="U17" s="12" t="s">
        <v>886</v>
      </c>
      <c r="V17" s="90"/>
      <c r="W17" s="28"/>
      <c r="X17" s="43"/>
      <c r="Y17" s="28"/>
      <c r="Z17" s="28"/>
      <c r="AA17" s="28"/>
      <c r="AB17" s="28"/>
      <c r="AC17" s="28"/>
      <c r="AD17" s="66"/>
      <c r="AE17" s="28"/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883</v>
      </c>
      <c r="C18" s="118">
        <v>3</v>
      </c>
      <c r="D18" s="20" t="s">
        <v>39</v>
      </c>
      <c r="E18" s="31" t="s">
        <v>467</v>
      </c>
      <c r="F18" s="22" t="s">
        <v>150</v>
      </c>
      <c r="G18" s="11" t="s">
        <v>9</v>
      </c>
      <c r="H18" s="21">
        <v>24422070060477</v>
      </c>
      <c r="I18" s="58"/>
      <c r="J18" s="70"/>
      <c r="K18" s="58"/>
      <c r="L18" s="58"/>
      <c r="M18" s="73" t="e">
        <f t="shared" si="0"/>
        <v>#NUM!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727</v>
      </c>
      <c r="U18" s="12" t="s">
        <v>886</v>
      </c>
      <c r="V18" s="90"/>
      <c r="W18" s="28"/>
      <c r="X18" s="43"/>
      <c r="Y18" s="28"/>
      <c r="Z18" s="28"/>
      <c r="AA18" s="28"/>
      <c r="AB18" s="28"/>
      <c r="AC18" s="28"/>
      <c r="AD18" s="66"/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2" t="s">
        <v>882</v>
      </c>
      <c r="C19" s="87"/>
      <c r="D19" s="20" t="s">
        <v>40</v>
      </c>
      <c r="E19" s="31" t="s">
        <v>468</v>
      </c>
      <c r="F19" s="22" t="s">
        <v>150</v>
      </c>
      <c r="G19" s="11" t="s">
        <v>9</v>
      </c>
      <c r="H19" s="21">
        <v>24422070060478</v>
      </c>
      <c r="I19" s="58" t="s">
        <v>788</v>
      </c>
      <c r="J19" s="70">
        <v>2</v>
      </c>
      <c r="K19" s="58" t="s">
        <v>798</v>
      </c>
      <c r="L19" s="58" t="s">
        <v>770</v>
      </c>
      <c r="M19" s="73">
        <f t="shared" si="0"/>
        <v>46070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727</v>
      </c>
      <c r="U19" s="12" t="s">
        <v>886</v>
      </c>
      <c r="V19" s="90" t="s">
        <v>777</v>
      </c>
      <c r="W19" s="28" t="s">
        <v>161</v>
      </c>
      <c r="X19" s="43" t="s">
        <v>155</v>
      </c>
      <c r="Y19" s="28" t="s">
        <v>807</v>
      </c>
      <c r="Z19" s="28">
        <v>1</v>
      </c>
      <c r="AA19" s="28">
        <v>1</v>
      </c>
      <c r="AB19" s="28">
        <v>1</v>
      </c>
      <c r="AC19" s="28">
        <v>1</v>
      </c>
      <c r="AD19" s="66">
        <v>1</v>
      </c>
      <c r="AE19" s="28"/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2" t="s">
        <v>883</v>
      </c>
      <c r="C20" s="118">
        <v>2</v>
      </c>
      <c r="D20" s="20" t="s">
        <v>41</v>
      </c>
      <c r="E20" s="31" t="s">
        <v>469</v>
      </c>
      <c r="F20" s="22" t="s">
        <v>150</v>
      </c>
      <c r="G20" s="11" t="s">
        <v>9</v>
      </c>
      <c r="H20" s="21">
        <v>24422070060479</v>
      </c>
      <c r="I20" s="58"/>
      <c r="J20" s="70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727</v>
      </c>
      <c r="U20" s="12" t="s">
        <v>886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2" t="s">
        <v>883</v>
      </c>
      <c r="C21" s="118">
        <v>1</v>
      </c>
      <c r="D21" s="20" t="s">
        <v>42</v>
      </c>
      <c r="E21" s="31" t="s">
        <v>470</v>
      </c>
      <c r="F21" s="22" t="s">
        <v>150</v>
      </c>
      <c r="G21" s="11" t="s">
        <v>9</v>
      </c>
      <c r="H21" s="21">
        <v>24422070060480</v>
      </c>
      <c r="I21" s="58"/>
      <c r="J21" s="70"/>
      <c r="K21" s="58"/>
      <c r="L21" s="58"/>
      <c r="M21" s="73" t="e">
        <f t="shared" si="0"/>
        <v>#NUM!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727</v>
      </c>
      <c r="U21" s="12" t="s">
        <v>886</v>
      </c>
      <c r="V21" s="90"/>
      <c r="W21" s="28"/>
      <c r="X21" s="43"/>
      <c r="Y21" s="28"/>
      <c r="Z21" s="28"/>
      <c r="AA21" s="28"/>
      <c r="AB21" s="28"/>
      <c r="AC21" s="28"/>
      <c r="AD21" s="66"/>
      <c r="AE21" s="28"/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883</v>
      </c>
      <c r="C22" s="87"/>
      <c r="D22" s="20" t="s">
        <v>43</v>
      </c>
      <c r="E22" s="31" t="s">
        <v>471</v>
      </c>
      <c r="F22" s="22" t="s">
        <v>150</v>
      </c>
      <c r="G22" s="11" t="s">
        <v>9</v>
      </c>
      <c r="H22" s="21">
        <v>24422070060481</v>
      </c>
      <c r="I22" s="58" t="s">
        <v>769</v>
      </c>
      <c r="J22" s="58" t="s">
        <v>801</v>
      </c>
      <c r="K22" s="58" t="s">
        <v>798</v>
      </c>
      <c r="L22" s="58" t="s">
        <v>770</v>
      </c>
      <c r="M22" s="73">
        <f t="shared" si="0"/>
        <v>46069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727</v>
      </c>
      <c r="U22" s="12" t="s">
        <v>886</v>
      </c>
      <c r="V22" s="90" t="s">
        <v>777</v>
      </c>
      <c r="W22" s="28" t="s">
        <v>772</v>
      </c>
      <c r="X22" s="43" t="s">
        <v>771</v>
      </c>
      <c r="Y22" s="28"/>
      <c r="Z22" s="28">
        <v>1</v>
      </c>
      <c r="AA22" s="28">
        <v>1</v>
      </c>
      <c r="AB22" s="28">
        <v>2</v>
      </c>
      <c r="AC22" s="28">
        <v>2</v>
      </c>
      <c r="AD22" s="66">
        <v>1</v>
      </c>
      <c r="AE22" s="28"/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883</v>
      </c>
      <c r="C23" s="87"/>
      <c r="D23" s="20" t="s">
        <v>44</v>
      </c>
      <c r="E23" s="31" t="s">
        <v>472</v>
      </c>
      <c r="F23" s="22" t="s">
        <v>150</v>
      </c>
      <c r="G23" s="11" t="s">
        <v>9</v>
      </c>
      <c r="H23" s="21">
        <v>24422070060575</v>
      </c>
      <c r="I23" s="58" t="s">
        <v>781</v>
      </c>
      <c r="J23" s="58" t="s">
        <v>801</v>
      </c>
      <c r="K23" s="58" t="s">
        <v>798</v>
      </c>
      <c r="L23" s="58" t="s">
        <v>770</v>
      </c>
      <c r="M23" s="73">
        <f t="shared" si="0"/>
        <v>46057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727</v>
      </c>
      <c r="U23" s="12" t="s">
        <v>886</v>
      </c>
      <c r="V23" s="90" t="s">
        <v>777</v>
      </c>
      <c r="W23" s="28" t="s">
        <v>772</v>
      </c>
      <c r="X23" s="43" t="s">
        <v>771</v>
      </c>
      <c r="Y23" s="28"/>
      <c r="Z23" s="28">
        <v>1</v>
      </c>
      <c r="AA23" s="28">
        <v>1</v>
      </c>
      <c r="AB23" s="28">
        <v>2</v>
      </c>
      <c r="AC23" s="28">
        <v>2</v>
      </c>
      <c r="AD23" s="66">
        <v>1</v>
      </c>
      <c r="AE23" s="28"/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882</v>
      </c>
      <c r="C24" s="87"/>
      <c r="D24" s="20" t="s">
        <v>45</v>
      </c>
      <c r="E24" s="31" t="s">
        <v>473</v>
      </c>
      <c r="F24" s="22" t="s">
        <v>150</v>
      </c>
      <c r="G24" s="11" t="s">
        <v>9</v>
      </c>
      <c r="H24" s="21">
        <v>24422070060482</v>
      </c>
      <c r="I24" s="58"/>
      <c r="J24" s="70"/>
      <c r="K24" s="58"/>
      <c r="L24" s="58"/>
      <c r="M24" s="73" t="e">
        <f t="shared" si="0"/>
        <v>#NUM!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727</v>
      </c>
      <c r="U24" s="12" t="s">
        <v>886</v>
      </c>
      <c r="V24" s="90"/>
      <c r="W24" s="28"/>
      <c r="X24" s="43"/>
      <c r="Y24" s="28"/>
      <c r="Z24" s="28"/>
      <c r="AA24" s="28"/>
      <c r="AB24" s="28"/>
      <c r="AC24" s="28"/>
      <c r="AD24" s="66"/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882</v>
      </c>
      <c r="C25" s="87"/>
      <c r="D25" s="20" t="s">
        <v>46</v>
      </c>
      <c r="E25" s="31" t="s">
        <v>474</v>
      </c>
      <c r="F25" s="22" t="s">
        <v>150</v>
      </c>
      <c r="G25" s="11" t="s">
        <v>9</v>
      </c>
      <c r="H25" s="21">
        <v>24422070060483</v>
      </c>
      <c r="I25" s="58" t="s">
        <v>869</v>
      </c>
      <c r="J25" s="58" t="s">
        <v>801</v>
      </c>
      <c r="K25" s="58" t="s">
        <v>798</v>
      </c>
      <c r="L25" s="58" t="s">
        <v>770</v>
      </c>
      <c r="M25" s="73">
        <f t="shared" si="0"/>
        <v>46077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727</v>
      </c>
      <c r="U25" s="12" t="s">
        <v>886</v>
      </c>
      <c r="V25" s="90" t="s">
        <v>777</v>
      </c>
      <c r="W25" s="28" t="s">
        <v>175</v>
      </c>
      <c r="X25" s="43" t="s">
        <v>771</v>
      </c>
      <c r="Y25" s="28"/>
      <c r="Z25" s="28">
        <v>1</v>
      </c>
      <c r="AA25" s="28">
        <v>1</v>
      </c>
      <c r="AB25" s="28">
        <v>2</v>
      </c>
      <c r="AC25" s="28">
        <v>2</v>
      </c>
      <c r="AD25" s="66">
        <v>1</v>
      </c>
      <c r="AE25" s="28"/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883</v>
      </c>
      <c r="C26" s="118">
        <v>1</v>
      </c>
      <c r="D26" s="20" t="s">
        <v>47</v>
      </c>
      <c r="E26" s="31" t="s">
        <v>475</v>
      </c>
      <c r="F26" s="22" t="s">
        <v>150</v>
      </c>
      <c r="G26" s="11" t="s">
        <v>9</v>
      </c>
      <c r="H26" s="21">
        <v>24422070060484</v>
      </c>
      <c r="I26" s="58"/>
      <c r="J26" s="70"/>
      <c r="K26" s="58"/>
      <c r="L26" s="58"/>
      <c r="M26" s="73" t="e">
        <f t="shared" si="0"/>
        <v>#NUM!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727</v>
      </c>
      <c r="U26" s="12" t="s">
        <v>886</v>
      </c>
      <c r="V26" s="90"/>
      <c r="W26" s="28"/>
      <c r="X26" s="43"/>
      <c r="Y26" s="28"/>
      <c r="Z26" s="28"/>
      <c r="AA26" s="28"/>
      <c r="AB26" s="28"/>
      <c r="AC26" s="28"/>
      <c r="AD26" s="66"/>
      <c r="AE26" s="28"/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883</v>
      </c>
      <c r="C27" s="87"/>
      <c r="D27" s="20" t="s">
        <v>48</v>
      </c>
      <c r="E27" s="31" t="s">
        <v>476</v>
      </c>
      <c r="F27" s="22" t="s">
        <v>150</v>
      </c>
      <c r="G27" s="11" t="s">
        <v>9</v>
      </c>
      <c r="H27" s="21">
        <v>24422070060485</v>
      </c>
      <c r="I27" s="59"/>
      <c r="J27" s="71"/>
      <c r="K27" s="59"/>
      <c r="L27" s="59"/>
      <c r="M27" s="73" t="e">
        <f t="shared" si="0"/>
        <v>#NUM!</v>
      </c>
      <c r="N27" s="23" t="e">
        <f t="shared" si="2"/>
        <v>#NUM!</v>
      </c>
      <c r="O27" s="73" t="e">
        <f t="shared" si="1"/>
        <v>#NUM!</v>
      </c>
      <c r="P27" s="59"/>
      <c r="Q27" s="59"/>
      <c r="R27" s="59"/>
      <c r="S27" s="59"/>
      <c r="T27" s="12" t="s">
        <v>727</v>
      </c>
      <c r="U27" s="12" t="s">
        <v>886</v>
      </c>
      <c r="V27" s="90"/>
      <c r="W27" s="28"/>
      <c r="X27" s="43"/>
      <c r="Y27" s="28"/>
      <c r="Z27" s="28"/>
      <c r="AA27" s="28"/>
      <c r="AB27" s="28"/>
      <c r="AC27" s="28"/>
      <c r="AD27" s="66"/>
      <c r="AE27" s="28"/>
      <c r="AF27" s="28"/>
      <c r="AG27" s="28"/>
      <c r="AH27" s="20"/>
      <c r="AI27" s="28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882</v>
      </c>
      <c r="C28" s="87"/>
      <c r="D28" s="20" t="s">
        <v>49</v>
      </c>
      <c r="E28" s="31" t="s">
        <v>477</v>
      </c>
      <c r="F28" s="22" t="s">
        <v>150</v>
      </c>
      <c r="G28" s="11" t="s">
        <v>9</v>
      </c>
      <c r="H28" s="21">
        <v>24422070060534</v>
      </c>
      <c r="I28" s="59" t="s">
        <v>769</v>
      </c>
      <c r="J28" s="71">
        <v>2</v>
      </c>
      <c r="K28" s="59" t="s">
        <v>798</v>
      </c>
      <c r="L28" s="59" t="s">
        <v>770</v>
      </c>
      <c r="M28" s="73">
        <f t="shared" si="0"/>
        <v>46069</v>
      </c>
      <c r="N28" s="23" t="e">
        <f t="shared" si="2"/>
        <v>#NUM!</v>
      </c>
      <c r="O28" s="73" t="e">
        <f t="shared" si="1"/>
        <v>#NUM!</v>
      </c>
      <c r="P28" s="59"/>
      <c r="Q28" s="59"/>
      <c r="R28" s="59"/>
      <c r="S28" s="59"/>
      <c r="T28" s="12" t="s">
        <v>727</v>
      </c>
      <c r="U28" s="12" t="s">
        <v>886</v>
      </c>
      <c r="V28" s="90" t="s">
        <v>165</v>
      </c>
      <c r="W28" s="28" t="s">
        <v>177</v>
      </c>
      <c r="X28" s="43" t="s">
        <v>155</v>
      </c>
      <c r="Y28" s="38" t="s">
        <v>808</v>
      </c>
      <c r="Z28" s="38">
        <v>1</v>
      </c>
      <c r="AA28" s="28">
        <v>1</v>
      </c>
      <c r="AB28" s="28">
        <v>1</v>
      </c>
      <c r="AC28" s="28">
        <v>1</v>
      </c>
      <c r="AD28" s="66">
        <v>1</v>
      </c>
      <c r="AE28" s="28"/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883</v>
      </c>
      <c r="C29" s="118">
        <v>1</v>
      </c>
      <c r="D29" s="20" t="s">
        <v>50</v>
      </c>
      <c r="E29" s="31" t="s">
        <v>478</v>
      </c>
      <c r="F29" s="22" t="s">
        <v>150</v>
      </c>
      <c r="G29" s="11" t="s">
        <v>9</v>
      </c>
      <c r="H29" s="21">
        <v>24422070060486</v>
      </c>
      <c r="I29" s="59"/>
      <c r="J29" s="71"/>
      <c r="K29" s="59"/>
      <c r="L29" s="59"/>
      <c r="M29" s="73" t="e">
        <f t="shared" si="0"/>
        <v>#NUM!</v>
      </c>
      <c r="N29" s="23" t="e">
        <f t="shared" si="2"/>
        <v>#NUM!</v>
      </c>
      <c r="O29" s="73" t="e">
        <f t="shared" si="1"/>
        <v>#NUM!</v>
      </c>
      <c r="P29" s="59"/>
      <c r="Q29" s="59"/>
      <c r="R29" s="59"/>
      <c r="S29" s="59"/>
      <c r="T29" s="12" t="s">
        <v>727</v>
      </c>
      <c r="U29" s="12" t="s">
        <v>886</v>
      </c>
      <c r="V29" s="90"/>
      <c r="W29" s="28"/>
      <c r="X29" s="43"/>
      <c r="Y29" s="28"/>
      <c r="Z29" s="28"/>
      <c r="AA29" s="28"/>
      <c r="AB29" s="28"/>
      <c r="AC29" s="28"/>
      <c r="AD29" s="66"/>
      <c r="AE29" s="28"/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882</v>
      </c>
      <c r="C30" s="87"/>
      <c r="D30" s="20" t="s">
        <v>51</v>
      </c>
      <c r="E30" s="31" t="s">
        <v>479</v>
      </c>
      <c r="F30" s="22" t="s">
        <v>150</v>
      </c>
      <c r="G30" s="11" t="s">
        <v>9</v>
      </c>
      <c r="H30" s="21">
        <v>24422070060488</v>
      </c>
      <c r="I30" s="59" t="s">
        <v>769</v>
      </c>
      <c r="J30" s="71">
        <v>2</v>
      </c>
      <c r="K30" s="59" t="s">
        <v>798</v>
      </c>
      <c r="L30" s="59" t="s">
        <v>770</v>
      </c>
      <c r="M30" s="73">
        <f t="shared" si="0"/>
        <v>46069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727</v>
      </c>
      <c r="U30" s="12" t="s">
        <v>886</v>
      </c>
      <c r="V30" s="90" t="s">
        <v>165</v>
      </c>
      <c r="W30" s="28" t="s">
        <v>177</v>
      </c>
      <c r="X30" s="43" t="s">
        <v>155</v>
      </c>
      <c r="Y30" s="28" t="s">
        <v>808</v>
      </c>
      <c r="Z30" s="28">
        <v>1</v>
      </c>
      <c r="AA30" s="28">
        <v>1</v>
      </c>
      <c r="AB30" s="28">
        <v>1</v>
      </c>
      <c r="AC30" s="28">
        <v>1</v>
      </c>
      <c r="AD30" s="66">
        <v>1</v>
      </c>
      <c r="AE30" s="28"/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883</v>
      </c>
      <c r="C31" s="87"/>
      <c r="D31" s="20" t="s">
        <v>52</v>
      </c>
      <c r="E31" s="31" t="s">
        <v>480</v>
      </c>
      <c r="F31" s="22" t="s">
        <v>150</v>
      </c>
      <c r="G31" s="11" t="s">
        <v>9</v>
      </c>
      <c r="H31" s="21">
        <v>24422070060489</v>
      </c>
      <c r="I31" s="58"/>
      <c r="J31" s="70"/>
      <c r="K31" s="58"/>
      <c r="L31" s="58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8"/>
      <c r="Q31" s="58"/>
      <c r="R31" s="58"/>
      <c r="S31" s="58"/>
      <c r="T31" s="12" t="s">
        <v>727</v>
      </c>
      <c r="U31" s="12" t="s">
        <v>886</v>
      </c>
      <c r="V31" s="90"/>
      <c r="W31" s="28"/>
      <c r="X31" s="43"/>
      <c r="Y31" s="28"/>
      <c r="Z31" s="28"/>
      <c r="AA31" s="28"/>
      <c r="AB31" s="28"/>
      <c r="AC31" s="28"/>
      <c r="AD31" s="66"/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883</v>
      </c>
      <c r="C32" s="87"/>
      <c r="D32" s="20" t="s">
        <v>53</v>
      </c>
      <c r="E32" s="31" t="s">
        <v>481</v>
      </c>
      <c r="F32" s="22" t="s">
        <v>150</v>
      </c>
      <c r="G32" s="11" t="s">
        <v>9</v>
      </c>
      <c r="H32" s="21">
        <v>24422070060491</v>
      </c>
      <c r="I32" s="58" t="s">
        <v>775</v>
      </c>
      <c r="J32" s="58" t="s">
        <v>157</v>
      </c>
      <c r="K32" s="58" t="s">
        <v>187</v>
      </c>
      <c r="L32" s="58" t="s">
        <v>770</v>
      </c>
      <c r="M32" s="73">
        <f t="shared" si="0"/>
        <v>46034</v>
      </c>
      <c r="N32" s="23" t="e">
        <f t="shared" si="2"/>
        <v>#NUM!</v>
      </c>
      <c r="O32" s="73" t="e">
        <f t="shared" si="1"/>
        <v>#NUM!</v>
      </c>
      <c r="P32" s="58"/>
      <c r="Q32" s="58"/>
      <c r="R32" s="58"/>
      <c r="S32" s="58"/>
      <c r="T32" s="12" t="s">
        <v>727</v>
      </c>
      <c r="U32" s="12" t="s">
        <v>886</v>
      </c>
      <c r="V32" s="90" t="s">
        <v>165</v>
      </c>
      <c r="W32" s="28" t="s">
        <v>895</v>
      </c>
      <c r="X32" s="43" t="s">
        <v>155</v>
      </c>
      <c r="Y32" s="28" t="s">
        <v>809</v>
      </c>
      <c r="Z32" s="28">
        <v>1</v>
      </c>
      <c r="AA32" s="28">
        <v>1</v>
      </c>
      <c r="AB32" s="28">
        <v>1</v>
      </c>
      <c r="AC32" s="28">
        <v>1</v>
      </c>
      <c r="AD32" s="66">
        <v>1</v>
      </c>
      <c r="AE32" s="28">
        <v>2</v>
      </c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883</v>
      </c>
      <c r="C33" s="87"/>
      <c r="D33" s="20" t="s">
        <v>54</v>
      </c>
      <c r="E33" s="31" t="s">
        <v>482</v>
      </c>
      <c r="F33" s="22" t="s">
        <v>150</v>
      </c>
      <c r="G33" s="11" t="s">
        <v>9</v>
      </c>
      <c r="H33" s="21">
        <v>24422070060492</v>
      </c>
      <c r="I33" s="58"/>
      <c r="J33" s="70"/>
      <c r="K33" s="58"/>
      <c r="L33" s="58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8"/>
      <c r="Q33" s="58"/>
      <c r="R33" s="58"/>
      <c r="S33" s="58"/>
      <c r="T33" s="12" t="s">
        <v>727</v>
      </c>
      <c r="U33" s="12" t="s">
        <v>886</v>
      </c>
      <c r="V33" s="90"/>
      <c r="W33" s="28"/>
      <c r="X33" s="43"/>
      <c r="Y33" s="28"/>
      <c r="Z33" s="28"/>
      <c r="AA33" s="28"/>
      <c r="AB33" s="28"/>
      <c r="AC33" s="28"/>
      <c r="AD33" s="66"/>
      <c r="AE33" s="28"/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882</v>
      </c>
      <c r="C34" s="87"/>
      <c r="D34" s="20" t="s">
        <v>55</v>
      </c>
      <c r="E34" s="31" t="s">
        <v>483</v>
      </c>
      <c r="F34" s="22" t="s">
        <v>150</v>
      </c>
      <c r="G34" s="11" t="s">
        <v>9</v>
      </c>
      <c r="H34" s="21">
        <v>24422070060542</v>
      </c>
      <c r="I34" s="58" t="s">
        <v>160</v>
      </c>
      <c r="J34" s="70">
        <v>2</v>
      </c>
      <c r="K34" s="58" t="s">
        <v>798</v>
      </c>
      <c r="L34" s="58" t="s">
        <v>770</v>
      </c>
      <c r="M34" s="73">
        <f t="shared" si="0"/>
        <v>46071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727</v>
      </c>
      <c r="U34" s="12" t="s">
        <v>886</v>
      </c>
      <c r="V34" s="90" t="s">
        <v>777</v>
      </c>
      <c r="W34" s="28" t="s">
        <v>887</v>
      </c>
      <c r="X34" s="43" t="s">
        <v>771</v>
      </c>
      <c r="Y34" s="28"/>
      <c r="Z34" s="28">
        <v>1</v>
      </c>
      <c r="AA34" s="28">
        <v>1</v>
      </c>
      <c r="AB34" s="28">
        <v>2</v>
      </c>
      <c r="AC34" s="28">
        <v>2</v>
      </c>
      <c r="AD34" s="66">
        <v>1</v>
      </c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126</v>
      </c>
      <c r="B35" s="2" t="s">
        <v>882</v>
      </c>
      <c r="C35" s="87"/>
      <c r="D35" s="20" t="s">
        <v>56</v>
      </c>
      <c r="E35" s="31" t="s">
        <v>484</v>
      </c>
      <c r="F35" s="22" t="s">
        <v>150</v>
      </c>
      <c r="G35" s="11" t="s">
        <v>9</v>
      </c>
      <c r="H35" s="21">
        <v>24422070060493</v>
      </c>
      <c r="I35" s="58" t="s">
        <v>780</v>
      </c>
      <c r="J35" s="58" t="s">
        <v>779</v>
      </c>
      <c r="K35" s="58" t="s">
        <v>798</v>
      </c>
      <c r="L35" s="58" t="s">
        <v>770</v>
      </c>
      <c r="M35" s="73">
        <f t="shared" si="0"/>
        <v>46056</v>
      </c>
      <c r="N35" s="23" t="e">
        <f t="shared" si="2"/>
        <v>#NUM!</v>
      </c>
      <c r="O35" s="73" t="e">
        <f t="shared" si="1"/>
        <v>#NUM!</v>
      </c>
      <c r="P35" s="58"/>
      <c r="Q35" s="58"/>
      <c r="R35" s="58"/>
      <c r="S35" s="58"/>
      <c r="T35" s="12" t="s">
        <v>727</v>
      </c>
      <c r="U35" s="12" t="s">
        <v>886</v>
      </c>
      <c r="V35" s="90" t="s">
        <v>165</v>
      </c>
      <c r="W35" s="28" t="s">
        <v>728</v>
      </c>
      <c r="X35" s="43" t="s">
        <v>155</v>
      </c>
      <c r="Y35" s="28"/>
      <c r="Z35" s="28">
        <v>1</v>
      </c>
      <c r="AA35" s="28">
        <v>1</v>
      </c>
      <c r="AB35" s="28">
        <v>1</v>
      </c>
      <c r="AC35" s="28">
        <v>1</v>
      </c>
      <c r="AD35" s="66">
        <v>1</v>
      </c>
      <c r="AE35" s="28"/>
      <c r="AF35" s="28"/>
      <c r="AG35" s="28"/>
      <c r="AH35" s="20"/>
      <c r="AI35" s="28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882</v>
      </c>
      <c r="C36" s="87"/>
      <c r="D36" s="20" t="s">
        <v>57</v>
      </c>
      <c r="E36" s="31" t="s">
        <v>485</v>
      </c>
      <c r="F36" s="22" t="s">
        <v>150</v>
      </c>
      <c r="G36" s="11" t="s">
        <v>9</v>
      </c>
      <c r="H36" s="21">
        <v>24422070060494</v>
      </c>
      <c r="I36" s="58"/>
      <c r="J36" s="70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727</v>
      </c>
      <c r="U36" s="12" t="s">
        <v>886</v>
      </c>
      <c r="V36" s="90" t="s">
        <v>777</v>
      </c>
      <c r="W36" s="28" t="s">
        <v>748</v>
      </c>
      <c r="X36" s="43" t="s">
        <v>155</v>
      </c>
      <c r="Y36" s="28"/>
      <c r="Z36" s="28">
        <v>1</v>
      </c>
      <c r="AA36" s="28">
        <v>1</v>
      </c>
      <c r="AB36" s="28"/>
      <c r="AC36" s="28"/>
      <c r="AD36" s="66">
        <v>1</v>
      </c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882</v>
      </c>
      <c r="C37" s="87"/>
      <c r="D37" s="20" t="s">
        <v>58</v>
      </c>
      <c r="E37" s="31" t="s">
        <v>486</v>
      </c>
      <c r="F37" s="22" t="s">
        <v>150</v>
      </c>
      <c r="G37" s="11" t="s">
        <v>9</v>
      </c>
      <c r="H37" s="21">
        <v>24422070060495</v>
      </c>
      <c r="I37" s="59" t="s">
        <v>775</v>
      </c>
      <c r="J37" s="71">
        <v>1</v>
      </c>
      <c r="K37" s="59" t="s">
        <v>187</v>
      </c>
      <c r="L37" s="59" t="s">
        <v>770</v>
      </c>
      <c r="M37" s="73">
        <f t="shared" si="0"/>
        <v>46034</v>
      </c>
      <c r="N37" s="23" t="e">
        <f t="shared" si="2"/>
        <v>#NUM!</v>
      </c>
      <c r="O37" s="73" t="e">
        <f t="shared" si="1"/>
        <v>#NUM!</v>
      </c>
      <c r="P37" s="59"/>
      <c r="Q37" s="59"/>
      <c r="R37" s="59"/>
      <c r="S37" s="59"/>
      <c r="T37" s="12" t="s">
        <v>727</v>
      </c>
      <c r="U37" s="12" t="s">
        <v>886</v>
      </c>
      <c r="V37" s="90" t="s">
        <v>777</v>
      </c>
      <c r="W37" s="28" t="s">
        <v>20</v>
      </c>
      <c r="X37" s="43" t="s">
        <v>155</v>
      </c>
      <c r="Y37" s="28"/>
      <c r="Z37" s="28">
        <v>1</v>
      </c>
      <c r="AA37" s="28">
        <v>1</v>
      </c>
      <c r="AB37" s="28">
        <v>2</v>
      </c>
      <c r="AC37" s="28">
        <v>2</v>
      </c>
      <c r="AD37" s="66">
        <v>1</v>
      </c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882</v>
      </c>
      <c r="C38" s="87"/>
      <c r="D38" s="20" t="s">
        <v>59</v>
      </c>
      <c r="E38" s="31" t="s">
        <v>487</v>
      </c>
      <c r="F38" s="22" t="s">
        <v>150</v>
      </c>
      <c r="G38" s="11" t="s">
        <v>9</v>
      </c>
      <c r="H38" s="21">
        <v>24422070060496</v>
      </c>
      <c r="I38" s="59" t="s">
        <v>792</v>
      </c>
      <c r="J38" s="71">
        <v>1</v>
      </c>
      <c r="K38" s="59" t="s">
        <v>187</v>
      </c>
      <c r="L38" s="59" t="s">
        <v>770</v>
      </c>
      <c r="M38" s="73">
        <f t="shared" si="0"/>
        <v>46048</v>
      </c>
      <c r="N38" s="23" t="e">
        <f t="shared" si="2"/>
        <v>#NUM!</v>
      </c>
      <c r="O38" s="73" t="e">
        <f t="shared" si="1"/>
        <v>#NUM!</v>
      </c>
      <c r="P38" s="59"/>
      <c r="Q38" s="59"/>
      <c r="R38" s="59"/>
      <c r="S38" s="59"/>
      <c r="T38" s="12" t="s">
        <v>727</v>
      </c>
      <c r="U38" s="12" t="s">
        <v>886</v>
      </c>
      <c r="V38" s="90" t="s">
        <v>777</v>
      </c>
      <c r="W38" s="28" t="s">
        <v>887</v>
      </c>
      <c r="X38" s="43" t="s">
        <v>771</v>
      </c>
      <c r="Y38" s="28"/>
      <c r="Z38" s="28">
        <v>1</v>
      </c>
      <c r="AA38" s="28">
        <v>1</v>
      </c>
      <c r="AB38" s="28"/>
      <c r="AC38" s="28">
        <v>2</v>
      </c>
      <c r="AD38" s="66">
        <v>1</v>
      </c>
      <c r="AE38" s="28"/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883</v>
      </c>
      <c r="C39" s="87"/>
      <c r="D39" s="20" t="s">
        <v>60</v>
      </c>
      <c r="E39" s="31" t="s">
        <v>488</v>
      </c>
      <c r="F39" s="22" t="s">
        <v>150</v>
      </c>
      <c r="G39" s="11" t="s">
        <v>9</v>
      </c>
      <c r="H39" s="21">
        <v>24422070060498</v>
      </c>
      <c r="I39" s="59"/>
      <c r="J39" s="71"/>
      <c r="K39" s="59"/>
      <c r="L39" s="59"/>
      <c r="M39" s="73" t="e">
        <f t="shared" si="0"/>
        <v>#NUM!</v>
      </c>
      <c r="N39" s="23" t="e">
        <f t="shared" si="2"/>
        <v>#NUM!</v>
      </c>
      <c r="O39" s="73" t="e">
        <f t="shared" si="1"/>
        <v>#NUM!</v>
      </c>
      <c r="P39" s="59"/>
      <c r="Q39" s="59"/>
      <c r="R39" s="59"/>
      <c r="S39" s="59"/>
      <c r="T39" s="12" t="s">
        <v>727</v>
      </c>
      <c r="U39" s="12" t="s">
        <v>886</v>
      </c>
      <c r="V39" s="90" t="s">
        <v>777</v>
      </c>
      <c r="W39" s="28" t="s">
        <v>174</v>
      </c>
      <c r="X39" s="43" t="s">
        <v>771</v>
      </c>
      <c r="Y39" s="28"/>
      <c r="Z39" s="28">
        <v>1</v>
      </c>
      <c r="AA39" s="28">
        <v>1</v>
      </c>
      <c r="AB39" s="28"/>
      <c r="AC39" s="28"/>
      <c r="AD39" s="66">
        <v>1</v>
      </c>
      <c r="AE39" s="28"/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882</v>
      </c>
      <c r="C40" s="87"/>
      <c r="D40" s="20" t="s">
        <v>61</v>
      </c>
      <c r="E40" s="31" t="s">
        <v>489</v>
      </c>
      <c r="F40" s="22" t="s">
        <v>150</v>
      </c>
      <c r="G40" s="11" t="s">
        <v>9</v>
      </c>
      <c r="H40" s="23">
        <v>24422070060499</v>
      </c>
      <c r="I40" s="59"/>
      <c r="J40" s="71"/>
      <c r="K40" s="59"/>
      <c r="L40" s="59"/>
      <c r="M40" s="73" t="e">
        <f t="shared" si="0"/>
        <v>#NUM!</v>
      </c>
      <c r="N40" s="23" t="e">
        <f t="shared" si="2"/>
        <v>#NUM!</v>
      </c>
      <c r="O40" s="73" t="e">
        <f t="shared" si="1"/>
        <v>#NUM!</v>
      </c>
      <c r="P40" s="59"/>
      <c r="Q40" s="59"/>
      <c r="R40" s="59"/>
      <c r="S40" s="59"/>
      <c r="T40" s="12" t="s">
        <v>727</v>
      </c>
      <c r="U40" s="12" t="s">
        <v>886</v>
      </c>
      <c r="V40" s="90"/>
      <c r="W40" s="28"/>
      <c r="X40" s="43"/>
      <c r="Y40" s="28"/>
      <c r="Z40" s="28"/>
      <c r="AA40" s="28"/>
      <c r="AB40" s="28"/>
      <c r="AC40" s="28"/>
      <c r="AD40" s="66"/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4" t="s">
        <v>882</v>
      </c>
      <c r="C41" s="87"/>
      <c r="D41" s="20" t="s">
        <v>62</v>
      </c>
      <c r="E41" s="31" t="s">
        <v>490</v>
      </c>
      <c r="F41" s="22" t="s">
        <v>150</v>
      </c>
      <c r="G41" s="11" t="s">
        <v>9</v>
      </c>
      <c r="H41" s="23">
        <v>24422070060500</v>
      </c>
      <c r="I41" s="59" t="s">
        <v>769</v>
      </c>
      <c r="J41" s="71">
        <v>2</v>
      </c>
      <c r="K41" s="59" t="s">
        <v>798</v>
      </c>
      <c r="L41" s="59" t="s">
        <v>770</v>
      </c>
      <c r="M41" s="73">
        <f t="shared" si="0"/>
        <v>46069</v>
      </c>
      <c r="N41" s="23" t="e">
        <f t="shared" si="2"/>
        <v>#NUM!</v>
      </c>
      <c r="O41" s="73" t="e">
        <f t="shared" si="1"/>
        <v>#NUM!</v>
      </c>
      <c r="P41" s="59"/>
      <c r="Q41" s="59"/>
      <c r="R41" s="59"/>
      <c r="S41" s="59"/>
      <c r="T41" s="12" t="s">
        <v>727</v>
      </c>
      <c r="U41" s="12" t="s">
        <v>886</v>
      </c>
      <c r="V41" s="90" t="s">
        <v>777</v>
      </c>
      <c r="W41" s="28" t="s">
        <v>161</v>
      </c>
      <c r="X41" s="43" t="s">
        <v>155</v>
      </c>
      <c r="Y41" s="28"/>
      <c r="Z41" s="28">
        <v>1</v>
      </c>
      <c r="AA41" s="28">
        <v>1</v>
      </c>
      <c r="AB41" s="28">
        <v>2</v>
      </c>
      <c r="AC41" s="28">
        <v>2</v>
      </c>
      <c r="AD41" s="66">
        <v>1</v>
      </c>
      <c r="AE41" s="28"/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5" t="s">
        <v>883</v>
      </c>
      <c r="C42" s="88"/>
      <c r="D42" s="20" t="s">
        <v>63</v>
      </c>
      <c r="E42" s="31" t="s">
        <v>491</v>
      </c>
      <c r="F42" s="22" t="s">
        <v>150</v>
      </c>
      <c r="G42" s="11" t="s">
        <v>9</v>
      </c>
      <c r="H42" s="21">
        <v>24422070060502</v>
      </c>
      <c r="I42" s="59" t="s">
        <v>769</v>
      </c>
      <c r="J42" s="71">
        <v>2</v>
      </c>
      <c r="K42" s="59" t="s">
        <v>798</v>
      </c>
      <c r="L42" s="59" t="s">
        <v>770</v>
      </c>
      <c r="M42" s="73">
        <f t="shared" si="0"/>
        <v>46069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727</v>
      </c>
      <c r="U42" s="12" t="s">
        <v>886</v>
      </c>
      <c r="V42" s="90" t="s">
        <v>165</v>
      </c>
      <c r="W42" s="28" t="s">
        <v>897</v>
      </c>
      <c r="X42" s="43" t="s">
        <v>155</v>
      </c>
      <c r="Y42" s="28"/>
      <c r="Z42" s="28">
        <v>1</v>
      </c>
      <c r="AA42" s="28">
        <v>1</v>
      </c>
      <c r="AB42" s="28">
        <v>2</v>
      </c>
      <c r="AC42" s="28">
        <v>2</v>
      </c>
      <c r="AD42" s="66">
        <v>1</v>
      </c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6"/>
      <c r="AV42" s="6"/>
    </row>
    <row r="43" spans="1:48" ht="15.75" customHeight="1" thickBot="1" x14ac:dyDescent="0.3">
      <c r="A43" s="1" t="s">
        <v>126</v>
      </c>
      <c r="B43" s="45" t="s">
        <v>883</v>
      </c>
      <c r="C43" s="119">
        <v>1</v>
      </c>
      <c r="D43" s="20" t="s">
        <v>64</v>
      </c>
      <c r="E43" s="31" t="s">
        <v>492</v>
      </c>
      <c r="F43" s="22" t="s">
        <v>150</v>
      </c>
      <c r="G43" s="11" t="s">
        <v>9</v>
      </c>
      <c r="H43" s="21">
        <v>24422070060503</v>
      </c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727</v>
      </c>
      <c r="U43" s="12" t="s">
        <v>886</v>
      </c>
      <c r="V43" s="90"/>
      <c r="W43" s="28"/>
      <c r="X43" s="43"/>
      <c r="Y43" s="28"/>
      <c r="Z43" s="28"/>
      <c r="AA43" s="28"/>
      <c r="AB43" s="28"/>
      <c r="AC43" s="28"/>
      <c r="AD43" s="66"/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6"/>
      <c r="AV43" s="6"/>
    </row>
    <row r="44" spans="1:48" ht="15.75" customHeight="1" thickBot="1" x14ac:dyDescent="0.3">
      <c r="A44" s="1" t="s">
        <v>17</v>
      </c>
      <c r="B44" s="46" t="s">
        <v>883</v>
      </c>
      <c r="C44" s="114">
        <v>6</v>
      </c>
      <c r="D44" s="20" t="s">
        <v>65</v>
      </c>
      <c r="E44" s="31" t="s">
        <v>493</v>
      </c>
      <c r="F44" s="22" t="s">
        <v>150</v>
      </c>
      <c r="G44" s="11" t="s">
        <v>7</v>
      </c>
      <c r="H44" s="98">
        <v>24422070060506</v>
      </c>
      <c r="I44" s="133" t="s">
        <v>781</v>
      </c>
      <c r="J44" s="71">
        <v>12</v>
      </c>
      <c r="K44" s="59" t="s">
        <v>768</v>
      </c>
      <c r="L44" s="59" t="s">
        <v>770</v>
      </c>
      <c r="M44" s="73">
        <f t="shared" si="0"/>
        <v>46360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727</v>
      </c>
      <c r="U44" s="12" t="s">
        <v>886</v>
      </c>
      <c r="V44" s="90" t="s">
        <v>777</v>
      </c>
      <c r="W44" s="28" t="s">
        <v>161</v>
      </c>
      <c r="X44" s="43" t="s">
        <v>155</v>
      </c>
      <c r="Y44" s="28" t="s">
        <v>822</v>
      </c>
      <c r="Z44" s="28">
        <v>1</v>
      </c>
      <c r="AA44" s="28">
        <v>1</v>
      </c>
      <c r="AB44" s="28">
        <v>1</v>
      </c>
      <c r="AC44" s="28">
        <v>1</v>
      </c>
      <c r="AD44" s="66">
        <v>2</v>
      </c>
      <c r="AE44" s="28"/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17</v>
      </c>
      <c r="B45" s="46" t="s">
        <v>882</v>
      </c>
      <c r="C45" s="50"/>
      <c r="D45" s="20" t="s">
        <v>66</v>
      </c>
      <c r="E45" s="31" t="s">
        <v>494</v>
      </c>
      <c r="F45" s="22" t="s">
        <v>150</v>
      </c>
      <c r="G45" s="11" t="s">
        <v>7</v>
      </c>
      <c r="H45" s="98">
        <v>24422070060507</v>
      </c>
      <c r="I45" s="133"/>
      <c r="J45" s="71"/>
      <c r="K45" s="59"/>
      <c r="L45" s="59"/>
      <c r="M45" s="73" t="e">
        <f t="shared" si="0"/>
        <v>#NUM!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727</v>
      </c>
      <c r="U45" s="12" t="s">
        <v>886</v>
      </c>
      <c r="V45" s="90"/>
      <c r="W45" s="28"/>
      <c r="X45" s="43"/>
      <c r="Y45" s="28"/>
      <c r="Z45" s="28"/>
      <c r="AA45" s="28"/>
      <c r="AB45" s="28"/>
      <c r="AC45" s="28"/>
      <c r="AD45" s="66"/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17</v>
      </c>
      <c r="B46" s="46" t="s">
        <v>883</v>
      </c>
      <c r="C46" s="50"/>
      <c r="D46" s="20" t="s">
        <v>67</v>
      </c>
      <c r="E46" s="31" t="s">
        <v>495</v>
      </c>
      <c r="F46" s="22" t="s">
        <v>150</v>
      </c>
      <c r="G46" s="11" t="s">
        <v>7</v>
      </c>
      <c r="H46" s="98">
        <v>24422070060509</v>
      </c>
      <c r="I46" s="133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727</v>
      </c>
      <c r="U46" s="12" t="s">
        <v>886</v>
      </c>
      <c r="V46" s="90"/>
      <c r="W46" s="28"/>
      <c r="X46" s="43"/>
      <c r="Y46" s="28"/>
      <c r="Z46" s="28"/>
      <c r="AA46" s="28"/>
      <c r="AB46" s="28"/>
      <c r="AC46" s="28"/>
      <c r="AD46" s="66"/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 t="s">
        <v>17</v>
      </c>
      <c r="B47" s="46" t="s">
        <v>882</v>
      </c>
      <c r="C47" s="50"/>
      <c r="D47" s="20" t="s">
        <v>68</v>
      </c>
      <c r="E47" s="31" t="s">
        <v>496</v>
      </c>
      <c r="F47" s="22" t="s">
        <v>150</v>
      </c>
      <c r="G47" s="11" t="s">
        <v>7</v>
      </c>
      <c r="H47" s="98">
        <v>24422070060510</v>
      </c>
      <c r="I47" s="133" t="s">
        <v>785</v>
      </c>
      <c r="J47" s="71">
        <v>1</v>
      </c>
      <c r="K47" s="59" t="s">
        <v>187</v>
      </c>
      <c r="L47" s="59" t="s">
        <v>770</v>
      </c>
      <c r="M47" s="73">
        <f t="shared" si="0"/>
        <v>46035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727</v>
      </c>
      <c r="U47" s="12" t="s">
        <v>886</v>
      </c>
      <c r="V47" s="90" t="s">
        <v>777</v>
      </c>
      <c r="W47" s="28" t="s">
        <v>730</v>
      </c>
      <c r="X47" s="43" t="s">
        <v>155</v>
      </c>
      <c r="Y47" s="28"/>
      <c r="Z47" s="28">
        <v>1</v>
      </c>
      <c r="AA47" s="28">
        <v>1</v>
      </c>
      <c r="AB47" s="28">
        <v>2</v>
      </c>
      <c r="AC47" s="28">
        <v>2</v>
      </c>
      <c r="AD47" s="66">
        <v>1</v>
      </c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spans="1:48" ht="15.75" customHeight="1" thickBot="1" x14ac:dyDescent="0.3">
      <c r="A48" s="1" t="s">
        <v>17</v>
      </c>
      <c r="B48" s="46" t="s">
        <v>883</v>
      </c>
      <c r="C48" s="50"/>
      <c r="D48" s="20" t="s">
        <v>69</v>
      </c>
      <c r="E48" s="31" t="s">
        <v>497</v>
      </c>
      <c r="F48" s="22" t="s">
        <v>150</v>
      </c>
      <c r="G48" s="11" t="s">
        <v>7</v>
      </c>
      <c r="H48" s="98">
        <v>24422070060511</v>
      </c>
      <c r="I48" s="133"/>
      <c r="J48" s="71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727</v>
      </c>
      <c r="U48" s="12" t="s">
        <v>886</v>
      </c>
      <c r="V48" s="90"/>
      <c r="W48" s="28"/>
      <c r="X48" s="43"/>
      <c r="Y48" s="28"/>
      <c r="Z48" s="28"/>
      <c r="AA48" s="28"/>
      <c r="AB48" s="28"/>
      <c r="AC48" s="28"/>
      <c r="AD48" s="66"/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spans="1:46" ht="15.75" customHeight="1" thickBot="1" x14ac:dyDescent="0.3">
      <c r="A49" s="1" t="s">
        <v>17</v>
      </c>
      <c r="B49" s="46" t="s">
        <v>883</v>
      </c>
      <c r="C49" s="114">
        <v>1</v>
      </c>
      <c r="D49" s="20" t="s">
        <v>70</v>
      </c>
      <c r="E49" s="31" t="s">
        <v>498</v>
      </c>
      <c r="F49" s="22" t="s">
        <v>150</v>
      </c>
      <c r="G49" s="11" t="s">
        <v>7</v>
      </c>
      <c r="H49" s="98">
        <v>24422070060513</v>
      </c>
      <c r="I49" s="133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727</v>
      </c>
      <c r="U49" s="12" t="s">
        <v>886</v>
      </c>
      <c r="V49" s="90"/>
      <c r="W49" s="28"/>
      <c r="X49" s="43"/>
      <c r="Y49" s="28"/>
      <c r="Z49" s="28"/>
      <c r="AA49" s="28"/>
      <c r="AB49" s="28"/>
      <c r="AC49" s="28"/>
      <c r="AD49" s="66"/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1:46" ht="15.75" customHeight="1" thickBot="1" x14ac:dyDescent="0.3">
      <c r="A50" s="1" t="s">
        <v>17</v>
      </c>
      <c r="B50" s="46" t="s">
        <v>883</v>
      </c>
      <c r="C50" s="114">
        <v>1</v>
      </c>
      <c r="D50" s="20" t="s">
        <v>71</v>
      </c>
      <c r="E50" s="31" t="s">
        <v>499</v>
      </c>
      <c r="F50" s="22" t="s">
        <v>150</v>
      </c>
      <c r="G50" s="11" t="s">
        <v>7</v>
      </c>
      <c r="H50" s="98">
        <v>24422070060582</v>
      </c>
      <c r="I50" s="133"/>
      <c r="J50" s="59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727</v>
      </c>
      <c r="U50" s="12" t="s">
        <v>886</v>
      </c>
      <c r="V50" s="90"/>
      <c r="W50" s="28"/>
      <c r="X50" s="43"/>
      <c r="Y50" s="28"/>
      <c r="Z50" s="28"/>
      <c r="AA50" s="28"/>
      <c r="AB50" s="28"/>
      <c r="AC50" s="28"/>
      <c r="AD50" s="66"/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6" ht="15.75" customHeight="1" thickBot="1" x14ac:dyDescent="0.3">
      <c r="A51" s="1" t="s">
        <v>17</v>
      </c>
      <c r="B51" s="52" t="s">
        <v>882</v>
      </c>
      <c r="C51" s="115">
        <v>1</v>
      </c>
      <c r="D51" s="20" t="s">
        <v>72</v>
      </c>
      <c r="E51" s="31" t="s">
        <v>500</v>
      </c>
      <c r="F51" s="22" t="s">
        <v>150</v>
      </c>
      <c r="G51" s="11" t="s">
        <v>7</v>
      </c>
      <c r="H51" s="98">
        <v>24422070060514</v>
      </c>
      <c r="I51" s="133"/>
      <c r="J51" s="71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727</v>
      </c>
      <c r="U51" s="12" t="s">
        <v>886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6" ht="15.75" customHeight="1" thickBot="1" x14ac:dyDescent="0.3">
      <c r="A52" s="1" t="s">
        <v>17</v>
      </c>
      <c r="B52" s="53" t="s">
        <v>883</v>
      </c>
      <c r="C52" s="56"/>
      <c r="D52" s="20" t="s">
        <v>73</v>
      </c>
      <c r="E52" s="31" t="s">
        <v>501</v>
      </c>
      <c r="F52" s="22" t="s">
        <v>150</v>
      </c>
      <c r="G52" s="11" t="s">
        <v>7</v>
      </c>
      <c r="H52" s="98">
        <v>24422070060515</v>
      </c>
      <c r="I52" s="133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727</v>
      </c>
      <c r="U52" s="12" t="s">
        <v>886</v>
      </c>
      <c r="V52" s="90" t="s">
        <v>777</v>
      </c>
      <c r="W52" s="28" t="s">
        <v>772</v>
      </c>
      <c r="X52" s="43" t="s">
        <v>771</v>
      </c>
      <c r="Y52" s="28"/>
      <c r="Z52" s="28">
        <v>1</v>
      </c>
      <c r="AA52" s="28">
        <v>1</v>
      </c>
      <c r="AB52" s="28">
        <v>1</v>
      </c>
      <c r="AC52" s="28">
        <v>1</v>
      </c>
      <c r="AD52" s="66">
        <v>1</v>
      </c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6" ht="15.75" customHeight="1" thickBot="1" x14ac:dyDescent="0.3">
      <c r="A53" s="1" t="s">
        <v>17</v>
      </c>
      <c r="B53" s="54" t="s">
        <v>882</v>
      </c>
      <c r="C53" s="57"/>
      <c r="D53" s="20" t="s">
        <v>74</v>
      </c>
      <c r="E53" s="31" t="s">
        <v>502</v>
      </c>
      <c r="F53" s="22" t="s">
        <v>150</v>
      </c>
      <c r="G53" s="11" t="s">
        <v>7</v>
      </c>
      <c r="H53" s="98">
        <v>24422070060516</v>
      </c>
      <c r="I53" s="133" t="s">
        <v>789</v>
      </c>
      <c r="J53" s="71">
        <v>1</v>
      </c>
      <c r="K53" s="59" t="s">
        <v>187</v>
      </c>
      <c r="L53" s="59" t="s">
        <v>770</v>
      </c>
      <c r="M53" s="73">
        <f t="shared" si="0"/>
        <v>46041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727</v>
      </c>
      <c r="U53" s="12" t="s">
        <v>886</v>
      </c>
      <c r="V53" s="90" t="s">
        <v>777</v>
      </c>
      <c r="W53" s="28" t="s">
        <v>174</v>
      </c>
      <c r="X53" s="43" t="s">
        <v>771</v>
      </c>
      <c r="Y53" s="28"/>
      <c r="Z53" s="28">
        <v>1</v>
      </c>
      <c r="AA53" s="28">
        <v>1</v>
      </c>
      <c r="AB53" s="28">
        <v>1</v>
      </c>
      <c r="AC53" s="28">
        <v>1</v>
      </c>
      <c r="AD53" s="66">
        <v>1</v>
      </c>
      <c r="AE53" s="28"/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6" ht="17.25" customHeight="1" thickBot="1" x14ac:dyDescent="0.3">
      <c r="A54" s="1" t="s">
        <v>17</v>
      </c>
      <c r="B54" s="52" t="s">
        <v>883</v>
      </c>
      <c r="C54" s="55"/>
      <c r="D54" s="20" t="s">
        <v>75</v>
      </c>
      <c r="E54" s="31" t="s">
        <v>503</v>
      </c>
      <c r="F54" s="22" t="s">
        <v>150</v>
      </c>
      <c r="G54" s="11" t="s">
        <v>7</v>
      </c>
      <c r="H54" s="98">
        <v>24422070060518</v>
      </c>
      <c r="I54" s="133"/>
      <c r="J54" s="59"/>
      <c r="K54" s="59"/>
      <c r="L54" s="59"/>
      <c r="M54" s="73" t="e">
        <f t="shared" si="0"/>
        <v>#NUM!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727</v>
      </c>
      <c r="U54" s="12" t="s">
        <v>886</v>
      </c>
      <c r="V54" s="90"/>
      <c r="W54" s="28"/>
      <c r="X54" s="43"/>
      <c r="Y54" s="28"/>
      <c r="Z54" s="28"/>
      <c r="AA54" s="28"/>
      <c r="AB54" s="28"/>
      <c r="AC54" s="28"/>
      <c r="AD54" s="66"/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6" ht="15.75" customHeight="1" thickBot="1" x14ac:dyDescent="0.3">
      <c r="A55" s="1" t="s">
        <v>17</v>
      </c>
      <c r="B55" s="54" t="s">
        <v>883</v>
      </c>
      <c r="C55" s="116">
        <v>1</v>
      </c>
      <c r="D55" s="20" t="s">
        <v>76</v>
      </c>
      <c r="E55" s="31" t="s">
        <v>504</v>
      </c>
      <c r="F55" s="22" t="s">
        <v>150</v>
      </c>
      <c r="G55" s="11" t="s">
        <v>7</v>
      </c>
      <c r="H55" s="98">
        <v>24422070060520</v>
      </c>
      <c r="I55" s="133"/>
      <c r="J55" s="71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727</v>
      </c>
      <c r="U55" s="12" t="s">
        <v>886</v>
      </c>
      <c r="V55" s="90"/>
      <c r="W55" s="28"/>
      <c r="X55" s="43"/>
      <c r="Y55" s="28"/>
      <c r="Z55" s="28"/>
      <c r="AA55" s="28"/>
      <c r="AB55" s="28"/>
      <c r="AC55" s="28"/>
      <c r="AD55" s="66"/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6" ht="15.75" customHeight="1" thickBot="1" x14ac:dyDescent="0.3">
      <c r="A56" s="1" t="s">
        <v>17</v>
      </c>
      <c r="B56" s="54" t="s">
        <v>883</v>
      </c>
      <c r="C56" s="57"/>
      <c r="D56" s="20" t="s">
        <v>77</v>
      </c>
      <c r="E56" s="31" t="s">
        <v>505</v>
      </c>
      <c r="F56" s="22" t="s">
        <v>150</v>
      </c>
      <c r="G56" s="11" t="s">
        <v>7</v>
      </c>
      <c r="H56" s="98">
        <v>24422070060521</v>
      </c>
      <c r="I56" s="133" t="s">
        <v>791</v>
      </c>
      <c r="J56" s="71">
        <v>2</v>
      </c>
      <c r="K56" s="59" t="s">
        <v>798</v>
      </c>
      <c r="L56" s="59" t="s">
        <v>770</v>
      </c>
      <c r="M56" s="73">
        <f t="shared" si="0"/>
        <v>46076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727</v>
      </c>
      <c r="U56" s="12" t="s">
        <v>886</v>
      </c>
      <c r="V56" s="90" t="s">
        <v>777</v>
      </c>
      <c r="W56" s="28" t="s">
        <v>202</v>
      </c>
      <c r="X56" s="43" t="s">
        <v>771</v>
      </c>
      <c r="Y56" s="28"/>
      <c r="Z56" s="28">
        <v>1</v>
      </c>
      <c r="AA56" s="28">
        <v>1</v>
      </c>
      <c r="AB56" s="28">
        <v>2</v>
      </c>
      <c r="AC56" s="28">
        <v>2</v>
      </c>
      <c r="AD56" s="66">
        <v>1</v>
      </c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6" ht="15.75" customHeight="1" thickBot="1" x14ac:dyDescent="0.3">
      <c r="A57" s="1" t="s">
        <v>17</v>
      </c>
      <c r="B57" s="54" t="s">
        <v>883</v>
      </c>
      <c r="C57" s="57"/>
      <c r="D57" s="20" t="s">
        <v>78</v>
      </c>
      <c r="E57" s="31" t="s">
        <v>506</v>
      </c>
      <c r="F57" s="22" t="s">
        <v>150</v>
      </c>
      <c r="G57" s="11" t="s">
        <v>7</v>
      </c>
      <c r="H57" s="98">
        <v>24422070060568</v>
      </c>
      <c r="I57" s="133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727</v>
      </c>
      <c r="U57" s="12" t="s">
        <v>886</v>
      </c>
      <c r="V57" s="90"/>
      <c r="W57" s="28"/>
      <c r="X57" s="43"/>
      <c r="Y57" s="28"/>
      <c r="Z57" s="28"/>
      <c r="AA57" s="15"/>
      <c r="AB57" s="28"/>
      <c r="AC57" s="15"/>
      <c r="AD57" s="68"/>
      <c r="AE57" s="28"/>
      <c r="AF57" s="15"/>
      <c r="AG57" s="28"/>
      <c r="AH57" s="81"/>
      <c r="AI57" s="28"/>
      <c r="AJ57" s="86"/>
      <c r="AK57" s="86"/>
      <c r="AL57" s="16"/>
      <c r="AM57" s="86"/>
      <c r="AN57" s="16"/>
      <c r="AO57" s="86"/>
      <c r="AP57" s="86"/>
      <c r="AQ57" s="16"/>
      <c r="AR57" s="86"/>
      <c r="AS57" s="16"/>
      <c r="AT57" s="86"/>
    </row>
    <row r="58" spans="1:46" ht="15.75" customHeight="1" thickBot="1" x14ac:dyDescent="0.3">
      <c r="A58" s="1" t="s">
        <v>17</v>
      </c>
      <c r="B58" s="54" t="s">
        <v>883</v>
      </c>
      <c r="C58" s="57"/>
      <c r="D58" s="20" t="s">
        <v>79</v>
      </c>
      <c r="E58" s="31" t="s">
        <v>507</v>
      </c>
      <c r="F58" s="22" t="s">
        <v>150</v>
      </c>
      <c r="G58" s="11" t="s">
        <v>7</v>
      </c>
      <c r="H58" s="98">
        <v>24422070060569</v>
      </c>
      <c r="I58" s="133"/>
      <c r="J58" s="71"/>
      <c r="K58" s="59"/>
      <c r="L58" s="59"/>
      <c r="M58" s="73" t="e">
        <f t="shared" si="0"/>
        <v>#NUM!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727</v>
      </c>
      <c r="U58" s="12" t="s">
        <v>886</v>
      </c>
      <c r="V58" s="90"/>
      <c r="W58" s="28"/>
      <c r="X58" s="43"/>
      <c r="Y58" s="28"/>
      <c r="Z58" s="28"/>
      <c r="AA58" s="65"/>
      <c r="AB58" s="65"/>
      <c r="AC58" s="65"/>
      <c r="AD58" s="67"/>
      <c r="AE58" s="65"/>
      <c r="AF58" s="65"/>
      <c r="AG58" s="65"/>
      <c r="AH58" s="82"/>
      <c r="AI58" s="65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</row>
    <row r="59" spans="1:46" ht="15.75" customHeight="1" thickBot="1" x14ac:dyDescent="0.3">
      <c r="A59" s="1" t="s">
        <v>17</v>
      </c>
      <c r="B59" s="54" t="s">
        <v>882</v>
      </c>
      <c r="C59" s="57"/>
      <c r="D59" s="20" t="s">
        <v>80</v>
      </c>
      <c r="E59" s="31" t="s">
        <v>508</v>
      </c>
      <c r="F59" s="22" t="s">
        <v>150</v>
      </c>
      <c r="G59" s="11" t="s">
        <v>7</v>
      </c>
      <c r="H59" s="98">
        <v>24422070060523</v>
      </c>
      <c r="I59" s="133" t="s">
        <v>789</v>
      </c>
      <c r="J59" s="59" t="s">
        <v>157</v>
      </c>
      <c r="K59" s="59" t="s">
        <v>187</v>
      </c>
      <c r="L59" s="59" t="s">
        <v>770</v>
      </c>
      <c r="M59" s="73">
        <f t="shared" si="0"/>
        <v>46041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727</v>
      </c>
      <c r="U59" s="12" t="s">
        <v>886</v>
      </c>
      <c r="V59" s="90" t="s">
        <v>777</v>
      </c>
      <c r="W59" s="28" t="s">
        <v>823</v>
      </c>
      <c r="X59" s="43" t="s">
        <v>155</v>
      </c>
      <c r="Y59" s="28"/>
      <c r="Z59" s="28">
        <v>1</v>
      </c>
      <c r="AA59" s="28">
        <v>1</v>
      </c>
      <c r="AB59" s="65">
        <v>1</v>
      </c>
      <c r="AC59" s="28">
        <v>1</v>
      </c>
      <c r="AD59" s="66">
        <v>1</v>
      </c>
      <c r="AE59" s="65"/>
      <c r="AF59" s="28"/>
      <c r="AG59" s="65"/>
      <c r="AH59" s="20"/>
      <c r="AI59" s="65"/>
      <c r="AJ59" s="16"/>
      <c r="AK59" s="16"/>
      <c r="AL59" s="29"/>
      <c r="AM59" s="16"/>
      <c r="AN59" s="29"/>
      <c r="AO59" s="16"/>
      <c r="AP59" s="16"/>
      <c r="AQ59" s="29"/>
      <c r="AR59" s="16"/>
      <c r="AS59" s="29"/>
      <c r="AT59" s="16"/>
    </row>
    <row r="60" spans="1:46" ht="15.75" customHeight="1" thickBot="1" x14ac:dyDescent="0.3">
      <c r="A60" s="1" t="s">
        <v>17</v>
      </c>
      <c r="B60" s="54" t="s">
        <v>882</v>
      </c>
      <c r="C60" s="57"/>
      <c r="D60" s="20" t="s">
        <v>81</v>
      </c>
      <c r="E60" s="31" t="s">
        <v>509</v>
      </c>
      <c r="F60" s="22" t="s">
        <v>150</v>
      </c>
      <c r="G60" s="11" t="s">
        <v>7</v>
      </c>
      <c r="H60" s="98">
        <v>24422070060524</v>
      </c>
      <c r="I60" s="133"/>
      <c r="J60" s="59"/>
      <c r="K60" s="59"/>
      <c r="L60" s="59"/>
      <c r="M60" s="73" t="e">
        <f t="shared" ref="M60:M85" si="3">DATE(L60,J60,I60)</f>
        <v>#NUM!</v>
      </c>
      <c r="N60" s="23" t="e">
        <f t="shared" si="2"/>
        <v>#NUM!</v>
      </c>
      <c r="O60" s="73" t="e">
        <f t="shared" ref="O60:O85" si="4">DATE(S60,Q60,P60)</f>
        <v>#NUM!</v>
      </c>
      <c r="P60" s="59"/>
      <c r="Q60" s="59"/>
      <c r="R60" s="59"/>
      <c r="S60" s="59"/>
      <c r="T60" s="12" t="s">
        <v>727</v>
      </c>
      <c r="U60" s="12" t="s">
        <v>886</v>
      </c>
      <c r="V60" s="90" t="s">
        <v>777</v>
      </c>
      <c r="W60" s="28" t="s">
        <v>859</v>
      </c>
      <c r="X60" s="43" t="s">
        <v>155</v>
      </c>
      <c r="Y60" s="28"/>
      <c r="Z60" s="28">
        <v>2</v>
      </c>
      <c r="AA60" s="28">
        <v>2</v>
      </c>
      <c r="AB60" s="65"/>
      <c r="AC60" s="28"/>
      <c r="AD60" s="66">
        <v>2</v>
      </c>
      <c r="AE60" s="65"/>
      <c r="AF60" s="28"/>
      <c r="AG60" s="65"/>
      <c r="AH60" s="20"/>
      <c r="AI60" s="65"/>
      <c r="AJ60" s="16"/>
      <c r="AK60" s="16"/>
      <c r="AL60" s="29"/>
      <c r="AM60" s="16"/>
      <c r="AN60" s="29"/>
      <c r="AO60" s="16"/>
      <c r="AP60" s="16"/>
      <c r="AQ60" s="29"/>
      <c r="AR60" s="16"/>
      <c r="AS60" s="29"/>
      <c r="AT60" s="16"/>
    </row>
    <row r="61" spans="1:46" ht="15.75" customHeight="1" thickBot="1" x14ac:dyDescent="0.3">
      <c r="A61" s="1" t="s">
        <v>17</v>
      </c>
      <c r="B61" s="54" t="s">
        <v>883</v>
      </c>
      <c r="C61" s="57"/>
      <c r="D61" s="20" t="s">
        <v>82</v>
      </c>
      <c r="E61" s="31" t="s">
        <v>510</v>
      </c>
      <c r="F61" s="22" t="s">
        <v>150</v>
      </c>
      <c r="G61" s="11" t="s">
        <v>7</v>
      </c>
      <c r="H61" s="98">
        <v>24422070060525</v>
      </c>
      <c r="I61" s="133" t="s">
        <v>791</v>
      </c>
      <c r="J61" s="71">
        <v>2</v>
      </c>
      <c r="K61" s="59" t="s">
        <v>798</v>
      </c>
      <c r="L61" s="71">
        <v>2026</v>
      </c>
      <c r="M61" s="73">
        <f t="shared" si="3"/>
        <v>46076</v>
      </c>
      <c r="N61" s="23" t="e">
        <f t="shared" ref="N61:N85" si="5">DATEDIF(M61,O61,"m")</f>
        <v>#NUM!</v>
      </c>
      <c r="O61" s="73" t="e">
        <f t="shared" si="4"/>
        <v>#NUM!</v>
      </c>
      <c r="P61" s="59"/>
      <c r="Q61" s="59"/>
      <c r="R61" s="59"/>
      <c r="S61" s="59"/>
      <c r="T61" s="12" t="s">
        <v>727</v>
      </c>
      <c r="U61" s="12" t="s">
        <v>886</v>
      </c>
      <c r="V61" s="90" t="s">
        <v>777</v>
      </c>
      <c r="W61" s="28" t="s">
        <v>824</v>
      </c>
      <c r="X61" s="43" t="s">
        <v>771</v>
      </c>
      <c r="Y61" s="28"/>
      <c r="Z61" s="28">
        <v>1</v>
      </c>
      <c r="AA61" s="15">
        <v>1</v>
      </c>
      <c r="AB61" s="15">
        <v>2</v>
      </c>
      <c r="AC61" s="15">
        <v>2</v>
      </c>
      <c r="AD61" s="68">
        <v>1</v>
      </c>
      <c r="AE61" s="15"/>
      <c r="AF61" s="15"/>
      <c r="AG61" s="15"/>
      <c r="AH61" s="81"/>
      <c r="AI61" s="15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</row>
    <row r="62" spans="1:46" ht="15.75" customHeight="1" thickBot="1" x14ac:dyDescent="0.3">
      <c r="A62" s="1" t="s">
        <v>17</v>
      </c>
      <c r="B62" s="54" t="s">
        <v>883</v>
      </c>
      <c r="C62" s="57"/>
      <c r="D62" s="20" t="s">
        <v>83</v>
      </c>
      <c r="E62" s="31" t="s">
        <v>511</v>
      </c>
      <c r="F62" s="22" t="s">
        <v>150</v>
      </c>
      <c r="G62" s="11" t="s">
        <v>7</v>
      </c>
      <c r="H62" s="98">
        <v>24422070060526</v>
      </c>
      <c r="I62" s="133"/>
      <c r="J62" s="59"/>
      <c r="K62" s="59"/>
      <c r="L62" s="59"/>
      <c r="M62" s="73" t="e">
        <f t="shared" si="3"/>
        <v>#NUM!</v>
      </c>
      <c r="N62" s="23" t="e">
        <f t="shared" si="5"/>
        <v>#NUM!</v>
      </c>
      <c r="O62" s="73" t="e">
        <f t="shared" si="4"/>
        <v>#NUM!</v>
      </c>
      <c r="P62" s="59"/>
      <c r="Q62" s="59"/>
      <c r="R62" s="59"/>
      <c r="S62" s="59"/>
      <c r="T62" s="12" t="s">
        <v>727</v>
      </c>
      <c r="U62" s="12" t="s">
        <v>886</v>
      </c>
      <c r="V62" s="90" t="s">
        <v>777</v>
      </c>
      <c r="W62" s="28" t="s">
        <v>772</v>
      </c>
      <c r="X62" s="43" t="s">
        <v>771</v>
      </c>
      <c r="Y62" s="28"/>
      <c r="Z62" s="28">
        <v>1</v>
      </c>
      <c r="AA62" s="15">
        <v>1</v>
      </c>
      <c r="AB62" s="15">
        <v>2</v>
      </c>
      <c r="AC62" s="15"/>
      <c r="AD62" s="68">
        <v>1</v>
      </c>
      <c r="AE62" s="15"/>
      <c r="AF62" s="15"/>
      <c r="AG62" s="15"/>
      <c r="AH62" s="81"/>
      <c r="AI62" s="15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</row>
    <row r="63" spans="1:46" ht="15.75" customHeight="1" thickBot="1" x14ac:dyDescent="0.3">
      <c r="A63" s="1" t="s">
        <v>17</v>
      </c>
      <c r="B63" s="54" t="s">
        <v>883</v>
      </c>
      <c r="C63" s="57"/>
      <c r="D63" s="20" t="s">
        <v>84</v>
      </c>
      <c r="E63" s="31" t="s">
        <v>512</v>
      </c>
      <c r="F63" s="22" t="s">
        <v>150</v>
      </c>
      <c r="G63" s="11" t="s">
        <v>7</v>
      </c>
      <c r="H63" s="98">
        <v>24422070060527</v>
      </c>
      <c r="I63" s="133"/>
      <c r="J63" s="59"/>
      <c r="K63" s="59"/>
      <c r="L63" s="59"/>
      <c r="M63" s="73" t="e">
        <f t="shared" si="3"/>
        <v>#NUM!</v>
      </c>
      <c r="N63" s="23" t="e">
        <f t="shared" si="5"/>
        <v>#NUM!</v>
      </c>
      <c r="O63" s="73" t="e">
        <f t="shared" si="4"/>
        <v>#NUM!</v>
      </c>
      <c r="P63" s="59"/>
      <c r="Q63" s="59"/>
      <c r="R63" s="59"/>
      <c r="S63" s="59"/>
      <c r="T63" s="12" t="s">
        <v>727</v>
      </c>
      <c r="U63" s="12" t="s">
        <v>886</v>
      </c>
      <c r="V63" s="90" t="s">
        <v>777</v>
      </c>
      <c r="W63" s="28" t="s">
        <v>825</v>
      </c>
      <c r="X63" s="43" t="s">
        <v>155</v>
      </c>
      <c r="Y63" s="28"/>
      <c r="Z63" s="28">
        <v>1</v>
      </c>
      <c r="AA63" s="15">
        <v>1</v>
      </c>
      <c r="AB63" s="15">
        <v>2</v>
      </c>
      <c r="AC63" s="15"/>
      <c r="AD63" s="68">
        <v>1</v>
      </c>
      <c r="AE63" s="15"/>
      <c r="AF63" s="15"/>
      <c r="AG63" s="15"/>
      <c r="AH63" s="81"/>
      <c r="AI63" s="15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</row>
    <row r="64" spans="1:46" ht="15.75" customHeight="1" thickBot="1" x14ac:dyDescent="0.3">
      <c r="A64" s="1"/>
      <c r="B64" s="54" t="s">
        <v>883</v>
      </c>
      <c r="C64" s="57"/>
      <c r="D64" s="20" t="s">
        <v>85</v>
      </c>
      <c r="E64" s="130" t="s">
        <v>848</v>
      </c>
      <c r="F64" s="22" t="s">
        <v>150</v>
      </c>
      <c r="G64" s="11" t="s">
        <v>7</v>
      </c>
      <c r="H64" s="98">
        <v>23422070060584</v>
      </c>
      <c r="I64" s="133"/>
      <c r="J64" s="59"/>
      <c r="K64" s="59"/>
      <c r="L64" s="59"/>
      <c r="M64" s="73"/>
      <c r="N64" s="23"/>
      <c r="O64" s="73"/>
      <c r="P64" s="59"/>
      <c r="Q64" s="59"/>
      <c r="R64" s="59"/>
      <c r="S64" s="59"/>
      <c r="T64" s="12" t="s">
        <v>727</v>
      </c>
      <c r="U64" s="12" t="s">
        <v>886</v>
      </c>
      <c r="V64" s="90"/>
      <c r="W64" s="28"/>
      <c r="X64" s="43"/>
      <c r="Y64" s="28"/>
      <c r="Z64" s="28"/>
      <c r="AA64" s="15"/>
      <c r="AB64" s="15"/>
      <c r="AC64" s="15"/>
      <c r="AD64" s="68"/>
      <c r="AE64" s="15"/>
      <c r="AF64" s="15"/>
      <c r="AG64" s="15"/>
      <c r="AH64" s="81"/>
      <c r="AI64" s="1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</row>
    <row r="65" spans="1:46" ht="15.75" customHeight="1" thickBot="1" x14ac:dyDescent="0.3">
      <c r="A65" s="1" t="s">
        <v>17</v>
      </c>
      <c r="B65" s="54" t="s">
        <v>883</v>
      </c>
      <c r="C65" s="57"/>
      <c r="D65" s="20" t="s">
        <v>86</v>
      </c>
      <c r="E65" s="31" t="s">
        <v>513</v>
      </c>
      <c r="F65" s="22" t="s">
        <v>150</v>
      </c>
      <c r="G65" s="11" t="s">
        <v>7</v>
      </c>
      <c r="H65" s="98">
        <v>24422070060528</v>
      </c>
      <c r="I65" s="133"/>
      <c r="J65" s="59"/>
      <c r="K65" s="59"/>
      <c r="L65" s="59"/>
      <c r="M65" s="73" t="e">
        <f t="shared" si="3"/>
        <v>#NUM!</v>
      </c>
      <c r="N65" s="23" t="e">
        <f t="shared" si="5"/>
        <v>#NUM!</v>
      </c>
      <c r="O65" s="73" t="e">
        <f t="shared" si="4"/>
        <v>#NUM!</v>
      </c>
      <c r="P65" s="59"/>
      <c r="Q65" s="59"/>
      <c r="R65" s="59"/>
      <c r="S65" s="59"/>
      <c r="T65" s="12" t="s">
        <v>727</v>
      </c>
      <c r="U65" s="12" t="s">
        <v>886</v>
      </c>
      <c r="V65" s="90" t="s">
        <v>777</v>
      </c>
      <c r="W65" s="107" t="s">
        <v>20</v>
      </c>
      <c r="X65" s="43" t="s">
        <v>155</v>
      </c>
      <c r="Y65" s="28"/>
      <c r="Z65" s="28">
        <v>2</v>
      </c>
      <c r="AA65" s="65">
        <v>2</v>
      </c>
      <c r="AB65" s="65">
        <v>2</v>
      </c>
      <c r="AC65" s="65"/>
      <c r="AD65" s="67">
        <v>2</v>
      </c>
      <c r="AE65" s="65"/>
      <c r="AF65" s="65"/>
      <c r="AG65" s="65"/>
      <c r="AH65" s="82"/>
      <c r="AI65" s="65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1:46" ht="15.75" customHeight="1" thickBot="1" x14ac:dyDescent="0.3">
      <c r="A66" s="1" t="s">
        <v>17</v>
      </c>
      <c r="B66" s="54" t="s">
        <v>882</v>
      </c>
      <c r="C66" s="57"/>
      <c r="D66" s="20" t="s">
        <v>87</v>
      </c>
      <c r="E66" s="31" t="s">
        <v>514</v>
      </c>
      <c r="F66" s="22" t="s">
        <v>150</v>
      </c>
      <c r="G66" s="11" t="s">
        <v>7</v>
      </c>
      <c r="H66" s="98">
        <v>24422070060529</v>
      </c>
      <c r="I66" s="133"/>
      <c r="J66" s="71"/>
      <c r="K66" s="59"/>
      <c r="L66" s="59"/>
      <c r="M66" s="73" t="e">
        <f t="shared" si="3"/>
        <v>#NUM!</v>
      </c>
      <c r="N66" s="23" t="e">
        <f t="shared" si="5"/>
        <v>#NUM!</v>
      </c>
      <c r="O66" s="73" t="e">
        <f t="shared" si="4"/>
        <v>#NUM!</v>
      </c>
      <c r="P66" s="59"/>
      <c r="Q66" s="59"/>
      <c r="R66" s="59"/>
      <c r="S66" s="59"/>
      <c r="T66" s="12" t="s">
        <v>727</v>
      </c>
      <c r="U66" s="12" t="s">
        <v>886</v>
      </c>
      <c r="V66" s="90"/>
      <c r="W66" s="28"/>
      <c r="X66" s="43"/>
      <c r="Y66" s="28"/>
      <c r="Z66" s="28"/>
      <c r="AA66" s="15"/>
      <c r="AB66" s="15"/>
      <c r="AC66" s="15"/>
      <c r="AD66" s="68"/>
      <c r="AE66" s="15"/>
      <c r="AF66" s="15"/>
      <c r="AG66" s="15"/>
      <c r="AH66" s="81"/>
      <c r="AI66" s="15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</row>
    <row r="67" spans="1:46" ht="15.75" customHeight="1" thickBot="1" x14ac:dyDescent="0.3">
      <c r="A67" s="1" t="s">
        <v>17</v>
      </c>
      <c r="B67" s="54" t="s">
        <v>883</v>
      </c>
      <c r="C67" s="116">
        <v>2</v>
      </c>
      <c r="D67" s="20" t="s">
        <v>88</v>
      </c>
      <c r="E67" s="31" t="s">
        <v>515</v>
      </c>
      <c r="F67" s="22" t="s">
        <v>150</v>
      </c>
      <c r="G67" s="11" t="s">
        <v>7</v>
      </c>
      <c r="H67" s="98">
        <v>24422070060530</v>
      </c>
      <c r="I67" s="133"/>
      <c r="J67" s="71"/>
      <c r="K67" s="59"/>
      <c r="L67" s="59"/>
      <c r="M67" s="73" t="e">
        <f t="shared" si="3"/>
        <v>#NUM!</v>
      </c>
      <c r="N67" s="23" t="e">
        <f t="shared" si="5"/>
        <v>#NUM!</v>
      </c>
      <c r="O67" s="73" t="e">
        <f t="shared" si="4"/>
        <v>#NUM!</v>
      </c>
      <c r="P67" s="59"/>
      <c r="Q67" s="59"/>
      <c r="R67" s="59"/>
      <c r="S67" s="59"/>
      <c r="T67" s="12" t="s">
        <v>727</v>
      </c>
      <c r="U67" s="12" t="s">
        <v>886</v>
      </c>
      <c r="V67" s="90"/>
      <c r="W67" s="28"/>
      <c r="X67" s="43"/>
      <c r="Y67" s="28"/>
      <c r="Z67" s="28"/>
      <c r="AA67" s="15"/>
      <c r="AB67" s="15"/>
      <c r="AC67" s="15"/>
      <c r="AD67" s="68"/>
      <c r="AE67" s="15"/>
      <c r="AF67" s="15"/>
      <c r="AG67" s="15"/>
      <c r="AH67" s="81"/>
      <c r="AI67" s="15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</row>
    <row r="68" spans="1:46" ht="15.75" customHeight="1" thickBot="1" x14ac:dyDescent="0.3">
      <c r="A68" s="1" t="s">
        <v>17</v>
      </c>
      <c r="B68" s="54" t="s">
        <v>882</v>
      </c>
      <c r="C68" s="116">
        <v>2</v>
      </c>
      <c r="D68" s="20" t="s">
        <v>89</v>
      </c>
      <c r="E68" s="31" t="s">
        <v>516</v>
      </c>
      <c r="F68" s="22" t="s">
        <v>150</v>
      </c>
      <c r="G68" s="11" t="s">
        <v>7</v>
      </c>
      <c r="H68" s="98">
        <v>24422070060592</v>
      </c>
      <c r="I68" s="133"/>
      <c r="J68" s="71"/>
      <c r="K68" s="59"/>
      <c r="L68" s="59"/>
      <c r="M68" s="73" t="e">
        <f t="shared" si="3"/>
        <v>#NUM!</v>
      </c>
      <c r="N68" s="23" t="e">
        <f t="shared" si="5"/>
        <v>#NUM!</v>
      </c>
      <c r="O68" s="73" t="e">
        <f t="shared" si="4"/>
        <v>#NUM!</v>
      </c>
      <c r="P68" s="59"/>
      <c r="Q68" s="59"/>
      <c r="R68" s="59"/>
      <c r="S68" s="59"/>
      <c r="T68" s="12" t="s">
        <v>727</v>
      </c>
      <c r="U68" s="12" t="s">
        <v>886</v>
      </c>
      <c r="V68" s="90" t="s">
        <v>777</v>
      </c>
      <c r="W68" s="28" t="s">
        <v>202</v>
      </c>
      <c r="X68" s="43" t="s">
        <v>771</v>
      </c>
      <c r="Y68" s="28"/>
      <c r="Z68" s="28">
        <v>2</v>
      </c>
      <c r="AA68" s="15">
        <v>2</v>
      </c>
      <c r="AB68" s="15"/>
      <c r="AC68" s="15"/>
      <c r="AD68" s="68">
        <v>2</v>
      </c>
      <c r="AE68" s="15"/>
      <c r="AF68" s="15"/>
      <c r="AG68" s="15"/>
      <c r="AH68" s="81"/>
      <c r="AI68" s="15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</row>
    <row r="69" spans="1:46" ht="15.75" customHeight="1" thickBot="1" x14ac:dyDescent="0.3">
      <c r="A69" s="1" t="s">
        <v>17</v>
      </c>
      <c r="B69" s="54" t="s">
        <v>883</v>
      </c>
      <c r="C69" s="57"/>
      <c r="D69" s="20" t="s">
        <v>90</v>
      </c>
      <c r="E69" s="31" t="s">
        <v>517</v>
      </c>
      <c r="F69" s="22" t="s">
        <v>150</v>
      </c>
      <c r="G69" s="11" t="s">
        <v>7</v>
      </c>
      <c r="H69" s="98">
        <v>24422070060533</v>
      </c>
      <c r="I69" s="133"/>
      <c r="J69" s="71"/>
      <c r="K69" s="59"/>
      <c r="L69" s="59"/>
      <c r="M69" s="73" t="e">
        <f t="shared" si="3"/>
        <v>#NUM!</v>
      </c>
      <c r="N69" s="23" t="e">
        <f t="shared" si="5"/>
        <v>#NUM!</v>
      </c>
      <c r="O69" s="73" t="e">
        <f t="shared" si="4"/>
        <v>#NUM!</v>
      </c>
      <c r="P69" s="59"/>
      <c r="Q69" s="59"/>
      <c r="R69" s="59"/>
      <c r="S69" s="59"/>
      <c r="T69" s="12" t="s">
        <v>727</v>
      </c>
      <c r="U69" s="12" t="s">
        <v>886</v>
      </c>
      <c r="V69" s="90"/>
      <c r="W69" s="28"/>
      <c r="X69" s="43"/>
      <c r="Y69" s="28"/>
      <c r="Z69" s="28"/>
      <c r="AA69" s="15"/>
      <c r="AB69" s="15"/>
      <c r="AC69" s="15"/>
      <c r="AD69" s="68"/>
      <c r="AE69" s="15"/>
      <c r="AF69" s="15"/>
      <c r="AG69" s="15"/>
      <c r="AH69" s="81"/>
      <c r="AI69" s="1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883</v>
      </c>
      <c r="C70" s="57"/>
      <c r="D70" s="20" t="s">
        <v>91</v>
      </c>
      <c r="E70" s="31" t="s">
        <v>518</v>
      </c>
      <c r="F70" s="22" t="s">
        <v>150</v>
      </c>
      <c r="G70" s="11" t="s">
        <v>7</v>
      </c>
      <c r="H70" s="98">
        <v>24422070060572</v>
      </c>
      <c r="I70" s="133" t="s">
        <v>769</v>
      </c>
      <c r="J70" s="71">
        <v>2</v>
      </c>
      <c r="K70" s="59" t="s">
        <v>798</v>
      </c>
      <c r="L70" s="59" t="s">
        <v>770</v>
      </c>
      <c r="M70" s="73">
        <f t="shared" si="3"/>
        <v>46069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727</v>
      </c>
      <c r="U70" s="12" t="s">
        <v>886</v>
      </c>
      <c r="V70" s="90" t="s">
        <v>777</v>
      </c>
      <c r="W70" s="28" t="s">
        <v>168</v>
      </c>
      <c r="X70" s="43" t="s">
        <v>771</v>
      </c>
      <c r="Y70" s="28"/>
      <c r="Z70" s="28">
        <v>2</v>
      </c>
      <c r="AA70" s="15">
        <v>2</v>
      </c>
      <c r="AB70" s="15">
        <v>2</v>
      </c>
      <c r="AC70" s="15">
        <v>2</v>
      </c>
      <c r="AD70" s="68">
        <v>2</v>
      </c>
      <c r="AE70" s="15"/>
      <c r="AF70" s="15"/>
      <c r="AG70" s="15"/>
      <c r="AH70" s="81"/>
      <c r="AI70" s="15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</row>
    <row r="71" spans="1:46" ht="15.75" customHeight="1" thickBot="1" x14ac:dyDescent="0.3">
      <c r="A71" s="1" t="s">
        <v>17</v>
      </c>
      <c r="B71" s="54" t="s">
        <v>882</v>
      </c>
      <c r="C71" s="116">
        <v>1</v>
      </c>
      <c r="D71" s="20" t="s">
        <v>92</v>
      </c>
      <c r="E71" s="31" t="s">
        <v>519</v>
      </c>
      <c r="F71" s="22" t="s">
        <v>150</v>
      </c>
      <c r="G71" s="11" t="s">
        <v>7</v>
      </c>
      <c r="H71" s="98">
        <v>24422070060535</v>
      </c>
      <c r="I71" s="133"/>
      <c r="J71" s="71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727</v>
      </c>
      <c r="U71" s="12" t="s">
        <v>886</v>
      </c>
      <c r="V71" s="90"/>
      <c r="W71" s="28"/>
      <c r="X71" s="43"/>
      <c r="Y71" s="28"/>
      <c r="Z71" s="28"/>
      <c r="AA71" s="15"/>
      <c r="AB71" s="15"/>
      <c r="AC71" s="15"/>
      <c r="AD71" s="68"/>
      <c r="AE71" s="15"/>
      <c r="AF71" s="15"/>
      <c r="AG71" s="15"/>
      <c r="AH71" s="81"/>
      <c r="AI71" s="15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</row>
    <row r="72" spans="1:46" ht="15.75" customHeight="1" thickBot="1" x14ac:dyDescent="0.3">
      <c r="A72" s="1" t="s">
        <v>17</v>
      </c>
      <c r="B72" s="54" t="s">
        <v>883</v>
      </c>
      <c r="C72" s="57"/>
      <c r="D72" s="20" t="s">
        <v>93</v>
      </c>
      <c r="E72" s="31" t="s">
        <v>520</v>
      </c>
      <c r="F72" s="22" t="s">
        <v>150</v>
      </c>
      <c r="G72" s="11" t="s">
        <v>7</v>
      </c>
      <c r="H72" s="98">
        <v>24422070060536</v>
      </c>
      <c r="I72" s="133" t="s">
        <v>793</v>
      </c>
      <c r="J72" s="71">
        <v>10</v>
      </c>
      <c r="K72" s="59" t="s">
        <v>817</v>
      </c>
      <c r="L72" s="59" t="s">
        <v>153</v>
      </c>
      <c r="M72" s="73">
        <f t="shared" si="3"/>
        <v>45957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727</v>
      </c>
      <c r="U72" s="12" t="s">
        <v>886</v>
      </c>
      <c r="V72" s="90" t="s">
        <v>777</v>
      </c>
      <c r="W72" s="28" t="s">
        <v>161</v>
      </c>
      <c r="X72" s="43" t="s">
        <v>155</v>
      </c>
      <c r="Y72" s="28"/>
      <c r="Z72" s="28">
        <v>1</v>
      </c>
      <c r="AA72" s="15">
        <v>1</v>
      </c>
      <c r="AB72" s="15">
        <v>1</v>
      </c>
      <c r="AC72" s="15">
        <v>1</v>
      </c>
      <c r="AD72" s="68">
        <v>1</v>
      </c>
      <c r="AE72" s="15"/>
      <c r="AF72" s="15"/>
      <c r="AG72" s="15"/>
      <c r="AH72" s="81"/>
      <c r="AI72" s="15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</row>
    <row r="73" spans="1:46" ht="15.75" customHeight="1" thickBot="1" x14ac:dyDescent="0.3">
      <c r="A73" s="1" t="s">
        <v>17</v>
      </c>
      <c r="B73" s="54" t="s">
        <v>882</v>
      </c>
      <c r="C73" s="57"/>
      <c r="D73" s="20" t="s">
        <v>94</v>
      </c>
      <c r="E73" s="31" t="s">
        <v>521</v>
      </c>
      <c r="F73" s="22" t="s">
        <v>150</v>
      </c>
      <c r="G73" s="11" t="s">
        <v>7</v>
      </c>
      <c r="H73" s="98">
        <v>24422070060538</v>
      </c>
      <c r="I73" s="133" t="s">
        <v>786</v>
      </c>
      <c r="J73" s="71">
        <v>11</v>
      </c>
      <c r="K73" s="59" t="s">
        <v>826</v>
      </c>
      <c r="L73" s="59" t="s">
        <v>153</v>
      </c>
      <c r="M73" s="73">
        <f t="shared" si="3"/>
        <v>45975</v>
      </c>
      <c r="N73" s="23">
        <f t="shared" si="5"/>
        <v>6</v>
      </c>
      <c r="O73" s="73">
        <f t="shared" si="4"/>
        <v>46156</v>
      </c>
      <c r="P73" s="59" t="s">
        <v>786</v>
      </c>
      <c r="Q73" s="59" t="s">
        <v>874</v>
      </c>
      <c r="R73" s="59" t="s">
        <v>877</v>
      </c>
      <c r="S73" s="59" t="s">
        <v>770</v>
      </c>
      <c r="T73" s="12" t="s">
        <v>727</v>
      </c>
      <c r="U73" s="12" t="s">
        <v>886</v>
      </c>
      <c r="V73" s="90" t="s">
        <v>777</v>
      </c>
      <c r="W73" s="28" t="s">
        <v>161</v>
      </c>
      <c r="X73" s="43" t="s">
        <v>155</v>
      </c>
      <c r="Y73" s="28"/>
      <c r="Z73" s="28">
        <v>1</v>
      </c>
      <c r="AA73" s="15">
        <v>1</v>
      </c>
      <c r="AB73" s="15">
        <v>1</v>
      </c>
      <c r="AC73" s="15">
        <v>1</v>
      </c>
      <c r="AD73" s="68">
        <v>1</v>
      </c>
      <c r="AE73" s="15">
        <v>2</v>
      </c>
      <c r="AF73" s="15">
        <v>2</v>
      </c>
      <c r="AG73" s="15">
        <v>2</v>
      </c>
      <c r="AH73" s="81" t="s">
        <v>878</v>
      </c>
      <c r="AI73" s="15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883</v>
      </c>
      <c r="C74" s="116">
        <v>1</v>
      </c>
      <c r="D74" s="20" t="s">
        <v>95</v>
      </c>
      <c r="E74" s="31" t="s">
        <v>522</v>
      </c>
      <c r="F74" s="22" t="s">
        <v>150</v>
      </c>
      <c r="G74" s="11" t="s">
        <v>7</v>
      </c>
      <c r="H74" s="98">
        <v>24422070060539</v>
      </c>
      <c r="I74" s="133"/>
      <c r="J74" s="59"/>
      <c r="K74" s="59"/>
      <c r="L74" s="59"/>
      <c r="M74" s="73" t="e">
        <f t="shared" si="3"/>
        <v>#NUM!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727</v>
      </c>
      <c r="U74" s="12" t="s">
        <v>886</v>
      </c>
      <c r="V74" s="90"/>
      <c r="W74" s="28"/>
      <c r="X74" s="43"/>
      <c r="Y74" s="28"/>
      <c r="Z74" s="28"/>
      <c r="AA74" s="15"/>
      <c r="AB74" s="15"/>
      <c r="AC74" s="15"/>
      <c r="AD74" s="68"/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882</v>
      </c>
      <c r="C75" s="57"/>
      <c r="D75" s="20" t="s">
        <v>96</v>
      </c>
      <c r="E75" s="31" t="s">
        <v>523</v>
      </c>
      <c r="F75" s="22" t="s">
        <v>150</v>
      </c>
      <c r="G75" s="11" t="s">
        <v>7</v>
      </c>
      <c r="H75" s="98">
        <v>24422070060554</v>
      </c>
      <c r="I75" s="133"/>
      <c r="J75" s="59"/>
      <c r="K75" s="59"/>
      <c r="L75" s="59"/>
      <c r="M75" s="73" t="e">
        <f t="shared" si="3"/>
        <v>#NUM!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727</v>
      </c>
      <c r="U75" s="12" t="s">
        <v>886</v>
      </c>
      <c r="V75" s="90" t="s">
        <v>777</v>
      </c>
      <c r="W75" s="28" t="s">
        <v>828</v>
      </c>
      <c r="X75" s="43" t="s">
        <v>771</v>
      </c>
      <c r="Y75" s="28"/>
      <c r="Z75" s="28">
        <v>1</v>
      </c>
      <c r="AA75" s="15">
        <v>1</v>
      </c>
      <c r="AB75" s="15"/>
      <c r="AC75" s="15"/>
      <c r="AD75" s="68">
        <v>1</v>
      </c>
      <c r="AE75" s="15"/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883</v>
      </c>
      <c r="C76" s="57"/>
      <c r="D76" s="20" t="s">
        <v>97</v>
      </c>
      <c r="E76" s="31" t="s">
        <v>524</v>
      </c>
      <c r="F76" s="22" t="s">
        <v>150</v>
      </c>
      <c r="G76" s="11" t="s">
        <v>7</v>
      </c>
      <c r="H76" s="98">
        <v>24422070060540</v>
      </c>
      <c r="I76" s="133" t="s">
        <v>791</v>
      </c>
      <c r="J76" s="59" t="s">
        <v>801</v>
      </c>
      <c r="K76" s="59" t="s">
        <v>798</v>
      </c>
      <c r="L76" s="59" t="s">
        <v>770</v>
      </c>
      <c r="M76" s="73">
        <f t="shared" si="3"/>
        <v>46076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727</v>
      </c>
      <c r="U76" s="12" t="s">
        <v>886</v>
      </c>
      <c r="V76" s="90" t="s">
        <v>777</v>
      </c>
      <c r="W76" s="28" t="s">
        <v>879</v>
      </c>
      <c r="X76" s="43" t="s">
        <v>771</v>
      </c>
      <c r="Y76" s="28"/>
      <c r="Z76" s="28">
        <v>2</v>
      </c>
      <c r="AA76" s="15">
        <v>2</v>
      </c>
      <c r="AB76" s="15">
        <v>2</v>
      </c>
      <c r="AC76" s="15">
        <v>2</v>
      </c>
      <c r="AD76" s="68">
        <v>2</v>
      </c>
      <c r="AE76" s="15"/>
      <c r="AF76" s="15"/>
      <c r="AG76" s="15"/>
      <c r="AH76" s="81"/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thickBot="1" x14ac:dyDescent="0.3">
      <c r="A77" s="1" t="s">
        <v>17</v>
      </c>
      <c r="B77" s="54" t="s">
        <v>883</v>
      </c>
      <c r="C77" s="116">
        <v>3</v>
      </c>
      <c r="D77" s="20" t="s">
        <v>98</v>
      </c>
      <c r="E77" s="31" t="s">
        <v>525</v>
      </c>
      <c r="F77" s="22" t="s">
        <v>150</v>
      </c>
      <c r="G77" s="11" t="s">
        <v>7</v>
      </c>
      <c r="H77" s="98">
        <v>24422070060541</v>
      </c>
      <c r="I77" s="133"/>
      <c r="J77" s="71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727</v>
      </c>
      <c r="U77" s="12" t="s">
        <v>886</v>
      </c>
      <c r="V77" s="90"/>
      <c r="W77" s="28"/>
      <c r="X77" s="43"/>
      <c r="Y77" s="28"/>
      <c r="Z77" s="28"/>
      <c r="AA77" s="15"/>
      <c r="AB77" s="15"/>
      <c r="AC77" s="15"/>
      <c r="AD77" s="68"/>
      <c r="AE77" s="15"/>
      <c r="AF77" s="15"/>
      <c r="AG77" s="15"/>
      <c r="AH77" s="81"/>
      <c r="AI77" s="15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</row>
    <row r="78" spans="1:46" ht="15.75" customHeight="1" thickBot="1" x14ac:dyDescent="0.3">
      <c r="A78" s="1" t="s">
        <v>17</v>
      </c>
      <c r="B78" s="54" t="s">
        <v>882</v>
      </c>
      <c r="C78" s="57"/>
      <c r="D78" s="20" t="s">
        <v>99</v>
      </c>
      <c r="E78" s="31" t="s">
        <v>526</v>
      </c>
      <c r="F78" s="22" t="s">
        <v>150</v>
      </c>
      <c r="G78" s="11" t="s">
        <v>7</v>
      </c>
      <c r="H78" s="98">
        <v>24422070060543</v>
      </c>
      <c r="I78" s="133" t="s">
        <v>785</v>
      </c>
      <c r="J78" s="71">
        <v>1</v>
      </c>
      <c r="K78" s="59" t="s">
        <v>187</v>
      </c>
      <c r="L78" s="59" t="s">
        <v>770</v>
      </c>
      <c r="M78" s="73">
        <f t="shared" si="3"/>
        <v>46035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727</v>
      </c>
      <c r="U78" s="12" t="s">
        <v>886</v>
      </c>
      <c r="V78" s="90" t="s">
        <v>777</v>
      </c>
      <c r="W78" s="107" t="s">
        <v>730</v>
      </c>
      <c r="X78" s="43" t="s">
        <v>155</v>
      </c>
      <c r="Y78" s="28"/>
      <c r="Z78" s="28">
        <v>2</v>
      </c>
      <c r="AA78" s="15">
        <v>2</v>
      </c>
      <c r="AB78" s="15">
        <v>2</v>
      </c>
      <c r="AC78" s="15">
        <v>2</v>
      </c>
      <c r="AD78" s="68">
        <v>2</v>
      </c>
      <c r="AE78" s="15"/>
      <c r="AF78" s="15"/>
      <c r="AG78" s="15"/>
      <c r="AH78" s="81"/>
      <c r="AI78" s="15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</row>
    <row r="79" spans="1:46" ht="15.75" customHeight="1" thickBot="1" x14ac:dyDescent="0.3">
      <c r="A79" s="1" t="s">
        <v>17</v>
      </c>
      <c r="B79" s="54" t="s">
        <v>883</v>
      </c>
      <c r="C79" s="116">
        <v>3</v>
      </c>
      <c r="D79" s="20" t="s">
        <v>100</v>
      </c>
      <c r="E79" s="31" t="s">
        <v>527</v>
      </c>
      <c r="F79" s="22" t="s">
        <v>150</v>
      </c>
      <c r="G79" s="11" t="s">
        <v>7</v>
      </c>
      <c r="H79" s="98">
        <v>24422070060544</v>
      </c>
      <c r="I79" s="133"/>
      <c r="J79" s="71"/>
      <c r="K79" s="59"/>
      <c r="L79" s="59"/>
      <c r="M79" s="73" t="e">
        <f t="shared" si="3"/>
        <v>#NUM!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727</v>
      </c>
      <c r="U79" s="12" t="s">
        <v>886</v>
      </c>
      <c r="V79" s="90"/>
      <c r="W79" s="28"/>
      <c r="X79" s="43"/>
      <c r="Y79" s="28"/>
      <c r="Z79" s="28"/>
      <c r="AA79" s="15"/>
      <c r="AB79" s="15"/>
      <c r="AC79" s="15"/>
      <c r="AD79" s="68"/>
      <c r="AE79" s="15"/>
      <c r="AF79" s="15"/>
      <c r="AG79" s="15"/>
      <c r="AH79" s="81"/>
      <c r="AI79" s="15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</row>
    <row r="80" spans="1:46" ht="15.75" customHeight="1" thickBot="1" x14ac:dyDescent="0.3">
      <c r="A80" s="1" t="s">
        <v>17</v>
      </c>
      <c r="B80" s="54" t="s">
        <v>882</v>
      </c>
      <c r="C80" s="57"/>
      <c r="D80" s="20" t="s">
        <v>101</v>
      </c>
      <c r="E80" s="31" t="s">
        <v>528</v>
      </c>
      <c r="F80" s="22" t="s">
        <v>150</v>
      </c>
      <c r="G80" s="11" t="s">
        <v>7</v>
      </c>
      <c r="H80" s="98">
        <v>24422070060546</v>
      </c>
      <c r="I80" s="133"/>
      <c r="J80" s="71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727</v>
      </c>
      <c r="U80" s="12" t="s">
        <v>886</v>
      </c>
      <c r="V80" s="90"/>
      <c r="W80" s="28"/>
      <c r="X80" s="43"/>
      <c r="Y80" s="28"/>
      <c r="Z80" s="28"/>
      <c r="AA80" s="15"/>
      <c r="AB80" s="15"/>
      <c r="AC80" s="15"/>
      <c r="AD80" s="68"/>
      <c r="AE80" s="15"/>
      <c r="AF80" s="15"/>
      <c r="AG80" s="15"/>
      <c r="AH80" s="81"/>
      <c r="AI80" s="15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</row>
    <row r="81" spans="1:46" ht="15.75" customHeight="1" thickBot="1" x14ac:dyDescent="0.3">
      <c r="A81" s="1" t="s">
        <v>17</v>
      </c>
      <c r="B81" s="54" t="s">
        <v>882</v>
      </c>
      <c r="C81" s="116">
        <v>2</v>
      </c>
      <c r="D81" s="20" t="s">
        <v>102</v>
      </c>
      <c r="E81" s="31" t="s">
        <v>529</v>
      </c>
      <c r="F81" s="22" t="s">
        <v>150</v>
      </c>
      <c r="G81" s="11" t="s">
        <v>7</v>
      </c>
      <c r="H81" s="98">
        <v>24422070060607</v>
      </c>
      <c r="I81" s="133"/>
      <c r="J81" s="71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727</v>
      </c>
      <c r="U81" s="12" t="s">
        <v>886</v>
      </c>
      <c r="V81" s="90"/>
      <c r="W81" s="28"/>
      <c r="X81" s="43"/>
      <c r="Y81" s="28"/>
      <c r="Z81" s="28"/>
      <c r="AA81" s="15"/>
      <c r="AB81" s="15"/>
      <c r="AC81" s="15"/>
      <c r="AD81" s="68"/>
      <c r="AE81" s="15"/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883</v>
      </c>
      <c r="C82" s="57"/>
      <c r="D82" s="20" t="s">
        <v>103</v>
      </c>
      <c r="E82" s="31" t="s">
        <v>530</v>
      </c>
      <c r="F82" s="22" t="s">
        <v>150</v>
      </c>
      <c r="G82" s="11" t="s">
        <v>7</v>
      </c>
      <c r="H82" s="98">
        <v>24422070060548</v>
      </c>
      <c r="I82" s="133"/>
      <c r="J82" s="71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727</v>
      </c>
      <c r="U82" s="12" t="s">
        <v>886</v>
      </c>
      <c r="V82" s="90"/>
      <c r="W82" s="28"/>
      <c r="X82" s="43"/>
      <c r="Y82" s="28"/>
      <c r="Z82" s="28"/>
      <c r="AA82" s="15"/>
      <c r="AB82" s="15"/>
      <c r="AC82" s="15"/>
      <c r="AD82" s="68"/>
      <c r="AE82" s="15"/>
      <c r="AF82" s="15"/>
      <c r="AG82" s="15"/>
      <c r="AH82" s="81"/>
      <c r="AI82" s="15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</row>
    <row r="83" spans="1:46" ht="15.75" customHeight="1" thickBot="1" x14ac:dyDescent="0.3">
      <c r="A83" s="1" t="s">
        <v>17</v>
      </c>
      <c r="B83" s="54" t="s">
        <v>883</v>
      </c>
      <c r="C83" s="57"/>
      <c r="D83" s="20" t="s">
        <v>104</v>
      </c>
      <c r="E83" s="31" t="s">
        <v>531</v>
      </c>
      <c r="F83" s="22" t="s">
        <v>150</v>
      </c>
      <c r="G83" s="11" t="s">
        <v>7</v>
      </c>
      <c r="H83" s="98">
        <v>24422070060615</v>
      </c>
      <c r="I83" s="136"/>
      <c r="J83" s="72"/>
      <c r="K83" s="63"/>
      <c r="L83" s="63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60"/>
      <c r="Q83" s="60"/>
      <c r="R83" s="60"/>
      <c r="S83" s="60"/>
      <c r="T83" s="12" t="s">
        <v>727</v>
      </c>
      <c r="U83" s="12" t="s">
        <v>886</v>
      </c>
      <c r="V83" s="90"/>
      <c r="W83" s="28"/>
      <c r="X83" s="43"/>
      <c r="Y83" s="28"/>
      <c r="Z83" s="28"/>
      <c r="AA83" s="15"/>
      <c r="AB83" s="15"/>
      <c r="AC83" s="15"/>
      <c r="AD83" s="68"/>
      <c r="AE83" s="15"/>
      <c r="AF83" s="15"/>
      <c r="AG83" s="15"/>
      <c r="AH83" s="81"/>
      <c r="AI83" s="15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</row>
    <row r="84" spans="1:46" ht="15.75" customHeight="1" thickBot="1" x14ac:dyDescent="0.3">
      <c r="A84" s="1" t="s">
        <v>17</v>
      </c>
      <c r="B84" s="122" t="s">
        <v>882</v>
      </c>
      <c r="C84" s="117">
        <v>1</v>
      </c>
      <c r="D84" s="20" t="s">
        <v>105</v>
      </c>
      <c r="E84" s="31" t="s">
        <v>532</v>
      </c>
      <c r="F84" s="22" t="s">
        <v>150</v>
      </c>
      <c r="G84" s="11" t="s">
        <v>7</v>
      </c>
      <c r="H84" s="98">
        <v>24422070060549</v>
      </c>
      <c r="I84" s="137"/>
      <c r="J84" s="93"/>
      <c r="K84" s="93"/>
      <c r="L84" s="93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93"/>
      <c r="Q84" s="93"/>
      <c r="R84" s="93"/>
      <c r="S84" s="93"/>
      <c r="T84" s="12" t="s">
        <v>727</v>
      </c>
      <c r="U84" s="12" t="s">
        <v>886</v>
      </c>
      <c r="V84" s="90" t="s">
        <v>777</v>
      </c>
      <c r="W84" s="107" t="s">
        <v>842</v>
      </c>
      <c r="X84" s="43" t="s">
        <v>155</v>
      </c>
      <c r="Y84" s="93"/>
      <c r="Z84" s="122">
        <v>1</v>
      </c>
      <c r="AA84" s="122">
        <v>1</v>
      </c>
      <c r="AB84" s="122">
        <v>2</v>
      </c>
      <c r="AC84" s="122"/>
      <c r="AD84" s="124">
        <v>2</v>
      </c>
      <c r="AE84" s="93"/>
      <c r="AF84" s="93"/>
      <c r="AG84" s="93"/>
      <c r="AH84" s="95"/>
      <c r="AI84" s="96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</row>
    <row r="85" spans="1:46" ht="15.75" customHeight="1" thickBot="1" x14ac:dyDescent="0.3">
      <c r="A85" s="1" t="s">
        <v>17</v>
      </c>
      <c r="B85" s="122" t="s">
        <v>883</v>
      </c>
      <c r="C85" s="93"/>
      <c r="D85" s="20" t="s">
        <v>106</v>
      </c>
      <c r="E85" s="31" t="s">
        <v>533</v>
      </c>
      <c r="F85" s="22" t="s">
        <v>150</v>
      </c>
      <c r="G85" s="11" t="s">
        <v>7</v>
      </c>
      <c r="H85" s="98">
        <v>24422070060550</v>
      </c>
      <c r="I85" s="137"/>
      <c r="J85" s="93"/>
      <c r="K85" s="93"/>
      <c r="L85" s="93"/>
      <c r="M85" s="73" t="e">
        <f t="shared" si="3"/>
        <v>#NUM!</v>
      </c>
      <c r="N85" s="23" t="e">
        <f t="shared" si="5"/>
        <v>#NUM!</v>
      </c>
      <c r="O85" s="73" t="e">
        <f t="shared" si="4"/>
        <v>#NUM!</v>
      </c>
      <c r="P85" s="93"/>
      <c r="Q85" s="93"/>
      <c r="R85" s="93"/>
      <c r="S85" s="93"/>
      <c r="T85" s="12" t="s">
        <v>727</v>
      </c>
      <c r="U85" s="12" t="s">
        <v>886</v>
      </c>
      <c r="V85" s="90"/>
      <c r="W85" s="28"/>
      <c r="X85" s="43"/>
      <c r="Y85" s="93"/>
      <c r="Z85" s="93"/>
      <c r="AA85" s="93"/>
      <c r="AB85" s="93"/>
      <c r="AC85" s="93"/>
      <c r="AD85" s="93"/>
      <c r="AE85" s="93"/>
      <c r="AF85" s="93"/>
      <c r="AG85" s="93"/>
      <c r="AH85" s="95"/>
      <c r="AI85" s="96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</row>
    <row r="86" spans="1:46" ht="15.75" customHeight="1" thickBot="1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2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84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thickBot="1" x14ac:dyDescent="0.3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2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84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thickBot="1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2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84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thickBot="1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2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84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thickBot="1" x14ac:dyDescent="0.3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2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84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thickBot="1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2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84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thickBot="1" x14ac:dyDescent="0.3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2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84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thickBot="1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2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84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thickBot="1" x14ac:dyDescent="0.3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2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thickBot="1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2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thickBot="1" x14ac:dyDescent="0.3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2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thickBot="1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2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thickBot="1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2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thickBot="1" x14ac:dyDescent="0.3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2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thickBot="1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2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thickBot="1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2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thickBot="1" x14ac:dyDescent="0.3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2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thickBot="1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2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thickBot="1" x14ac:dyDescent="0.3">
      <c r="A104" s="48"/>
      <c r="B104" s="48"/>
      <c r="C104" s="48"/>
      <c r="D104" s="48"/>
      <c r="E104" s="48"/>
      <c r="F104" s="48">
        <v>8</v>
      </c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2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thickBot="1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2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thickBot="1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2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thickBot="1" x14ac:dyDescent="0.3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2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thickBot="1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2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thickBot="1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2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thickBot="1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2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thickBot="1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2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thickBot="1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2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thickBot="1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2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thickBot="1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2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thickBot="1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2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thickBot="1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2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thickBot="1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2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thickBot="1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2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thickBot="1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2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thickBot="1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2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thickBot="1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2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thickBot="1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2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thickBot="1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2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thickBot="1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2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thickBot="1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2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thickBot="1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2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thickBot="1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2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thickBot="1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2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thickBot="1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2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thickBot="1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2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thickBot="1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2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thickBot="1" x14ac:dyDescent="0.3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2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thickBot="1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2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thickBot="1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2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thickBot="1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2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thickBot="1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2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thickBot="1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2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thickBot="1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2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thickBot="1" x14ac:dyDescent="0.3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2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thickBot="1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2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thickBot="1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2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thickBot="1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2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thickBot="1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2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thickBot="1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2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thickBot="1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2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thickBot="1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2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thickBot="1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2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thickBot="1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2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thickBot="1" x14ac:dyDescent="0.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2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thickBot="1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2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thickBot="1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2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thickBot="1" x14ac:dyDescent="0.3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2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thickBot="1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2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thickBot="1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2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thickBot="1" x14ac:dyDescent="0.3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2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thickBot="1" x14ac:dyDescent="0.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2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thickBot="1" x14ac:dyDescent="0.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2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thickBot="1" x14ac:dyDescent="0.3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2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thickBot="1" x14ac:dyDescent="0.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2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thickBot="1" x14ac:dyDescent="0.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2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thickBot="1" x14ac:dyDescent="0.3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2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thickBot="1" x14ac:dyDescent="0.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2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thickBot="1" x14ac:dyDescent="0.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2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thickBot="1" x14ac:dyDescent="0.3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2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thickBot="1" x14ac:dyDescent="0.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2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thickBot="1" x14ac:dyDescent="0.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2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thickBot="1" x14ac:dyDescent="0.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2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thickBot="1" x14ac:dyDescent="0.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2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thickBot="1" x14ac:dyDescent="0.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2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thickBot="1" x14ac:dyDescent="0.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2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thickBot="1" x14ac:dyDescent="0.3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2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thickBot="1" x14ac:dyDescent="0.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2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thickBot="1" x14ac:dyDescent="0.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2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thickBot="1" x14ac:dyDescent="0.3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2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thickBot="1" x14ac:dyDescent="0.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2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thickBot="1" x14ac:dyDescent="0.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2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thickBot="1" x14ac:dyDescent="0.3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2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thickBot="1" x14ac:dyDescent="0.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2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thickBot="1" x14ac:dyDescent="0.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2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thickBot="1" x14ac:dyDescent="0.3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2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thickBot="1" x14ac:dyDescent="0.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2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thickBot="1" x14ac:dyDescent="0.3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2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thickBot="1" x14ac:dyDescent="0.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2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thickBot="1" x14ac:dyDescent="0.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2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thickBot="1" x14ac:dyDescent="0.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2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thickBot="1" x14ac:dyDescent="0.3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2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thickBot="1" x14ac:dyDescent="0.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2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thickBot="1" x14ac:dyDescent="0.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2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thickBot="1" x14ac:dyDescent="0.3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2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thickBot="1" x14ac:dyDescent="0.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2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thickBot="1" x14ac:dyDescent="0.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2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thickBot="1" x14ac:dyDescent="0.3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2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thickBot="1" x14ac:dyDescent="0.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2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thickBot="1" x14ac:dyDescent="0.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2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thickBot="1" x14ac:dyDescent="0.3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2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thickBot="1" x14ac:dyDescent="0.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2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thickBot="1" x14ac:dyDescent="0.3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2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thickBot="1" x14ac:dyDescent="0.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2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thickBot="1" x14ac:dyDescent="0.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2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thickBot="1" x14ac:dyDescent="0.3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2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thickBot="1" x14ac:dyDescent="0.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2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thickBot="1" x14ac:dyDescent="0.3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2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thickBot="1" x14ac:dyDescent="0.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2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thickBot="1" x14ac:dyDescent="0.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2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thickBot="1" x14ac:dyDescent="0.3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2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thickBot="1" x14ac:dyDescent="0.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2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thickBot="1" x14ac:dyDescent="0.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2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thickBot="1" x14ac:dyDescent="0.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2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thickBot="1" x14ac:dyDescent="0.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2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thickBot="1" x14ac:dyDescent="0.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2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thickBot="1" x14ac:dyDescent="0.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2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thickBot="1" x14ac:dyDescent="0.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2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thickBot="1" x14ac:dyDescent="0.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2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thickBot="1" x14ac:dyDescent="0.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2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thickBot="1" x14ac:dyDescent="0.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2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thickBot="1" x14ac:dyDescent="0.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2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thickBot="1" x14ac:dyDescent="0.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2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thickBot="1" x14ac:dyDescent="0.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2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thickBot="1" x14ac:dyDescent="0.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2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thickBot="1" x14ac:dyDescent="0.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2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thickBot="1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2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thickBot="1" x14ac:dyDescent="0.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2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thickBot="1" x14ac:dyDescent="0.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2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thickBot="1" x14ac:dyDescent="0.3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2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thickBot="1" x14ac:dyDescent="0.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2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thickBot="1" x14ac:dyDescent="0.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2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thickBot="1" x14ac:dyDescent="0.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2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thickBot="1" x14ac:dyDescent="0.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2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thickBot="1" x14ac:dyDescent="0.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2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thickBot="1" x14ac:dyDescent="0.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2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thickBot="1" x14ac:dyDescent="0.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2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/>
    <row r="233" spans="1:46" ht="15.75" customHeight="1" x14ac:dyDescent="0.25"/>
    <row r="234" spans="1:46" ht="15.75" customHeight="1" x14ac:dyDescent="0.25"/>
    <row r="235" spans="1:46" ht="15.75" customHeight="1" x14ac:dyDescent="0.25"/>
    <row r="236" spans="1:46" ht="15.75" customHeight="1" x14ac:dyDescent="0.25"/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</sheetData>
  <autoFilter ref="A1:AV85"/>
  <conditionalFormatting sqref="N2:N85">
    <cfRule type="cellIs" dxfId="9" priority="1" operator="greaterThan">
      <formula>5</formula>
    </cfRule>
    <cfRule type="cellIs" dxfId="8" priority="2" operator="lessThan">
      <formula>6</formula>
    </cfRule>
    <cfRule type="cellIs" dxfId="7" priority="4" operator="greaterThan">
      <formula>6</formula>
    </cfRule>
    <cfRule type="cellIs" dxfId="6" priority="5" operator="lessThan">
      <formula>6</formula>
    </cfRule>
  </conditionalFormatting>
  <conditionalFormatting sqref="N1:N1048576">
    <cfRule type="cellIs" dxfId="5" priority="3" operator="greaterThan">
      <formula>6</formula>
    </cfRule>
  </conditionalFormatting>
  <dataValidations count="1">
    <dataValidation type="list" allowBlank="1" showInputMessage="1" showErrorMessage="1" sqref="X2:X85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3" max="47" man="1"/>
    <brk id="85" max="48" man="1"/>
    <brk id="140" max="35" man="1"/>
  </rowBreaks>
  <colBreaks count="2" manualBreakCount="2">
    <brk id="21" max="241" man="1"/>
    <brk id="35" max="241" man="1"/>
  </colBreaks>
  <ignoredErrors>
    <ignoredError sqref="D2:D4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V2:V85</xm:sqref>
        </x14:dataValidation>
        <x14:dataValidation type="list" allowBlank="1" showInputMessage="1" showErrorMessage="1">
          <x14:formula1>
            <xm:f>CATALOGO!$A$2:$A$87</xm:f>
          </x14:formula1>
          <xm:sqref>W2:W231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50"/>
  <sheetViews>
    <sheetView tabSelected="1" view="pageBreakPreview" zoomScale="80" zoomScaleNormal="70" zoomScaleSheetLayoutView="80" workbookViewId="0">
      <pane ySplit="1" topLeftCell="A71" activePane="bottomLeft" state="frozen"/>
      <selection pane="bottomLeft" activeCell="A91" sqref="A91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124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883</v>
      </c>
      <c r="C2" s="87"/>
      <c r="D2" s="20" t="s">
        <v>23</v>
      </c>
      <c r="E2" s="31" t="s">
        <v>534</v>
      </c>
      <c r="F2" s="22" t="s">
        <v>151</v>
      </c>
      <c r="G2" s="11" t="s">
        <v>9</v>
      </c>
      <c r="H2" s="21">
        <v>24422070060132</v>
      </c>
      <c r="I2" s="58" t="s">
        <v>775</v>
      </c>
      <c r="J2" s="58" t="s">
        <v>810</v>
      </c>
      <c r="K2" s="58" t="s">
        <v>187</v>
      </c>
      <c r="L2" s="58" t="s">
        <v>770</v>
      </c>
      <c r="M2" s="73">
        <f>DATE(L2,J2,I2)</f>
        <v>46034</v>
      </c>
      <c r="N2" s="23" t="e">
        <f>DATEDIF(M2,O2,"m")</f>
        <v>#NUM!</v>
      </c>
      <c r="O2" s="73" t="e">
        <f>DATE(S2,Q2,P2)</f>
        <v>#NUM!</v>
      </c>
      <c r="P2" s="58"/>
      <c r="Q2" s="58"/>
      <c r="R2" s="58"/>
      <c r="S2" s="58"/>
      <c r="T2" s="12" t="s">
        <v>767</v>
      </c>
      <c r="U2" s="12" t="s">
        <v>886</v>
      </c>
      <c r="V2" s="90" t="s">
        <v>777</v>
      </c>
      <c r="W2" s="28" t="s">
        <v>161</v>
      </c>
      <c r="X2" s="43" t="s">
        <v>155</v>
      </c>
      <c r="Y2" s="61"/>
      <c r="Z2" s="28">
        <v>1</v>
      </c>
      <c r="AA2" s="28">
        <v>1</v>
      </c>
      <c r="AB2" s="28">
        <v>1</v>
      </c>
      <c r="AC2" s="28">
        <v>1</v>
      </c>
      <c r="AD2" s="66">
        <v>1</v>
      </c>
      <c r="AE2" s="28">
        <v>2</v>
      </c>
      <c r="AF2" s="28"/>
      <c r="AG2" s="28"/>
      <c r="AH2" s="20"/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883</v>
      </c>
      <c r="C3" s="87"/>
      <c r="D3" s="20" t="s">
        <v>25</v>
      </c>
      <c r="E3" s="31" t="s">
        <v>535</v>
      </c>
      <c r="F3" s="22" t="s">
        <v>151</v>
      </c>
      <c r="G3" s="11" t="s">
        <v>9</v>
      </c>
      <c r="H3" s="21">
        <v>24422070060093</v>
      </c>
      <c r="I3" s="58" t="s">
        <v>840</v>
      </c>
      <c r="J3" s="70">
        <v>3</v>
      </c>
      <c r="K3" s="58" t="s">
        <v>837</v>
      </c>
      <c r="L3" s="58" t="s">
        <v>770</v>
      </c>
      <c r="M3" s="73">
        <f t="shared" ref="M3:M59" si="0">DATE(L3,J3,I3)</f>
        <v>46087</v>
      </c>
      <c r="N3" s="23" t="e">
        <f>DATEDIF(M3,O3,"m")</f>
        <v>#NUM!</v>
      </c>
      <c r="O3" s="73" t="e">
        <f t="shared" ref="O3:O59" si="1">DATE(S3,Q3,P3)</f>
        <v>#NUM!</v>
      </c>
      <c r="P3" s="58"/>
      <c r="Q3" s="58"/>
      <c r="R3" s="58"/>
      <c r="S3" s="58"/>
      <c r="T3" s="12" t="s">
        <v>767</v>
      </c>
      <c r="U3" s="12" t="s">
        <v>886</v>
      </c>
      <c r="V3" s="90" t="s">
        <v>165</v>
      </c>
      <c r="W3" s="28" t="s">
        <v>725</v>
      </c>
      <c r="X3" s="43" t="s">
        <v>155</v>
      </c>
      <c r="Y3" s="28" t="s">
        <v>836</v>
      </c>
      <c r="Z3" s="28">
        <v>1</v>
      </c>
      <c r="AA3" s="28">
        <v>1</v>
      </c>
      <c r="AB3" s="28">
        <v>1</v>
      </c>
      <c r="AC3" s="28">
        <v>1</v>
      </c>
      <c r="AD3" s="66">
        <v>1</v>
      </c>
      <c r="AE3" s="28"/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883</v>
      </c>
      <c r="C4" s="87"/>
      <c r="D4" s="20" t="s">
        <v>26</v>
      </c>
      <c r="E4" s="31" t="s">
        <v>536</v>
      </c>
      <c r="F4" s="22" t="s">
        <v>151</v>
      </c>
      <c r="G4" s="11" t="s">
        <v>9</v>
      </c>
      <c r="H4" s="21">
        <v>24422070060094</v>
      </c>
      <c r="I4" s="58"/>
      <c r="J4" s="70"/>
      <c r="K4" s="58"/>
      <c r="L4" s="58"/>
      <c r="M4" s="73" t="e">
        <f t="shared" si="0"/>
        <v>#NUM!</v>
      </c>
      <c r="N4" s="23" t="e">
        <f t="shared" ref="N4:N60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767</v>
      </c>
      <c r="U4" s="12" t="s">
        <v>886</v>
      </c>
      <c r="V4" s="90"/>
      <c r="W4" s="28"/>
      <c r="X4" s="43"/>
      <c r="Y4" s="28"/>
      <c r="Z4" s="28"/>
      <c r="AA4" s="28"/>
      <c r="AB4" s="28"/>
      <c r="AC4" s="28"/>
      <c r="AD4" s="66"/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883</v>
      </c>
      <c r="C5" s="87"/>
      <c r="D5" s="20" t="s">
        <v>27</v>
      </c>
      <c r="E5" s="31" t="s">
        <v>537</v>
      </c>
      <c r="F5" s="22" t="s">
        <v>151</v>
      </c>
      <c r="G5" s="11" t="s">
        <v>9</v>
      </c>
      <c r="H5" s="21">
        <v>24422070060136</v>
      </c>
      <c r="I5" s="58" t="s">
        <v>159</v>
      </c>
      <c r="J5" s="58" t="s">
        <v>839</v>
      </c>
      <c r="K5" s="58" t="s">
        <v>837</v>
      </c>
      <c r="L5" s="58" t="s">
        <v>770</v>
      </c>
      <c r="M5" s="73">
        <f t="shared" si="0"/>
        <v>46091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767</v>
      </c>
      <c r="U5" s="12" t="s">
        <v>886</v>
      </c>
      <c r="V5" s="90" t="s">
        <v>777</v>
      </c>
      <c r="W5" s="28" t="s">
        <v>19</v>
      </c>
      <c r="X5" s="43" t="s">
        <v>771</v>
      </c>
      <c r="Y5" s="28"/>
      <c r="Z5" s="28">
        <v>1</v>
      </c>
      <c r="AA5" s="28">
        <v>1</v>
      </c>
      <c r="AB5" s="28">
        <v>2</v>
      </c>
      <c r="AC5" s="28">
        <v>2</v>
      </c>
      <c r="AD5" s="66">
        <v>1</v>
      </c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883</v>
      </c>
      <c r="C6" s="87"/>
      <c r="D6" s="20" t="s">
        <v>24</v>
      </c>
      <c r="E6" s="31" t="s">
        <v>538</v>
      </c>
      <c r="F6" s="22" t="s">
        <v>151</v>
      </c>
      <c r="G6" s="11" t="s">
        <v>9</v>
      </c>
      <c r="H6" s="21">
        <v>24422070060095</v>
      </c>
      <c r="I6" s="58" t="s">
        <v>780</v>
      </c>
      <c r="J6" s="70">
        <v>3</v>
      </c>
      <c r="K6" s="58" t="s">
        <v>837</v>
      </c>
      <c r="L6" s="58" t="s">
        <v>770</v>
      </c>
      <c r="M6" s="73">
        <f t="shared" si="0"/>
        <v>46084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767</v>
      </c>
      <c r="U6" s="12" t="s">
        <v>886</v>
      </c>
      <c r="V6" s="90" t="s">
        <v>777</v>
      </c>
      <c r="W6" s="28" t="s">
        <v>163</v>
      </c>
      <c r="X6" s="43" t="s">
        <v>155</v>
      </c>
      <c r="Y6" s="28"/>
      <c r="Z6" s="28">
        <v>1</v>
      </c>
      <c r="AA6" s="28">
        <v>1</v>
      </c>
      <c r="AB6" s="28">
        <v>1</v>
      </c>
      <c r="AC6" s="28">
        <v>1</v>
      </c>
      <c r="AD6" s="66">
        <v>1</v>
      </c>
      <c r="AE6" s="28"/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thickBot="1" x14ac:dyDescent="0.3">
      <c r="A7" s="1" t="s">
        <v>126</v>
      </c>
      <c r="B7" s="3" t="s">
        <v>883</v>
      </c>
      <c r="C7" s="87"/>
      <c r="D7" s="20" t="s">
        <v>28</v>
      </c>
      <c r="E7" s="31" t="s">
        <v>539</v>
      </c>
      <c r="F7" s="22" t="s">
        <v>151</v>
      </c>
      <c r="G7" s="11" t="s">
        <v>9</v>
      </c>
      <c r="H7" s="21">
        <v>24422070060096</v>
      </c>
      <c r="I7" s="58" t="s">
        <v>775</v>
      </c>
      <c r="J7" s="70">
        <v>1</v>
      </c>
      <c r="K7" s="58" t="s">
        <v>187</v>
      </c>
      <c r="L7" s="58" t="s">
        <v>770</v>
      </c>
      <c r="M7" s="73">
        <f t="shared" si="0"/>
        <v>46034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767</v>
      </c>
      <c r="U7" s="12" t="s">
        <v>886</v>
      </c>
      <c r="V7" s="90" t="s">
        <v>777</v>
      </c>
      <c r="W7" s="28" t="s">
        <v>161</v>
      </c>
      <c r="X7" s="43" t="s">
        <v>155</v>
      </c>
      <c r="Y7" s="28" t="s">
        <v>809</v>
      </c>
      <c r="Z7" s="28">
        <v>1</v>
      </c>
      <c r="AA7" s="28">
        <v>1</v>
      </c>
      <c r="AB7" s="28">
        <v>1</v>
      </c>
      <c r="AC7" s="28">
        <v>1</v>
      </c>
      <c r="AD7" s="66">
        <v>1</v>
      </c>
      <c r="AE7" s="28"/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883</v>
      </c>
      <c r="C8" s="87"/>
      <c r="D8" s="20" t="s">
        <v>29</v>
      </c>
      <c r="E8" s="31" t="s">
        <v>540</v>
      </c>
      <c r="F8" s="22" t="s">
        <v>151</v>
      </c>
      <c r="G8" s="11" t="s">
        <v>9</v>
      </c>
      <c r="H8" s="21">
        <v>24422070060097</v>
      </c>
      <c r="I8" s="58"/>
      <c r="J8" s="58"/>
      <c r="K8" s="58"/>
      <c r="L8" s="58"/>
      <c r="M8" s="73" t="e">
        <f t="shared" si="0"/>
        <v>#NUM!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767</v>
      </c>
      <c r="U8" s="12" t="s">
        <v>886</v>
      </c>
      <c r="V8" s="90" t="s">
        <v>777</v>
      </c>
      <c r="W8" s="28" t="s">
        <v>880</v>
      </c>
      <c r="X8" s="43" t="s">
        <v>155</v>
      </c>
      <c r="Y8" s="28"/>
      <c r="Z8" s="28">
        <v>2</v>
      </c>
      <c r="AA8" s="28">
        <v>2</v>
      </c>
      <c r="AB8" s="28"/>
      <c r="AC8" s="28"/>
      <c r="AD8" s="66">
        <v>2</v>
      </c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883</v>
      </c>
      <c r="C9" s="87"/>
      <c r="D9" s="20" t="s">
        <v>30</v>
      </c>
      <c r="E9" s="31" t="s">
        <v>541</v>
      </c>
      <c r="F9" s="22" t="s">
        <v>151</v>
      </c>
      <c r="G9" s="11" t="s">
        <v>9</v>
      </c>
      <c r="H9" s="21">
        <v>24422070060100</v>
      </c>
      <c r="I9" s="58" t="s">
        <v>783</v>
      </c>
      <c r="J9" s="70">
        <v>12</v>
      </c>
      <c r="K9" s="58" t="s">
        <v>768</v>
      </c>
      <c r="L9" s="58" t="s">
        <v>153</v>
      </c>
      <c r="M9" s="73">
        <f t="shared" si="0"/>
        <v>45999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767</v>
      </c>
      <c r="U9" s="12" t="s">
        <v>886</v>
      </c>
      <c r="V9" s="90" t="s">
        <v>777</v>
      </c>
      <c r="W9" s="28" t="s">
        <v>161</v>
      </c>
      <c r="X9" s="43" t="s">
        <v>155</v>
      </c>
      <c r="Y9" s="28" t="s">
        <v>809</v>
      </c>
      <c r="Z9" s="28">
        <v>1</v>
      </c>
      <c r="AA9" s="28">
        <v>1</v>
      </c>
      <c r="AB9" s="28">
        <v>1</v>
      </c>
      <c r="AC9" s="28">
        <v>1</v>
      </c>
      <c r="AD9" s="66">
        <v>1</v>
      </c>
      <c r="AE9" s="28"/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883</v>
      </c>
      <c r="C10" s="87"/>
      <c r="D10" s="20" t="s">
        <v>31</v>
      </c>
      <c r="E10" s="31" t="s">
        <v>542</v>
      </c>
      <c r="F10" s="22" t="s">
        <v>151</v>
      </c>
      <c r="G10" s="11" t="s">
        <v>9</v>
      </c>
      <c r="H10" s="21">
        <v>24422070060101</v>
      </c>
      <c r="I10" s="58" t="s">
        <v>840</v>
      </c>
      <c r="J10" s="70">
        <v>3</v>
      </c>
      <c r="K10" s="58" t="s">
        <v>837</v>
      </c>
      <c r="L10" s="58" t="s">
        <v>770</v>
      </c>
      <c r="M10" s="73">
        <f t="shared" si="0"/>
        <v>46087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767</v>
      </c>
      <c r="U10" s="12" t="s">
        <v>886</v>
      </c>
      <c r="V10" s="90" t="s">
        <v>165</v>
      </c>
      <c r="W10" s="28" t="s">
        <v>832</v>
      </c>
      <c r="X10" s="43" t="s">
        <v>155</v>
      </c>
      <c r="Y10" s="28" t="s">
        <v>836</v>
      </c>
      <c r="Z10" s="28">
        <v>1</v>
      </c>
      <c r="AA10" s="28">
        <v>1</v>
      </c>
      <c r="AB10" s="28">
        <v>1</v>
      </c>
      <c r="AC10" s="28">
        <v>1</v>
      </c>
      <c r="AD10" s="66">
        <v>1</v>
      </c>
      <c r="AE10" s="28"/>
      <c r="AF10" s="28"/>
      <c r="AG10" s="28"/>
      <c r="AH10" s="20"/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883</v>
      </c>
      <c r="C11" s="87"/>
      <c r="D11" s="20" t="s">
        <v>32</v>
      </c>
      <c r="E11" s="31" t="s">
        <v>543</v>
      </c>
      <c r="F11" s="22" t="s">
        <v>151</v>
      </c>
      <c r="G11" s="11" t="s">
        <v>9</v>
      </c>
      <c r="H11" s="21">
        <v>24422070060103</v>
      </c>
      <c r="I11" s="58" t="s">
        <v>784</v>
      </c>
      <c r="J11" s="58" t="s">
        <v>780</v>
      </c>
      <c r="K11" s="58" t="s">
        <v>837</v>
      </c>
      <c r="L11" s="58" t="s">
        <v>770</v>
      </c>
      <c r="M11" s="73">
        <f t="shared" si="0"/>
        <v>46092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767</v>
      </c>
      <c r="U11" s="12" t="s">
        <v>886</v>
      </c>
      <c r="V11" s="90" t="s">
        <v>165</v>
      </c>
      <c r="W11" s="28" t="s">
        <v>832</v>
      </c>
      <c r="X11" s="43" t="s">
        <v>155</v>
      </c>
      <c r="Y11" s="28" t="s">
        <v>838</v>
      </c>
      <c r="Z11" s="28">
        <v>1</v>
      </c>
      <c r="AA11" s="28">
        <v>1</v>
      </c>
      <c r="AB11" s="28">
        <v>1</v>
      </c>
      <c r="AC11" s="28">
        <v>1</v>
      </c>
      <c r="AD11" s="66">
        <v>1</v>
      </c>
      <c r="AE11" s="28"/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883</v>
      </c>
      <c r="C12" s="118">
        <v>1</v>
      </c>
      <c r="D12" s="20" t="s">
        <v>33</v>
      </c>
      <c r="E12" s="31" t="s">
        <v>544</v>
      </c>
      <c r="F12" s="22" t="s">
        <v>151</v>
      </c>
      <c r="G12" s="11" t="s">
        <v>9</v>
      </c>
      <c r="H12" s="21">
        <v>24422070060104</v>
      </c>
      <c r="I12" s="58"/>
      <c r="J12" s="58"/>
      <c r="K12" s="58"/>
      <c r="L12" s="58"/>
      <c r="M12" s="73" t="e">
        <f t="shared" si="0"/>
        <v>#NUM!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767</v>
      </c>
      <c r="U12" s="12" t="s">
        <v>886</v>
      </c>
      <c r="V12" s="90"/>
      <c r="W12" s="28"/>
      <c r="X12" s="43"/>
      <c r="Y12" s="28"/>
      <c r="Z12" s="28"/>
      <c r="AA12" s="28"/>
      <c r="AB12" s="28"/>
      <c r="AC12" s="28"/>
      <c r="AD12" s="66"/>
      <c r="AE12" s="28"/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883</v>
      </c>
      <c r="C13" s="87"/>
      <c r="D13" s="20" t="s">
        <v>34</v>
      </c>
      <c r="E13" s="31" t="s">
        <v>545</v>
      </c>
      <c r="F13" s="22" t="s">
        <v>151</v>
      </c>
      <c r="G13" s="11" t="s">
        <v>9</v>
      </c>
      <c r="H13" s="21">
        <v>24422070060105</v>
      </c>
      <c r="I13" s="58"/>
      <c r="J13" s="70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767</v>
      </c>
      <c r="U13" s="12" t="s">
        <v>886</v>
      </c>
      <c r="V13" s="90"/>
      <c r="W13" s="28"/>
      <c r="X13" s="43"/>
      <c r="Y13" s="28"/>
      <c r="Z13" s="28"/>
      <c r="AA13" s="28"/>
      <c r="AB13" s="28"/>
      <c r="AC13" s="28"/>
      <c r="AD13" s="66"/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883</v>
      </c>
      <c r="C14" s="87"/>
      <c r="D14" s="20" t="s">
        <v>35</v>
      </c>
      <c r="E14" s="31" t="s">
        <v>546</v>
      </c>
      <c r="F14" s="22" t="s">
        <v>151</v>
      </c>
      <c r="G14" s="11" t="s">
        <v>9</v>
      </c>
      <c r="H14" s="21">
        <v>24422070060106</v>
      </c>
      <c r="I14" s="58"/>
      <c r="J14" s="70"/>
      <c r="K14" s="58"/>
      <c r="L14" s="58"/>
      <c r="M14" s="73" t="e">
        <f t="shared" si="0"/>
        <v>#NUM!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767</v>
      </c>
      <c r="U14" s="12" t="s">
        <v>886</v>
      </c>
      <c r="V14" s="90"/>
      <c r="W14" s="28"/>
      <c r="X14" s="43"/>
      <c r="Y14" s="28"/>
      <c r="Z14" s="28"/>
      <c r="AA14" s="28"/>
      <c r="AB14" s="28"/>
      <c r="AC14" s="28"/>
      <c r="AD14" s="66"/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883</v>
      </c>
      <c r="C15" s="87"/>
      <c r="D15" s="20" t="s">
        <v>36</v>
      </c>
      <c r="E15" s="31" t="s">
        <v>547</v>
      </c>
      <c r="F15" s="22" t="s">
        <v>151</v>
      </c>
      <c r="G15" s="11" t="s">
        <v>9</v>
      </c>
      <c r="H15" s="21">
        <v>24422070060107</v>
      </c>
      <c r="I15" s="58"/>
      <c r="J15" s="58"/>
      <c r="K15" s="58"/>
      <c r="L15" s="58"/>
      <c r="M15" s="73" t="e">
        <f t="shared" si="0"/>
        <v>#NUM!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767</v>
      </c>
      <c r="U15" s="12" t="s">
        <v>886</v>
      </c>
      <c r="V15" s="90"/>
      <c r="W15" s="28"/>
      <c r="X15" s="43"/>
      <c r="Y15" s="28"/>
      <c r="Z15" s="28"/>
      <c r="AA15" s="28"/>
      <c r="AB15" s="28"/>
      <c r="AC15" s="28"/>
      <c r="AD15" s="66"/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882</v>
      </c>
      <c r="C16" s="87"/>
      <c r="D16" s="20" t="s">
        <v>37</v>
      </c>
      <c r="E16" s="31" t="s">
        <v>548</v>
      </c>
      <c r="F16" s="22" t="s">
        <v>151</v>
      </c>
      <c r="G16" s="11" t="s">
        <v>9</v>
      </c>
      <c r="H16" s="21">
        <v>24422070060108</v>
      </c>
      <c r="I16" s="58" t="s">
        <v>769</v>
      </c>
      <c r="J16" s="70">
        <v>2</v>
      </c>
      <c r="K16" s="58" t="s">
        <v>798</v>
      </c>
      <c r="L16" s="58" t="s">
        <v>770</v>
      </c>
      <c r="M16" s="73">
        <f t="shared" si="0"/>
        <v>46069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767</v>
      </c>
      <c r="U16" s="12" t="s">
        <v>886</v>
      </c>
      <c r="V16" s="90" t="s">
        <v>777</v>
      </c>
      <c r="W16" s="28" t="s">
        <v>811</v>
      </c>
      <c r="X16" s="43" t="s">
        <v>771</v>
      </c>
      <c r="Y16" s="28"/>
      <c r="Z16" s="28">
        <v>1</v>
      </c>
      <c r="AA16" s="28">
        <v>1</v>
      </c>
      <c r="AB16" s="28">
        <v>2</v>
      </c>
      <c r="AC16" s="28">
        <v>2</v>
      </c>
      <c r="AD16" s="66">
        <v>1</v>
      </c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883</v>
      </c>
      <c r="C17" s="87"/>
      <c r="D17" s="20" t="s">
        <v>38</v>
      </c>
      <c r="E17" s="31" t="s">
        <v>549</v>
      </c>
      <c r="F17" s="22" t="s">
        <v>151</v>
      </c>
      <c r="G17" s="11" t="s">
        <v>9</v>
      </c>
      <c r="H17" s="21">
        <v>24422070060109</v>
      </c>
      <c r="I17" s="58" t="s">
        <v>775</v>
      </c>
      <c r="J17" s="70">
        <v>1</v>
      </c>
      <c r="K17" s="58" t="s">
        <v>187</v>
      </c>
      <c r="L17" s="58" t="s">
        <v>770</v>
      </c>
      <c r="M17" s="73">
        <f t="shared" si="0"/>
        <v>46034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767</v>
      </c>
      <c r="U17" s="12" t="s">
        <v>886</v>
      </c>
      <c r="V17" s="90" t="s">
        <v>777</v>
      </c>
      <c r="W17" s="28" t="s">
        <v>161</v>
      </c>
      <c r="X17" s="43" t="s">
        <v>155</v>
      </c>
      <c r="Y17" s="28" t="s">
        <v>809</v>
      </c>
      <c r="Z17" s="28">
        <v>1</v>
      </c>
      <c r="AA17" s="28">
        <v>1</v>
      </c>
      <c r="AB17" s="28"/>
      <c r="AC17" s="28"/>
      <c r="AD17" s="66">
        <v>1</v>
      </c>
      <c r="AE17" s="28"/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883</v>
      </c>
      <c r="C18" s="87"/>
      <c r="D18" s="20" t="s">
        <v>39</v>
      </c>
      <c r="E18" s="31" t="s">
        <v>550</v>
      </c>
      <c r="F18" s="22" t="s">
        <v>151</v>
      </c>
      <c r="G18" s="11" t="s">
        <v>9</v>
      </c>
      <c r="H18" s="21">
        <v>24422070060110</v>
      </c>
      <c r="I18" s="58" t="s">
        <v>784</v>
      </c>
      <c r="J18" s="58" t="s">
        <v>839</v>
      </c>
      <c r="K18" s="58" t="s">
        <v>837</v>
      </c>
      <c r="L18" s="58" t="s">
        <v>770</v>
      </c>
      <c r="M18" s="73">
        <f t="shared" si="0"/>
        <v>46092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767</v>
      </c>
      <c r="U18" s="12" t="s">
        <v>886</v>
      </c>
      <c r="V18" s="90" t="s">
        <v>165</v>
      </c>
      <c r="W18" s="28" t="s">
        <v>832</v>
      </c>
      <c r="X18" s="43" t="s">
        <v>155</v>
      </c>
      <c r="Y18" s="28" t="s">
        <v>838</v>
      </c>
      <c r="Z18" s="28">
        <v>1</v>
      </c>
      <c r="AA18" s="28">
        <v>1</v>
      </c>
      <c r="AB18" s="28">
        <v>1</v>
      </c>
      <c r="AC18" s="28">
        <v>1</v>
      </c>
      <c r="AD18" s="66">
        <v>1</v>
      </c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3" t="s">
        <v>883</v>
      </c>
      <c r="C19" s="87"/>
      <c r="D19" s="20" t="s">
        <v>40</v>
      </c>
      <c r="E19" s="31" t="s">
        <v>551</v>
      </c>
      <c r="F19" s="22" t="s">
        <v>151</v>
      </c>
      <c r="G19" s="11" t="s">
        <v>9</v>
      </c>
      <c r="H19" s="21">
        <v>24422070060111</v>
      </c>
      <c r="I19" s="58" t="s">
        <v>790</v>
      </c>
      <c r="J19" s="70">
        <v>1</v>
      </c>
      <c r="K19" s="58" t="s">
        <v>187</v>
      </c>
      <c r="L19" s="58" t="s">
        <v>770</v>
      </c>
      <c r="M19" s="73">
        <f t="shared" si="0"/>
        <v>46042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767</v>
      </c>
      <c r="U19" s="12" t="s">
        <v>886</v>
      </c>
      <c r="V19" s="90" t="s">
        <v>777</v>
      </c>
      <c r="W19" s="28" t="s">
        <v>895</v>
      </c>
      <c r="X19" s="43" t="s">
        <v>155</v>
      </c>
      <c r="Y19" s="28"/>
      <c r="Z19" s="28">
        <v>1</v>
      </c>
      <c r="AA19" s="28">
        <v>1</v>
      </c>
      <c r="AB19" s="28">
        <v>1</v>
      </c>
      <c r="AC19" s="28">
        <v>1</v>
      </c>
      <c r="AD19" s="66">
        <v>1</v>
      </c>
      <c r="AE19" s="28"/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2" t="s">
        <v>883</v>
      </c>
      <c r="C20" s="87"/>
      <c r="D20" s="20" t="s">
        <v>41</v>
      </c>
      <c r="E20" s="31" t="s">
        <v>552</v>
      </c>
      <c r="F20" s="22" t="s">
        <v>151</v>
      </c>
      <c r="G20" s="11" t="s">
        <v>9</v>
      </c>
      <c r="H20" s="21">
        <v>24422070060112</v>
      </c>
      <c r="I20" s="58"/>
      <c r="J20" s="70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767</v>
      </c>
      <c r="U20" s="12" t="s">
        <v>886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2" t="s">
        <v>883</v>
      </c>
      <c r="C21" s="87"/>
      <c r="D21" s="20" t="s">
        <v>42</v>
      </c>
      <c r="E21" s="31" t="s">
        <v>553</v>
      </c>
      <c r="F21" s="22" t="s">
        <v>151</v>
      </c>
      <c r="G21" s="11" t="s">
        <v>9</v>
      </c>
      <c r="H21" s="21">
        <v>24422070060113</v>
      </c>
      <c r="I21" s="58" t="s">
        <v>784</v>
      </c>
      <c r="J21" s="70">
        <v>12</v>
      </c>
      <c r="K21" s="58" t="s">
        <v>768</v>
      </c>
      <c r="L21" s="58" t="s">
        <v>153</v>
      </c>
      <c r="M21" s="73">
        <f t="shared" si="0"/>
        <v>46002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767</v>
      </c>
      <c r="U21" s="12" t="s">
        <v>886</v>
      </c>
      <c r="V21" s="90" t="s">
        <v>777</v>
      </c>
      <c r="W21" s="28" t="s">
        <v>19</v>
      </c>
      <c r="X21" s="43" t="s">
        <v>771</v>
      </c>
      <c r="Y21" s="28"/>
      <c r="Z21" s="28">
        <v>1</v>
      </c>
      <c r="AA21" s="28">
        <v>1</v>
      </c>
      <c r="AB21" s="28">
        <v>1</v>
      </c>
      <c r="AC21" s="28">
        <v>1</v>
      </c>
      <c r="AD21" s="66">
        <v>1</v>
      </c>
      <c r="AE21" s="28">
        <v>2</v>
      </c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883</v>
      </c>
      <c r="C22" s="87"/>
      <c r="D22" s="20" t="s">
        <v>43</v>
      </c>
      <c r="E22" s="31" t="s">
        <v>554</v>
      </c>
      <c r="F22" s="22" t="s">
        <v>151</v>
      </c>
      <c r="G22" s="11" t="s">
        <v>9</v>
      </c>
      <c r="H22" s="21">
        <v>24422070060114</v>
      </c>
      <c r="I22" s="58" t="s">
        <v>788</v>
      </c>
      <c r="J22" s="70">
        <v>2</v>
      </c>
      <c r="K22" s="58" t="s">
        <v>798</v>
      </c>
      <c r="L22" s="58" t="s">
        <v>770</v>
      </c>
      <c r="M22" s="73">
        <f t="shared" si="0"/>
        <v>46070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767</v>
      </c>
      <c r="U22" s="12" t="s">
        <v>886</v>
      </c>
      <c r="V22" s="90" t="s">
        <v>777</v>
      </c>
      <c r="W22" s="28" t="s">
        <v>812</v>
      </c>
      <c r="X22" s="43" t="s">
        <v>771</v>
      </c>
      <c r="Y22" s="28"/>
      <c r="Z22" s="28">
        <v>1</v>
      </c>
      <c r="AA22" s="28">
        <v>1</v>
      </c>
      <c r="AB22" s="28">
        <v>2</v>
      </c>
      <c r="AC22" s="28">
        <v>2</v>
      </c>
      <c r="AD22" s="66">
        <v>1</v>
      </c>
      <c r="AE22" s="28"/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883</v>
      </c>
      <c r="C23" s="87"/>
      <c r="D23" s="20" t="s">
        <v>44</v>
      </c>
      <c r="E23" s="31" t="s">
        <v>555</v>
      </c>
      <c r="F23" s="22" t="s">
        <v>151</v>
      </c>
      <c r="G23" s="11" t="s">
        <v>9</v>
      </c>
      <c r="H23" s="21">
        <v>24422070060115</v>
      </c>
      <c r="I23" s="58" t="s">
        <v>775</v>
      </c>
      <c r="J23" s="58" t="s">
        <v>157</v>
      </c>
      <c r="K23" s="58" t="s">
        <v>187</v>
      </c>
      <c r="L23" s="58" t="s">
        <v>770</v>
      </c>
      <c r="M23" s="73">
        <f t="shared" si="0"/>
        <v>46034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767</v>
      </c>
      <c r="U23" s="12" t="s">
        <v>886</v>
      </c>
      <c r="V23" s="90" t="s">
        <v>777</v>
      </c>
      <c r="W23" s="28" t="s">
        <v>161</v>
      </c>
      <c r="X23" s="43" t="s">
        <v>155</v>
      </c>
      <c r="Y23" s="28"/>
      <c r="Z23" s="28">
        <v>1</v>
      </c>
      <c r="AA23" s="28">
        <v>1</v>
      </c>
      <c r="AB23" s="28">
        <v>1</v>
      </c>
      <c r="AC23" s="28">
        <v>1</v>
      </c>
      <c r="AD23" s="66">
        <v>1</v>
      </c>
      <c r="AE23" s="28"/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882</v>
      </c>
      <c r="C24" s="118">
        <v>2</v>
      </c>
      <c r="D24" s="20" t="s">
        <v>45</v>
      </c>
      <c r="E24" s="31" t="s">
        <v>556</v>
      </c>
      <c r="F24" s="22" t="s">
        <v>151</v>
      </c>
      <c r="G24" s="11" t="s">
        <v>9</v>
      </c>
      <c r="H24" s="21">
        <v>24422070060116</v>
      </c>
      <c r="I24" s="58"/>
      <c r="J24" s="58"/>
      <c r="K24" s="58"/>
      <c r="L24" s="58"/>
      <c r="M24" s="73" t="e">
        <f t="shared" si="0"/>
        <v>#NUM!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767</v>
      </c>
      <c r="U24" s="12" t="s">
        <v>886</v>
      </c>
      <c r="V24" s="90"/>
      <c r="W24" s="28"/>
      <c r="X24" s="43"/>
      <c r="Y24" s="28"/>
      <c r="Z24" s="28"/>
      <c r="AA24" s="28"/>
      <c r="AB24" s="28"/>
      <c r="AC24" s="28"/>
      <c r="AD24" s="66"/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883</v>
      </c>
      <c r="C25" s="87"/>
      <c r="D25" s="20" t="s">
        <v>46</v>
      </c>
      <c r="E25" s="31" t="s">
        <v>557</v>
      </c>
      <c r="F25" s="22" t="s">
        <v>151</v>
      </c>
      <c r="G25" s="11" t="s">
        <v>9</v>
      </c>
      <c r="H25" s="21">
        <v>24422070060117</v>
      </c>
      <c r="I25" s="58" t="s">
        <v>784</v>
      </c>
      <c r="J25" s="70">
        <v>3</v>
      </c>
      <c r="K25" s="58" t="s">
        <v>837</v>
      </c>
      <c r="L25" s="58" t="s">
        <v>770</v>
      </c>
      <c r="M25" s="73">
        <f t="shared" si="0"/>
        <v>46092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767</v>
      </c>
      <c r="U25" s="12" t="s">
        <v>886</v>
      </c>
      <c r="V25" s="90" t="s">
        <v>165</v>
      </c>
      <c r="W25" s="28" t="s">
        <v>832</v>
      </c>
      <c r="X25" s="43" t="s">
        <v>155</v>
      </c>
      <c r="Y25" s="28" t="s">
        <v>838</v>
      </c>
      <c r="Z25" s="28">
        <v>1</v>
      </c>
      <c r="AA25" s="28">
        <v>1</v>
      </c>
      <c r="AB25" s="28">
        <v>1</v>
      </c>
      <c r="AC25" s="28">
        <v>1</v>
      </c>
      <c r="AD25" s="66">
        <v>1</v>
      </c>
      <c r="AE25" s="28"/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883</v>
      </c>
      <c r="C26" s="87"/>
      <c r="D26" s="20" t="s">
        <v>47</v>
      </c>
      <c r="E26" s="31" t="s">
        <v>558</v>
      </c>
      <c r="F26" s="22" t="s">
        <v>151</v>
      </c>
      <c r="G26" s="11" t="s">
        <v>9</v>
      </c>
      <c r="H26" s="21">
        <v>24422070060118</v>
      </c>
      <c r="I26" s="58"/>
      <c r="J26" s="58"/>
      <c r="K26" s="58"/>
      <c r="L26" s="58"/>
      <c r="M26" s="73" t="e">
        <f t="shared" si="0"/>
        <v>#NUM!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767</v>
      </c>
      <c r="U26" s="12" t="s">
        <v>886</v>
      </c>
      <c r="V26" s="90"/>
      <c r="W26" s="28"/>
      <c r="X26" s="43"/>
      <c r="Y26" s="28"/>
      <c r="Z26" s="28"/>
      <c r="AA26" s="28"/>
      <c r="AB26" s="28"/>
      <c r="AC26" s="28"/>
      <c r="AD26" s="66"/>
      <c r="AE26" s="28"/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882</v>
      </c>
      <c r="C27" s="87"/>
      <c r="D27" s="20" t="s">
        <v>48</v>
      </c>
      <c r="E27" s="31" t="s">
        <v>559</v>
      </c>
      <c r="F27" s="22" t="s">
        <v>151</v>
      </c>
      <c r="G27" s="11" t="s">
        <v>9</v>
      </c>
      <c r="H27" s="21">
        <v>24422070060119</v>
      </c>
      <c r="I27" s="58" t="s">
        <v>769</v>
      </c>
      <c r="J27" s="70">
        <v>12</v>
      </c>
      <c r="K27" s="58" t="s">
        <v>768</v>
      </c>
      <c r="L27" s="58" t="s">
        <v>153</v>
      </c>
      <c r="M27" s="73">
        <f t="shared" si="0"/>
        <v>46007</v>
      </c>
      <c r="N27" s="23" t="e">
        <f t="shared" si="2"/>
        <v>#NUM!</v>
      </c>
      <c r="O27" s="73" t="e">
        <f t="shared" si="1"/>
        <v>#NUM!</v>
      </c>
      <c r="P27" s="58"/>
      <c r="Q27" s="58"/>
      <c r="R27" s="58"/>
      <c r="S27" s="58"/>
      <c r="T27" s="12" t="s">
        <v>767</v>
      </c>
      <c r="U27" s="12" t="s">
        <v>886</v>
      </c>
      <c r="V27" s="90" t="s">
        <v>165</v>
      </c>
      <c r="W27" s="28" t="s">
        <v>728</v>
      </c>
      <c r="X27" s="43" t="s">
        <v>155</v>
      </c>
      <c r="Y27" s="28"/>
      <c r="Z27" s="28">
        <v>1</v>
      </c>
      <c r="AA27" s="28">
        <v>1</v>
      </c>
      <c r="AB27" s="28">
        <v>1</v>
      </c>
      <c r="AC27" s="28">
        <v>1</v>
      </c>
      <c r="AD27" s="66">
        <v>1</v>
      </c>
      <c r="AE27" s="28">
        <v>2</v>
      </c>
      <c r="AF27" s="28"/>
      <c r="AG27" s="28"/>
      <c r="AH27" s="20"/>
      <c r="AI27" s="28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882</v>
      </c>
      <c r="C28" s="87"/>
      <c r="D28" s="20" t="s">
        <v>49</v>
      </c>
      <c r="E28" s="31" t="s">
        <v>560</v>
      </c>
      <c r="F28" s="22" t="s">
        <v>151</v>
      </c>
      <c r="G28" s="11" t="s">
        <v>9</v>
      </c>
      <c r="H28" s="21">
        <v>24422070060120</v>
      </c>
      <c r="I28" s="59" t="s">
        <v>775</v>
      </c>
      <c r="J28" s="71">
        <v>1</v>
      </c>
      <c r="K28" s="59" t="s">
        <v>187</v>
      </c>
      <c r="L28" s="59" t="s">
        <v>770</v>
      </c>
      <c r="M28" s="73">
        <f t="shared" si="0"/>
        <v>46034</v>
      </c>
      <c r="N28" s="23" t="e">
        <f t="shared" si="2"/>
        <v>#NUM!</v>
      </c>
      <c r="O28" s="73" t="e">
        <f t="shared" si="1"/>
        <v>#NUM!</v>
      </c>
      <c r="P28" s="59"/>
      <c r="Q28" s="59"/>
      <c r="R28" s="59"/>
      <c r="S28" s="59"/>
      <c r="T28" s="12" t="s">
        <v>767</v>
      </c>
      <c r="U28" s="12" t="s">
        <v>886</v>
      </c>
      <c r="V28" s="90" t="s">
        <v>777</v>
      </c>
      <c r="W28" s="28" t="s">
        <v>20</v>
      </c>
      <c r="X28" s="43" t="s">
        <v>155</v>
      </c>
      <c r="Y28" s="28"/>
      <c r="Z28" s="28">
        <v>1</v>
      </c>
      <c r="AA28" s="28">
        <v>1</v>
      </c>
      <c r="AB28" s="28">
        <v>2</v>
      </c>
      <c r="AC28" s="28">
        <v>2</v>
      </c>
      <c r="AD28" s="66">
        <v>1</v>
      </c>
      <c r="AE28" s="28"/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883</v>
      </c>
      <c r="C29" s="87"/>
      <c r="D29" s="20" t="s">
        <v>50</v>
      </c>
      <c r="E29" s="31" t="s">
        <v>561</v>
      </c>
      <c r="F29" s="22" t="s">
        <v>151</v>
      </c>
      <c r="G29" s="11" t="s">
        <v>9</v>
      </c>
      <c r="H29" s="21">
        <v>24422070060122</v>
      </c>
      <c r="I29" s="59" t="s">
        <v>775</v>
      </c>
      <c r="J29" s="71">
        <v>1</v>
      </c>
      <c r="K29" s="59" t="s">
        <v>187</v>
      </c>
      <c r="L29" s="59" t="s">
        <v>770</v>
      </c>
      <c r="M29" s="73">
        <f t="shared" si="0"/>
        <v>46034</v>
      </c>
      <c r="N29" s="23" t="e">
        <f t="shared" si="2"/>
        <v>#NUM!</v>
      </c>
      <c r="O29" s="73" t="e">
        <f t="shared" si="1"/>
        <v>#NUM!</v>
      </c>
      <c r="P29" s="59"/>
      <c r="Q29" s="59"/>
      <c r="R29" s="59"/>
      <c r="S29" s="59"/>
      <c r="T29" s="12" t="s">
        <v>767</v>
      </c>
      <c r="U29" s="12" t="s">
        <v>886</v>
      </c>
      <c r="V29" s="90" t="s">
        <v>165</v>
      </c>
      <c r="W29" s="28" t="s">
        <v>813</v>
      </c>
      <c r="X29" s="43" t="s">
        <v>155</v>
      </c>
      <c r="Y29" s="38" t="s">
        <v>809</v>
      </c>
      <c r="Z29" s="38">
        <v>1</v>
      </c>
      <c r="AA29" s="28">
        <v>1</v>
      </c>
      <c r="AB29" s="28">
        <v>1</v>
      </c>
      <c r="AC29" s="28">
        <v>1</v>
      </c>
      <c r="AD29" s="66">
        <v>1</v>
      </c>
      <c r="AE29" s="28"/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883</v>
      </c>
      <c r="C30" s="87"/>
      <c r="D30" s="20" t="s">
        <v>51</v>
      </c>
      <c r="E30" s="31" t="s">
        <v>562</v>
      </c>
      <c r="F30" s="22" t="s">
        <v>151</v>
      </c>
      <c r="G30" s="11" t="s">
        <v>9</v>
      </c>
      <c r="H30" s="21">
        <v>24422070060124</v>
      </c>
      <c r="I30" s="59"/>
      <c r="J30" s="71"/>
      <c r="K30" s="59"/>
      <c r="L30" s="59"/>
      <c r="M30" s="73" t="e">
        <f t="shared" si="0"/>
        <v>#NUM!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767</v>
      </c>
      <c r="U30" s="12" t="s">
        <v>886</v>
      </c>
      <c r="V30" s="90"/>
      <c r="W30" s="28"/>
      <c r="X30" s="43"/>
      <c r="Y30" s="28"/>
      <c r="Z30" s="28"/>
      <c r="AA30" s="28"/>
      <c r="AB30" s="28"/>
      <c r="AC30" s="28"/>
      <c r="AD30" s="66"/>
      <c r="AE30" s="28"/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883</v>
      </c>
      <c r="C31" s="87"/>
      <c r="D31" s="20" t="s">
        <v>52</v>
      </c>
      <c r="E31" s="31" t="s">
        <v>563</v>
      </c>
      <c r="F31" s="22" t="s">
        <v>151</v>
      </c>
      <c r="G31" s="11" t="s">
        <v>9</v>
      </c>
      <c r="H31" s="21">
        <v>24422070060125</v>
      </c>
      <c r="I31" s="58" t="s">
        <v>769</v>
      </c>
      <c r="J31" s="70">
        <v>2</v>
      </c>
      <c r="K31" s="58" t="s">
        <v>798</v>
      </c>
      <c r="L31" s="58" t="s">
        <v>770</v>
      </c>
      <c r="M31" s="73">
        <f t="shared" si="0"/>
        <v>46069</v>
      </c>
      <c r="N31" s="23" t="e">
        <f t="shared" si="2"/>
        <v>#NUM!</v>
      </c>
      <c r="O31" s="73" t="e">
        <f t="shared" si="1"/>
        <v>#NUM!</v>
      </c>
      <c r="P31" s="58"/>
      <c r="Q31" s="58"/>
      <c r="R31" s="58"/>
      <c r="S31" s="58"/>
      <c r="T31" s="12" t="s">
        <v>767</v>
      </c>
      <c r="U31" s="12" t="s">
        <v>886</v>
      </c>
      <c r="V31" s="90" t="s">
        <v>777</v>
      </c>
      <c r="W31" s="28" t="s">
        <v>725</v>
      </c>
      <c r="X31" s="43" t="s">
        <v>155</v>
      </c>
      <c r="Y31" s="28" t="s">
        <v>836</v>
      </c>
      <c r="Z31" s="28">
        <v>1</v>
      </c>
      <c r="AA31" s="28">
        <v>1</v>
      </c>
      <c r="AB31" s="28">
        <v>1</v>
      </c>
      <c r="AC31" s="28">
        <v>1</v>
      </c>
      <c r="AD31" s="66">
        <v>1</v>
      </c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883</v>
      </c>
      <c r="C32" s="87"/>
      <c r="D32" s="20" t="s">
        <v>53</v>
      </c>
      <c r="E32" s="31" t="s">
        <v>564</v>
      </c>
      <c r="F32" s="22" t="s">
        <v>151</v>
      </c>
      <c r="G32" s="11" t="s">
        <v>9</v>
      </c>
      <c r="H32" s="21">
        <v>24422070060126</v>
      </c>
      <c r="I32" s="58" t="s">
        <v>784</v>
      </c>
      <c r="J32" s="70">
        <v>3</v>
      </c>
      <c r="K32" s="58" t="s">
        <v>837</v>
      </c>
      <c r="L32" s="58" t="s">
        <v>770</v>
      </c>
      <c r="M32" s="73">
        <f t="shared" si="0"/>
        <v>46092</v>
      </c>
      <c r="N32" s="23" t="e">
        <f t="shared" si="2"/>
        <v>#NUM!</v>
      </c>
      <c r="O32" s="73" t="e">
        <f t="shared" si="1"/>
        <v>#NUM!</v>
      </c>
      <c r="P32" s="58"/>
      <c r="Q32" s="58"/>
      <c r="R32" s="58"/>
      <c r="S32" s="58"/>
      <c r="T32" s="12" t="s">
        <v>767</v>
      </c>
      <c r="U32" s="12" t="s">
        <v>886</v>
      </c>
      <c r="V32" s="90" t="s">
        <v>165</v>
      </c>
      <c r="W32" s="28" t="s">
        <v>832</v>
      </c>
      <c r="X32" s="43" t="s">
        <v>155</v>
      </c>
      <c r="Y32" s="28" t="s">
        <v>838</v>
      </c>
      <c r="Z32" s="28">
        <v>1</v>
      </c>
      <c r="AA32" s="28">
        <v>1</v>
      </c>
      <c r="AB32" s="28">
        <v>1</v>
      </c>
      <c r="AC32" s="28">
        <v>1</v>
      </c>
      <c r="AD32" s="66">
        <v>1</v>
      </c>
      <c r="AE32" s="28"/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16</v>
      </c>
      <c r="B33" s="2" t="s">
        <v>883</v>
      </c>
      <c r="C33" s="118">
        <v>1</v>
      </c>
      <c r="D33" s="20" t="s">
        <v>54</v>
      </c>
      <c r="E33" s="31" t="s">
        <v>601</v>
      </c>
      <c r="F33" s="22" t="s">
        <v>151</v>
      </c>
      <c r="G33" s="11" t="s">
        <v>9</v>
      </c>
      <c r="H33" s="98">
        <v>24422070060174</v>
      </c>
      <c r="I33" s="58"/>
      <c r="J33" s="58"/>
      <c r="K33" s="58"/>
      <c r="L33" s="58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8"/>
      <c r="Q33" s="58"/>
      <c r="R33" s="58"/>
      <c r="S33" s="58"/>
      <c r="T33" s="12" t="s">
        <v>767</v>
      </c>
      <c r="U33" s="12" t="s">
        <v>886</v>
      </c>
      <c r="V33" s="90"/>
      <c r="W33" s="28"/>
      <c r="X33" s="43"/>
      <c r="Y33" s="28"/>
      <c r="Z33" s="28"/>
      <c r="AA33" s="28"/>
      <c r="AB33" s="28"/>
      <c r="AC33" s="28"/>
      <c r="AD33" s="66"/>
      <c r="AE33" s="28"/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16</v>
      </c>
      <c r="B34" s="2" t="s">
        <v>883</v>
      </c>
      <c r="C34" s="87"/>
      <c r="D34" s="20" t="s">
        <v>55</v>
      </c>
      <c r="E34" s="31" t="s">
        <v>602</v>
      </c>
      <c r="F34" s="22" t="s">
        <v>151</v>
      </c>
      <c r="G34" s="11" t="s">
        <v>9</v>
      </c>
      <c r="H34" s="98">
        <v>24422070060175</v>
      </c>
      <c r="I34" s="58"/>
      <c r="J34" s="70"/>
      <c r="K34" s="58"/>
      <c r="L34" s="58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767</v>
      </c>
      <c r="U34" s="12" t="s">
        <v>886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16</v>
      </c>
      <c r="B35" s="2" t="s">
        <v>882</v>
      </c>
      <c r="C35" s="87"/>
      <c r="D35" s="20" t="s">
        <v>56</v>
      </c>
      <c r="E35" s="31" t="s">
        <v>603</v>
      </c>
      <c r="F35" s="22" t="s">
        <v>151</v>
      </c>
      <c r="G35" s="11" t="s">
        <v>9</v>
      </c>
      <c r="H35" s="98">
        <v>24422070060177</v>
      </c>
      <c r="I35" s="58"/>
      <c r="J35" s="70"/>
      <c r="K35" s="58"/>
      <c r="L35" s="58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8"/>
      <c r="Q35" s="58"/>
      <c r="R35" s="58"/>
      <c r="S35" s="58"/>
      <c r="T35" s="12" t="s">
        <v>767</v>
      </c>
      <c r="U35" s="12" t="s">
        <v>886</v>
      </c>
      <c r="V35" s="90"/>
      <c r="W35" s="28"/>
      <c r="X35" s="43"/>
      <c r="Y35" s="28"/>
      <c r="Z35" s="28"/>
      <c r="AA35" s="28"/>
      <c r="AB35" s="28"/>
      <c r="AC35" s="28"/>
      <c r="AD35" s="66"/>
      <c r="AE35" s="28"/>
      <c r="AF35" s="28"/>
      <c r="AG35" s="28"/>
      <c r="AH35" s="20"/>
      <c r="AI35" s="28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16</v>
      </c>
      <c r="B36" s="2" t="s">
        <v>883</v>
      </c>
      <c r="C36" s="87"/>
      <c r="D36" s="20" t="s">
        <v>57</v>
      </c>
      <c r="E36" s="31" t="s">
        <v>604</v>
      </c>
      <c r="F36" s="22" t="s">
        <v>151</v>
      </c>
      <c r="G36" s="11" t="s">
        <v>9</v>
      </c>
      <c r="H36" s="98">
        <v>24422070060221</v>
      </c>
      <c r="I36" s="58"/>
      <c r="J36" s="58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767</v>
      </c>
      <c r="U36" s="12" t="s">
        <v>886</v>
      </c>
      <c r="V36" s="90"/>
      <c r="W36" s="28"/>
      <c r="X36" s="43"/>
      <c r="Y36" s="28"/>
      <c r="Z36" s="28"/>
      <c r="AA36" s="28"/>
      <c r="AB36" s="28"/>
      <c r="AC36" s="28"/>
      <c r="AD36" s="66"/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16</v>
      </c>
      <c r="B37" s="2" t="s">
        <v>883</v>
      </c>
      <c r="C37" s="87"/>
      <c r="D37" s="20" t="s">
        <v>58</v>
      </c>
      <c r="E37" s="31" t="s">
        <v>605</v>
      </c>
      <c r="F37" s="22" t="s">
        <v>151</v>
      </c>
      <c r="G37" s="11" t="s">
        <v>9</v>
      </c>
      <c r="H37" s="98">
        <v>24422070060134</v>
      </c>
      <c r="I37" s="58"/>
      <c r="J37" s="70"/>
      <c r="K37" s="58"/>
      <c r="L37" s="58"/>
      <c r="M37" s="73" t="e">
        <f t="shared" si="0"/>
        <v>#NUM!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767</v>
      </c>
      <c r="U37" s="12" t="s">
        <v>886</v>
      </c>
      <c r="V37" s="90"/>
      <c r="W37" s="28"/>
      <c r="X37" s="43"/>
      <c r="Y37" s="28"/>
      <c r="Z37" s="28"/>
      <c r="AA37" s="28"/>
      <c r="AB37" s="28"/>
      <c r="AC37" s="28"/>
      <c r="AD37" s="66"/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16</v>
      </c>
      <c r="B38" s="2" t="s">
        <v>883</v>
      </c>
      <c r="C38" s="87"/>
      <c r="D38" s="20" t="s">
        <v>59</v>
      </c>
      <c r="E38" s="31" t="s">
        <v>606</v>
      </c>
      <c r="F38" s="22" t="s">
        <v>151</v>
      </c>
      <c r="G38" s="11" t="s">
        <v>9</v>
      </c>
      <c r="H38" s="98">
        <v>24422070060179</v>
      </c>
      <c r="I38" s="59"/>
      <c r="J38" s="71"/>
      <c r="K38" s="59"/>
      <c r="L38" s="59"/>
      <c r="M38" s="73" t="e">
        <f t="shared" si="0"/>
        <v>#NUM!</v>
      </c>
      <c r="N38" s="23" t="e">
        <f t="shared" si="2"/>
        <v>#NUM!</v>
      </c>
      <c r="O38" s="73" t="e">
        <f t="shared" si="1"/>
        <v>#NUM!</v>
      </c>
      <c r="P38" s="59"/>
      <c r="Q38" s="59"/>
      <c r="R38" s="59"/>
      <c r="S38" s="59"/>
      <c r="T38" s="12" t="s">
        <v>767</v>
      </c>
      <c r="U38" s="12" t="s">
        <v>886</v>
      </c>
      <c r="V38" s="90"/>
      <c r="W38" s="28"/>
      <c r="X38" s="43"/>
      <c r="Y38" s="28"/>
      <c r="Z38" s="28"/>
      <c r="AA38" s="28"/>
      <c r="AB38" s="28"/>
      <c r="AC38" s="28"/>
      <c r="AD38" s="66"/>
      <c r="AE38" s="28"/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16</v>
      </c>
      <c r="B39" s="2" t="s">
        <v>883</v>
      </c>
      <c r="C39" s="87"/>
      <c r="D39" s="20" t="s">
        <v>60</v>
      </c>
      <c r="E39" s="31" t="s">
        <v>569</v>
      </c>
      <c r="F39" s="22" t="s">
        <v>151</v>
      </c>
      <c r="G39" s="11" t="s">
        <v>9</v>
      </c>
      <c r="H39" s="98">
        <v>24422070060135</v>
      </c>
      <c r="I39" s="59" t="s">
        <v>775</v>
      </c>
      <c r="J39" s="71">
        <v>1</v>
      </c>
      <c r="K39" s="59" t="s">
        <v>187</v>
      </c>
      <c r="L39" s="59" t="s">
        <v>770</v>
      </c>
      <c r="M39" s="73">
        <f>DATE(L39,J39,I39)</f>
        <v>46034</v>
      </c>
      <c r="N39" s="23" t="e">
        <f>DATEDIF(M39,O39,"m")</f>
        <v>#NUM!</v>
      </c>
      <c r="O39" s="73" t="e">
        <f>DATE(S39,Q39,P39)</f>
        <v>#NUM!</v>
      </c>
      <c r="P39" s="59"/>
      <c r="Q39" s="59"/>
      <c r="R39" s="59"/>
      <c r="S39" s="59"/>
      <c r="T39" s="12" t="s">
        <v>767</v>
      </c>
      <c r="U39" s="12" t="s">
        <v>886</v>
      </c>
      <c r="V39" s="90" t="s">
        <v>165</v>
      </c>
      <c r="W39" s="28" t="s">
        <v>895</v>
      </c>
      <c r="X39" s="43" t="s">
        <v>155</v>
      </c>
      <c r="Y39" s="28"/>
      <c r="Z39" s="28">
        <v>1</v>
      </c>
      <c r="AA39" s="15">
        <v>1</v>
      </c>
      <c r="AB39" s="15">
        <v>1</v>
      </c>
      <c r="AC39" s="15">
        <v>1</v>
      </c>
      <c r="AD39" s="68">
        <v>1</v>
      </c>
      <c r="AE39" s="15"/>
      <c r="AF39" s="15"/>
      <c r="AG39" s="15"/>
      <c r="AH39" s="81"/>
      <c r="AI39" s="15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16</v>
      </c>
      <c r="B40" s="2" t="s">
        <v>883</v>
      </c>
      <c r="C40" s="87"/>
      <c r="D40" s="20" t="s">
        <v>61</v>
      </c>
      <c r="E40" s="100" t="s">
        <v>607</v>
      </c>
      <c r="F40" s="22" t="s">
        <v>151</v>
      </c>
      <c r="G40" s="11" t="s">
        <v>9</v>
      </c>
      <c r="H40" s="105">
        <v>24422070060634</v>
      </c>
      <c r="I40" s="59"/>
      <c r="J40" s="71"/>
      <c r="K40" s="59"/>
      <c r="L40" s="59"/>
      <c r="M40" s="73" t="e">
        <f t="shared" si="0"/>
        <v>#NUM!</v>
      </c>
      <c r="N40" s="23" t="e">
        <f t="shared" si="2"/>
        <v>#NUM!</v>
      </c>
      <c r="O40" s="73" t="e">
        <f t="shared" si="1"/>
        <v>#NUM!</v>
      </c>
      <c r="P40" s="59"/>
      <c r="Q40" s="59"/>
      <c r="R40" s="59"/>
      <c r="S40" s="59"/>
      <c r="T40" s="12" t="s">
        <v>767</v>
      </c>
      <c r="U40" s="12" t="s">
        <v>886</v>
      </c>
      <c r="V40" s="90"/>
      <c r="W40" s="28"/>
      <c r="X40" s="43"/>
      <c r="Y40" s="28"/>
      <c r="Z40" s="28"/>
      <c r="AA40" s="28"/>
      <c r="AB40" s="28"/>
      <c r="AC40" s="28"/>
      <c r="AD40" s="66"/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16</v>
      </c>
      <c r="B41" s="4" t="s">
        <v>883</v>
      </c>
      <c r="C41" s="118">
        <v>3</v>
      </c>
      <c r="D41" s="20" t="s">
        <v>62</v>
      </c>
      <c r="E41" s="31" t="s">
        <v>608</v>
      </c>
      <c r="F41" s="22" t="s">
        <v>151</v>
      </c>
      <c r="G41" s="11" t="s">
        <v>9</v>
      </c>
      <c r="H41" s="98">
        <v>24422070060140</v>
      </c>
      <c r="I41" s="59"/>
      <c r="J41" s="71"/>
      <c r="K41" s="59"/>
      <c r="L41" s="59"/>
      <c r="M41" s="73" t="e">
        <f t="shared" si="0"/>
        <v>#NUM!</v>
      </c>
      <c r="N41" s="23" t="e">
        <f t="shared" si="2"/>
        <v>#NUM!</v>
      </c>
      <c r="O41" s="73" t="e">
        <f t="shared" si="1"/>
        <v>#NUM!</v>
      </c>
      <c r="P41" s="59"/>
      <c r="Q41" s="59"/>
      <c r="R41" s="59"/>
      <c r="S41" s="59"/>
      <c r="T41" s="12" t="s">
        <v>767</v>
      </c>
      <c r="U41" s="12" t="s">
        <v>886</v>
      </c>
      <c r="V41" s="90"/>
      <c r="W41" s="28"/>
      <c r="X41" s="43"/>
      <c r="Y41" s="28"/>
      <c r="Z41" s="28"/>
      <c r="AA41" s="28"/>
      <c r="AB41" s="28"/>
      <c r="AC41" s="28"/>
      <c r="AD41" s="66"/>
      <c r="AE41" s="28"/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16</v>
      </c>
      <c r="B42" s="5" t="s">
        <v>883</v>
      </c>
      <c r="C42" s="126">
        <v>2</v>
      </c>
      <c r="D42" s="20" t="s">
        <v>63</v>
      </c>
      <c r="E42" s="31" t="s">
        <v>609</v>
      </c>
      <c r="F42" s="22" t="s">
        <v>151</v>
      </c>
      <c r="G42" s="11" t="s">
        <v>9</v>
      </c>
      <c r="H42" s="98">
        <v>24422070060185</v>
      </c>
      <c r="I42" s="59"/>
      <c r="J42" s="71"/>
      <c r="K42" s="59"/>
      <c r="L42" s="59"/>
      <c r="M42" s="73" t="e">
        <f t="shared" si="0"/>
        <v>#NUM!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767</v>
      </c>
      <c r="U42" s="12" t="s">
        <v>886</v>
      </c>
      <c r="V42" s="90"/>
      <c r="W42" s="28"/>
      <c r="X42" s="43"/>
      <c r="Y42" s="28"/>
      <c r="Z42" s="28"/>
      <c r="AA42" s="28"/>
      <c r="AB42" s="28"/>
      <c r="AC42" s="28"/>
      <c r="AD42" s="66"/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6"/>
      <c r="AV42" s="6"/>
    </row>
    <row r="43" spans="1:48" ht="15.75" customHeight="1" thickBot="1" x14ac:dyDescent="0.3">
      <c r="A43" s="1" t="s">
        <v>16</v>
      </c>
      <c r="B43" s="45" t="s">
        <v>883</v>
      </c>
      <c r="C43" s="89"/>
      <c r="D43" s="20" t="s">
        <v>64</v>
      </c>
      <c r="E43" s="31" t="s">
        <v>610</v>
      </c>
      <c r="F43" s="22" t="s">
        <v>151</v>
      </c>
      <c r="G43" s="11" t="s">
        <v>9</v>
      </c>
      <c r="H43" s="98">
        <v>24422070060186</v>
      </c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767</v>
      </c>
      <c r="U43" s="12" t="s">
        <v>886</v>
      </c>
      <c r="V43" s="90" t="s">
        <v>777</v>
      </c>
      <c r="W43" s="28" t="s">
        <v>841</v>
      </c>
      <c r="X43" s="43" t="s">
        <v>155</v>
      </c>
      <c r="Y43" s="28"/>
      <c r="Z43" s="28">
        <v>1</v>
      </c>
      <c r="AA43" s="28">
        <v>1</v>
      </c>
      <c r="AB43" s="28">
        <v>2</v>
      </c>
      <c r="AC43" s="28"/>
      <c r="AD43" s="66">
        <v>1</v>
      </c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6"/>
      <c r="AV43" s="6"/>
    </row>
    <row r="44" spans="1:48" ht="15.75" customHeight="1" thickBot="1" x14ac:dyDescent="0.3">
      <c r="A44" s="1" t="s">
        <v>16</v>
      </c>
      <c r="B44" s="46" t="s">
        <v>882</v>
      </c>
      <c r="C44" s="50"/>
      <c r="D44" s="20" t="s">
        <v>65</v>
      </c>
      <c r="E44" s="31" t="s">
        <v>611</v>
      </c>
      <c r="F44" s="22" t="s">
        <v>151</v>
      </c>
      <c r="G44" s="11" t="s">
        <v>9</v>
      </c>
      <c r="H44" s="98">
        <v>24422070060187</v>
      </c>
      <c r="I44" s="59"/>
      <c r="J44" s="59"/>
      <c r="K44" s="59"/>
      <c r="L44" s="59"/>
      <c r="M44" s="73" t="e">
        <f t="shared" si="0"/>
        <v>#NUM!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767</v>
      </c>
      <c r="U44" s="12" t="s">
        <v>886</v>
      </c>
      <c r="V44" s="90"/>
      <c r="W44" s="28"/>
      <c r="X44" s="43"/>
      <c r="Y44" s="28"/>
      <c r="Z44" s="28"/>
      <c r="AA44" s="28"/>
      <c r="AB44" s="28"/>
      <c r="AC44" s="28"/>
      <c r="AD44" s="66"/>
      <c r="AE44" s="28"/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6"/>
      <c r="AV44" s="6"/>
    </row>
    <row r="45" spans="1:48" ht="15.75" customHeight="1" thickBot="1" x14ac:dyDescent="0.3">
      <c r="A45" s="1" t="s">
        <v>16</v>
      </c>
      <c r="B45" s="46" t="s">
        <v>883</v>
      </c>
      <c r="C45" s="114">
        <v>1</v>
      </c>
      <c r="D45" s="20" t="s">
        <v>66</v>
      </c>
      <c r="E45" s="31" t="s">
        <v>612</v>
      </c>
      <c r="F45" s="22" t="s">
        <v>151</v>
      </c>
      <c r="G45" s="11" t="s">
        <v>9</v>
      </c>
      <c r="H45" s="98">
        <v>24422070060188</v>
      </c>
      <c r="I45" s="59"/>
      <c r="J45" s="71"/>
      <c r="K45" s="59"/>
      <c r="L45" s="59"/>
      <c r="M45" s="73" t="e">
        <f t="shared" si="0"/>
        <v>#NUM!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767</v>
      </c>
      <c r="U45" s="12" t="s">
        <v>886</v>
      </c>
      <c r="V45" s="90"/>
      <c r="W45" s="28"/>
      <c r="X45" s="43"/>
      <c r="Y45" s="28"/>
      <c r="Z45" s="28"/>
      <c r="AA45" s="28"/>
      <c r="AB45" s="28"/>
      <c r="AC45" s="28"/>
      <c r="AD45" s="66"/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16</v>
      </c>
      <c r="B46" s="46" t="s">
        <v>883</v>
      </c>
      <c r="C46" s="114">
        <v>1</v>
      </c>
      <c r="D46" s="20" t="s">
        <v>67</v>
      </c>
      <c r="E46" s="31" t="s">
        <v>613</v>
      </c>
      <c r="F46" s="22" t="s">
        <v>151</v>
      </c>
      <c r="G46" s="11" t="s">
        <v>9</v>
      </c>
      <c r="H46" s="98">
        <v>24422070060190</v>
      </c>
      <c r="I46" s="59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767</v>
      </c>
      <c r="U46" s="12" t="s">
        <v>886</v>
      </c>
      <c r="V46" s="90"/>
      <c r="W46" s="28"/>
      <c r="X46" s="43"/>
      <c r="Y46" s="28"/>
      <c r="Z46" s="28"/>
      <c r="AA46" s="28"/>
      <c r="AB46" s="28"/>
      <c r="AC46" s="28"/>
      <c r="AD46" s="66"/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 t="s">
        <v>16</v>
      </c>
      <c r="B47" s="46" t="s">
        <v>883</v>
      </c>
      <c r="C47" s="50"/>
      <c r="D47" s="20" t="s">
        <v>68</v>
      </c>
      <c r="E47" s="31" t="s">
        <v>614</v>
      </c>
      <c r="F47" s="22" t="s">
        <v>151</v>
      </c>
      <c r="G47" s="11" t="s">
        <v>9</v>
      </c>
      <c r="H47" s="98">
        <v>24422070060191</v>
      </c>
      <c r="I47" s="59"/>
      <c r="J47" s="71"/>
      <c r="K47" s="59"/>
      <c r="L47" s="59"/>
      <c r="M47" s="73" t="e">
        <f t="shared" si="0"/>
        <v>#NUM!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767</v>
      </c>
      <c r="U47" s="12" t="s">
        <v>886</v>
      </c>
      <c r="V47" s="90"/>
      <c r="W47" s="28"/>
      <c r="X47" s="43"/>
      <c r="Y47" s="28"/>
      <c r="Z47" s="28"/>
      <c r="AA47" s="28"/>
      <c r="AB47" s="28"/>
      <c r="AC47" s="28"/>
      <c r="AD47" s="66"/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spans="1:48" ht="15.75" customHeight="1" thickBot="1" x14ac:dyDescent="0.3">
      <c r="A48" s="1" t="s">
        <v>16</v>
      </c>
      <c r="B48" s="46" t="s">
        <v>883</v>
      </c>
      <c r="C48" s="114">
        <v>3</v>
      </c>
      <c r="D48" s="20" t="s">
        <v>69</v>
      </c>
      <c r="E48" s="31" t="s">
        <v>615</v>
      </c>
      <c r="F48" s="22" t="s">
        <v>151</v>
      </c>
      <c r="G48" s="11" t="s">
        <v>9</v>
      </c>
      <c r="H48" s="98">
        <v>24422070060194</v>
      </c>
      <c r="I48" s="59"/>
      <c r="J48" s="71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767</v>
      </c>
      <c r="U48" s="12" t="s">
        <v>886</v>
      </c>
      <c r="V48" s="90"/>
      <c r="W48" s="28"/>
      <c r="X48" s="43"/>
      <c r="Y48" s="28"/>
      <c r="Z48" s="28"/>
      <c r="AA48" s="28"/>
      <c r="AB48" s="28"/>
      <c r="AC48" s="28"/>
      <c r="AD48" s="66"/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spans="1:46" ht="15.75" customHeight="1" thickBot="1" x14ac:dyDescent="0.3">
      <c r="A49" s="1" t="s">
        <v>16</v>
      </c>
      <c r="B49" s="46" t="s">
        <v>883</v>
      </c>
      <c r="C49" s="114">
        <v>2</v>
      </c>
      <c r="D49" s="20" t="s">
        <v>70</v>
      </c>
      <c r="E49" s="31" t="s">
        <v>616</v>
      </c>
      <c r="F49" s="22" t="s">
        <v>151</v>
      </c>
      <c r="G49" s="11" t="s">
        <v>9</v>
      </c>
      <c r="H49" s="98">
        <v>24422070060195</v>
      </c>
      <c r="I49" s="59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767</v>
      </c>
      <c r="U49" s="12" t="s">
        <v>886</v>
      </c>
      <c r="V49" s="90"/>
      <c r="W49" s="28"/>
      <c r="X49" s="43"/>
      <c r="Y49" s="28"/>
      <c r="Z49" s="28"/>
      <c r="AA49" s="28"/>
      <c r="AB49" s="28"/>
      <c r="AC49" s="28"/>
      <c r="AD49" s="66"/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1:46" ht="15.75" customHeight="1" thickBot="1" x14ac:dyDescent="0.3">
      <c r="A50" s="1" t="s">
        <v>16</v>
      </c>
      <c r="B50" s="46" t="s">
        <v>883</v>
      </c>
      <c r="C50" s="114">
        <v>1</v>
      </c>
      <c r="D50" s="20" t="s">
        <v>71</v>
      </c>
      <c r="E50" s="31" t="s">
        <v>617</v>
      </c>
      <c r="F50" s="22" t="s">
        <v>151</v>
      </c>
      <c r="G50" s="11" t="s">
        <v>9</v>
      </c>
      <c r="H50" s="98">
        <v>24422070060197</v>
      </c>
      <c r="I50" s="59"/>
      <c r="J50" s="71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767</v>
      </c>
      <c r="U50" s="12" t="s">
        <v>886</v>
      </c>
      <c r="V50" s="90"/>
      <c r="W50" s="28"/>
      <c r="X50" s="43"/>
      <c r="Y50" s="28"/>
      <c r="Z50" s="28"/>
      <c r="AA50" s="28"/>
      <c r="AB50" s="28"/>
      <c r="AC50" s="28"/>
      <c r="AD50" s="66"/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6" ht="15.75" customHeight="1" thickBot="1" x14ac:dyDescent="0.3">
      <c r="A51" s="1" t="s">
        <v>16</v>
      </c>
      <c r="B51" s="46" t="s">
        <v>882</v>
      </c>
      <c r="C51" s="114">
        <v>2</v>
      </c>
      <c r="D51" s="20" t="s">
        <v>72</v>
      </c>
      <c r="E51" s="31" t="s">
        <v>618</v>
      </c>
      <c r="F51" s="22" t="s">
        <v>151</v>
      </c>
      <c r="G51" s="11" t="s">
        <v>9</v>
      </c>
      <c r="H51" s="98">
        <v>24422070060198</v>
      </c>
      <c r="I51" s="59"/>
      <c r="J51" s="59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767</v>
      </c>
      <c r="U51" s="12" t="s">
        <v>886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6" ht="15.75" customHeight="1" thickBot="1" x14ac:dyDescent="0.3">
      <c r="A52" s="1" t="s">
        <v>16</v>
      </c>
      <c r="B52" s="52" t="s">
        <v>883</v>
      </c>
      <c r="C52" s="115">
        <v>1</v>
      </c>
      <c r="D52" s="20" t="s">
        <v>73</v>
      </c>
      <c r="E52" s="31" t="s">
        <v>619</v>
      </c>
      <c r="F52" s="22" t="s">
        <v>151</v>
      </c>
      <c r="G52" s="11" t="s">
        <v>9</v>
      </c>
      <c r="H52" s="98">
        <v>24422070060147</v>
      </c>
      <c r="I52" s="59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767</v>
      </c>
      <c r="U52" s="12" t="s">
        <v>886</v>
      </c>
      <c r="V52" s="90"/>
      <c r="W52" s="28"/>
      <c r="X52" s="43"/>
      <c r="Y52" s="28"/>
      <c r="Z52" s="28"/>
      <c r="AA52" s="28"/>
      <c r="AB52" s="28"/>
      <c r="AC52" s="28"/>
      <c r="AD52" s="66"/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6" ht="15.75" customHeight="1" thickBot="1" x14ac:dyDescent="0.3">
      <c r="A53" s="1" t="s">
        <v>16</v>
      </c>
      <c r="B53" s="53" t="s">
        <v>883</v>
      </c>
      <c r="C53" s="127">
        <v>1</v>
      </c>
      <c r="D53" s="20" t="s">
        <v>74</v>
      </c>
      <c r="E53" s="31" t="s">
        <v>620</v>
      </c>
      <c r="F53" s="22" t="s">
        <v>151</v>
      </c>
      <c r="G53" s="11" t="s">
        <v>9</v>
      </c>
      <c r="H53" s="98">
        <v>24422070060200</v>
      </c>
      <c r="I53" s="59"/>
      <c r="J53" s="71"/>
      <c r="K53" s="59"/>
      <c r="L53" s="59"/>
      <c r="M53" s="73" t="e">
        <f t="shared" si="0"/>
        <v>#NUM!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767</v>
      </c>
      <c r="U53" s="12" t="s">
        <v>886</v>
      </c>
      <c r="V53" s="90"/>
      <c r="W53" s="28"/>
      <c r="X53" s="43"/>
      <c r="Y53" s="28"/>
      <c r="Z53" s="28"/>
      <c r="AA53" s="28"/>
      <c r="AB53" s="28"/>
      <c r="AC53" s="28"/>
      <c r="AD53" s="66"/>
      <c r="AE53" s="28"/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6" ht="15.75" customHeight="1" thickBot="1" x14ac:dyDescent="0.3">
      <c r="A54" s="1" t="s">
        <v>16</v>
      </c>
      <c r="B54" s="54" t="s">
        <v>883</v>
      </c>
      <c r="C54" s="57"/>
      <c r="D54" s="20" t="s">
        <v>75</v>
      </c>
      <c r="E54" s="31" t="s">
        <v>621</v>
      </c>
      <c r="F54" s="22" t="s">
        <v>151</v>
      </c>
      <c r="G54" s="11" t="s">
        <v>9</v>
      </c>
      <c r="H54" s="98">
        <v>24422070060201</v>
      </c>
      <c r="I54" s="59"/>
      <c r="J54" s="71"/>
      <c r="K54" s="59"/>
      <c r="L54" s="59"/>
      <c r="M54" s="73" t="e">
        <f t="shared" si="0"/>
        <v>#NUM!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767</v>
      </c>
      <c r="U54" s="12" t="s">
        <v>886</v>
      </c>
      <c r="V54" s="90"/>
      <c r="W54" s="28"/>
      <c r="X54" s="43"/>
      <c r="Y54" s="28"/>
      <c r="Z54" s="28"/>
      <c r="AA54" s="28"/>
      <c r="AB54" s="28"/>
      <c r="AC54" s="28"/>
      <c r="AD54" s="66"/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6" ht="17.25" customHeight="1" thickBot="1" x14ac:dyDescent="0.3">
      <c r="A55" s="1" t="s">
        <v>16</v>
      </c>
      <c r="B55" s="52" t="s">
        <v>883</v>
      </c>
      <c r="C55" s="55"/>
      <c r="D55" s="20" t="s">
        <v>76</v>
      </c>
      <c r="E55" s="31" t="s">
        <v>622</v>
      </c>
      <c r="F55" s="22" t="s">
        <v>151</v>
      </c>
      <c r="G55" s="11" t="s">
        <v>9</v>
      </c>
      <c r="H55" s="98">
        <v>24422070060202</v>
      </c>
      <c r="I55" s="59"/>
      <c r="J55" s="59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767</v>
      </c>
      <c r="U55" s="12" t="s">
        <v>886</v>
      </c>
      <c r="V55" s="90" t="s">
        <v>777</v>
      </c>
      <c r="W55" s="28" t="s">
        <v>748</v>
      </c>
      <c r="X55" s="43" t="s">
        <v>155</v>
      </c>
      <c r="Y55" s="28"/>
      <c r="Z55" s="28">
        <v>1</v>
      </c>
      <c r="AA55" s="28">
        <v>1</v>
      </c>
      <c r="AB55" s="28">
        <v>2</v>
      </c>
      <c r="AC55" s="28"/>
      <c r="AD55" s="66">
        <v>1</v>
      </c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6" ht="15.75" customHeight="1" thickBot="1" x14ac:dyDescent="0.3">
      <c r="A56" s="1" t="s">
        <v>16</v>
      </c>
      <c r="B56" s="54" t="s">
        <v>883</v>
      </c>
      <c r="C56" s="116">
        <v>1</v>
      </c>
      <c r="D56" s="20" t="s">
        <v>77</v>
      </c>
      <c r="E56" s="31" t="s">
        <v>623</v>
      </c>
      <c r="F56" s="22" t="s">
        <v>151</v>
      </c>
      <c r="G56" s="11" t="s">
        <v>9</v>
      </c>
      <c r="H56" s="98">
        <v>24422070060204</v>
      </c>
      <c r="I56" s="59"/>
      <c r="J56" s="71"/>
      <c r="K56" s="59"/>
      <c r="L56" s="59"/>
      <c r="M56" s="73" t="e">
        <f t="shared" si="0"/>
        <v>#NUM!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767</v>
      </c>
      <c r="U56" s="12" t="s">
        <v>886</v>
      </c>
      <c r="V56" s="90"/>
      <c r="W56" s="28"/>
      <c r="X56" s="43"/>
      <c r="Y56" s="28"/>
      <c r="Z56" s="28"/>
      <c r="AA56" s="28"/>
      <c r="AB56" s="28"/>
      <c r="AC56" s="28"/>
      <c r="AD56" s="66"/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6" ht="15.75" customHeight="1" thickBot="1" x14ac:dyDescent="0.3">
      <c r="A57" s="1" t="s">
        <v>16</v>
      </c>
      <c r="B57" s="54" t="s">
        <v>883</v>
      </c>
      <c r="C57" s="57"/>
      <c r="D57" s="20" t="s">
        <v>78</v>
      </c>
      <c r="E57" s="31" t="s">
        <v>624</v>
      </c>
      <c r="F57" s="22" t="s">
        <v>151</v>
      </c>
      <c r="G57" s="11" t="s">
        <v>9</v>
      </c>
      <c r="H57" s="98">
        <v>24422070060205</v>
      </c>
      <c r="I57" s="59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767</v>
      </c>
      <c r="U57" s="12" t="s">
        <v>886</v>
      </c>
      <c r="V57" s="90"/>
      <c r="W57" s="28"/>
      <c r="X57" s="43"/>
      <c r="Y57" s="28"/>
      <c r="Z57" s="28"/>
      <c r="AA57" s="28"/>
      <c r="AB57" s="28"/>
      <c r="AC57" s="28"/>
      <c r="AD57" s="66"/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6" ht="15.75" customHeight="1" thickBot="1" x14ac:dyDescent="0.3">
      <c r="A58" s="1" t="s">
        <v>16</v>
      </c>
      <c r="B58" s="54" t="s">
        <v>883</v>
      </c>
      <c r="C58" s="57"/>
      <c r="D58" s="20" t="s">
        <v>79</v>
      </c>
      <c r="E58" s="31" t="s">
        <v>625</v>
      </c>
      <c r="F58" s="22" t="s">
        <v>151</v>
      </c>
      <c r="G58" s="11" t="s">
        <v>9</v>
      </c>
      <c r="H58" s="98">
        <v>24422070060150</v>
      </c>
      <c r="I58" s="59" t="s">
        <v>159</v>
      </c>
      <c r="J58" s="71">
        <v>2</v>
      </c>
      <c r="K58" s="59" t="s">
        <v>798</v>
      </c>
      <c r="L58" s="59" t="s">
        <v>770</v>
      </c>
      <c r="M58" s="73">
        <f t="shared" si="0"/>
        <v>46063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767</v>
      </c>
      <c r="U58" s="12" t="s">
        <v>886</v>
      </c>
      <c r="V58" s="90" t="s">
        <v>777</v>
      </c>
      <c r="W58" s="28" t="s">
        <v>814</v>
      </c>
      <c r="X58" s="43" t="s">
        <v>771</v>
      </c>
      <c r="Y58" s="28"/>
      <c r="Z58" s="28">
        <v>1</v>
      </c>
      <c r="AA58" s="15">
        <v>1</v>
      </c>
      <c r="AB58" s="28">
        <v>1</v>
      </c>
      <c r="AC58" s="15">
        <v>2</v>
      </c>
      <c r="AD58" s="68">
        <v>1</v>
      </c>
      <c r="AE58" s="28"/>
      <c r="AF58" s="15"/>
      <c r="AG58" s="28"/>
      <c r="AH58" s="81"/>
      <c r="AI58" s="28"/>
      <c r="AJ58" s="25"/>
      <c r="AK58" s="25"/>
      <c r="AL58" s="16"/>
      <c r="AM58" s="25"/>
      <c r="AN58" s="16"/>
      <c r="AO58" s="25"/>
      <c r="AP58" s="25"/>
      <c r="AQ58" s="16"/>
      <c r="AR58" s="25"/>
      <c r="AS58" s="16"/>
      <c r="AT58" s="25"/>
    </row>
    <row r="59" spans="1:46" ht="15.75" customHeight="1" thickBot="1" x14ac:dyDescent="0.3">
      <c r="A59" s="1" t="s">
        <v>16</v>
      </c>
      <c r="B59" s="54" t="s">
        <v>883</v>
      </c>
      <c r="C59" s="57"/>
      <c r="D59" s="20" t="s">
        <v>80</v>
      </c>
      <c r="E59" s="130" t="s">
        <v>849</v>
      </c>
      <c r="F59" s="22" t="s">
        <v>151</v>
      </c>
      <c r="G59" s="11" t="s">
        <v>9</v>
      </c>
      <c r="H59" s="98">
        <v>23422070060213</v>
      </c>
      <c r="I59" s="59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767</v>
      </c>
      <c r="U59" s="12" t="s">
        <v>886</v>
      </c>
      <c r="V59" s="90"/>
      <c r="W59" s="28"/>
      <c r="X59" s="43"/>
      <c r="Y59" s="28"/>
      <c r="Z59" s="28"/>
      <c r="AA59" s="15"/>
      <c r="AB59" s="28"/>
      <c r="AC59" s="15"/>
      <c r="AD59" s="68"/>
      <c r="AE59" s="28"/>
      <c r="AF59" s="15"/>
      <c r="AG59" s="28"/>
      <c r="AH59" s="81"/>
      <c r="AI59" s="28"/>
      <c r="AJ59" s="86"/>
      <c r="AK59" s="86"/>
      <c r="AL59" s="16"/>
      <c r="AM59" s="86"/>
      <c r="AN59" s="16"/>
      <c r="AO59" s="86"/>
      <c r="AP59" s="86"/>
      <c r="AQ59" s="16"/>
      <c r="AR59" s="86"/>
      <c r="AS59" s="16"/>
      <c r="AT59" s="86"/>
    </row>
    <row r="60" spans="1:46" ht="15.75" customHeight="1" thickBot="1" x14ac:dyDescent="0.3">
      <c r="A60" s="1" t="s">
        <v>16</v>
      </c>
      <c r="B60" s="54" t="s">
        <v>883</v>
      </c>
      <c r="C60" s="57"/>
      <c r="D60" s="20" t="s">
        <v>81</v>
      </c>
      <c r="E60" s="31" t="s">
        <v>626</v>
      </c>
      <c r="F60" s="22" t="s">
        <v>151</v>
      </c>
      <c r="G60" s="11" t="s">
        <v>9</v>
      </c>
      <c r="H60" s="98">
        <v>24422070060151</v>
      </c>
      <c r="I60" s="59"/>
      <c r="J60" s="71"/>
      <c r="K60" s="59"/>
      <c r="L60" s="59"/>
      <c r="M60" s="73" t="e">
        <f t="shared" ref="M60:M122" si="3">DATE(L60,J60,I60)</f>
        <v>#NUM!</v>
      </c>
      <c r="N60" s="23" t="e">
        <f t="shared" si="2"/>
        <v>#NUM!</v>
      </c>
      <c r="O60" s="73" t="e">
        <f t="shared" ref="O60:O122" si="4">DATE(S60,Q60,P60)</f>
        <v>#NUM!</v>
      </c>
      <c r="P60" s="59"/>
      <c r="Q60" s="59"/>
      <c r="R60" s="59"/>
      <c r="S60" s="59"/>
      <c r="T60" s="12" t="s">
        <v>767</v>
      </c>
      <c r="U60" s="12" t="s">
        <v>886</v>
      </c>
      <c r="V60" s="90"/>
      <c r="W60" s="28"/>
      <c r="X60" s="43"/>
      <c r="Y60" s="28"/>
      <c r="Z60" s="28"/>
      <c r="AA60" s="65"/>
      <c r="AB60" s="65"/>
      <c r="AC60" s="65"/>
      <c r="AD60" s="67"/>
      <c r="AE60" s="65"/>
      <c r="AF60" s="65"/>
      <c r="AG60" s="65"/>
      <c r="AH60" s="82"/>
      <c r="AI60" s="65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</row>
    <row r="61" spans="1:46" ht="15.75" customHeight="1" thickBot="1" x14ac:dyDescent="0.3">
      <c r="A61" s="1" t="s">
        <v>16</v>
      </c>
      <c r="B61" s="54" t="s">
        <v>883</v>
      </c>
      <c r="C61" s="57"/>
      <c r="D61" s="20" t="s">
        <v>82</v>
      </c>
      <c r="E61" s="31" t="s">
        <v>627</v>
      </c>
      <c r="F61" s="22" t="s">
        <v>151</v>
      </c>
      <c r="G61" s="11" t="s">
        <v>9</v>
      </c>
      <c r="H61" s="98">
        <v>24422070060244</v>
      </c>
      <c r="I61" s="59" t="s">
        <v>839</v>
      </c>
      <c r="J61" s="71">
        <v>3</v>
      </c>
      <c r="K61" s="59" t="s">
        <v>837</v>
      </c>
      <c r="L61" s="59" t="s">
        <v>770</v>
      </c>
      <c r="M61" s="73">
        <f t="shared" si="3"/>
        <v>46084</v>
      </c>
      <c r="N61" s="23" t="e">
        <f t="shared" ref="N61:N123" si="5">DATEDIF(M61,O61,"m")</f>
        <v>#NUM!</v>
      </c>
      <c r="O61" s="73" t="e">
        <f t="shared" si="4"/>
        <v>#NUM!</v>
      </c>
      <c r="P61" s="59"/>
      <c r="Q61" s="59"/>
      <c r="R61" s="59"/>
      <c r="S61" s="59"/>
      <c r="T61" s="12" t="s">
        <v>767</v>
      </c>
      <c r="U61" s="12" t="s">
        <v>886</v>
      </c>
      <c r="V61" s="90" t="s">
        <v>777</v>
      </c>
      <c r="W61" s="28" t="s">
        <v>19</v>
      </c>
      <c r="X61" s="43" t="s">
        <v>771</v>
      </c>
      <c r="Y61" s="28"/>
      <c r="Z61" s="28">
        <v>1</v>
      </c>
      <c r="AA61" s="28">
        <v>1</v>
      </c>
      <c r="AB61" s="65">
        <v>2</v>
      </c>
      <c r="AC61" s="28">
        <v>2</v>
      </c>
      <c r="AD61" s="66">
        <v>1</v>
      </c>
      <c r="AE61" s="65"/>
      <c r="AF61" s="28"/>
      <c r="AG61" s="65"/>
      <c r="AH61" s="20"/>
      <c r="AI61" s="65"/>
      <c r="AJ61" s="16"/>
      <c r="AK61" s="16"/>
      <c r="AL61" s="29"/>
      <c r="AM61" s="16"/>
      <c r="AN61" s="29"/>
      <c r="AO61" s="16"/>
      <c r="AP61" s="16"/>
      <c r="AQ61" s="29"/>
      <c r="AR61" s="16"/>
      <c r="AS61" s="29"/>
      <c r="AT61" s="16"/>
    </row>
    <row r="62" spans="1:46" ht="15.75" customHeight="1" thickBot="1" x14ac:dyDescent="0.3">
      <c r="A62" s="1" t="s">
        <v>16</v>
      </c>
      <c r="B62" s="54" t="s">
        <v>883</v>
      </c>
      <c r="C62" s="57"/>
      <c r="D62" s="20" t="s">
        <v>83</v>
      </c>
      <c r="E62" s="31" t="s">
        <v>628</v>
      </c>
      <c r="F62" s="22" t="s">
        <v>151</v>
      </c>
      <c r="G62" s="11" t="s">
        <v>9</v>
      </c>
      <c r="H62" s="98">
        <v>24422070060207</v>
      </c>
      <c r="I62" s="59"/>
      <c r="J62" s="59"/>
      <c r="K62" s="59"/>
      <c r="L62" s="59"/>
      <c r="M62" s="73" t="e">
        <f t="shared" si="3"/>
        <v>#NUM!</v>
      </c>
      <c r="N62" s="23" t="e">
        <f t="shared" si="5"/>
        <v>#NUM!</v>
      </c>
      <c r="O62" s="73" t="e">
        <f t="shared" si="4"/>
        <v>#NUM!</v>
      </c>
      <c r="P62" s="59"/>
      <c r="Q62" s="59"/>
      <c r="R62" s="59"/>
      <c r="S62" s="59"/>
      <c r="T62" s="12" t="s">
        <v>767</v>
      </c>
      <c r="U62" s="12" t="s">
        <v>886</v>
      </c>
      <c r="V62" s="90"/>
      <c r="W62" s="28"/>
      <c r="X62" s="43"/>
      <c r="Y62" s="28"/>
      <c r="Z62" s="28"/>
      <c r="AA62" s="28"/>
      <c r="AB62" s="65"/>
      <c r="AC62" s="28"/>
      <c r="AD62" s="66"/>
      <c r="AE62" s="65"/>
      <c r="AF62" s="28"/>
      <c r="AG62" s="65"/>
      <c r="AH62" s="20"/>
      <c r="AI62" s="65"/>
      <c r="AJ62" s="16"/>
      <c r="AK62" s="16"/>
      <c r="AL62" s="29"/>
      <c r="AM62" s="16"/>
      <c r="AN62" s="29"/>
      <c r="AO62" s="16"/>
      <c r="AP62" s="16"/>
      <c r="AQ62" s="29"/>
      <c r="AR62" s="16"/>
      <c r="AS62" s="29"/>
      <c r="AT62" s="16"/>
    </row>
    <row r="63" spans="1:46" ht="15.75" customHeight="1" thickBot="1" x14ac:dyDescent="0.3">
      <c r="A63" s="1" t="s">
        <v>16</v>
      </c>
      <c r="B63" s="54" t="s">
        <v>883</v>
      </c>
      <c r="C63" s="57"/>
      <c r="D63" s="20" t="s">
        <v>84</v>
      </c>
      <c r="E63" s="31" t="s">
        <v>629</v>
      </c>
      <c r="F63" s="22" t="s">
        <v>151</v>
      </c>
      <c r="G63" s="11" t="s">
        <v>9</v>
      </c>
      <c r="H63" s="98">
        <v>24422070060209</v>
      </c>
      <c r="I63" s="59"/>
      <c r="J63" s="59"/>
      <c r="K63" s="59"/>
      <c r="L63" s="59"/>
      <c r="M63" s="73" t="e">
        <f t="shared" si="3"/>
        <v>#NUM!</v>
      </c>
      <c r="N63" s="23" t="e">
        <f t="shared" si="5"/>
        <v>#NUM!</v>
      </c>
      <c r="O63" s="73" t="e">
        <f t="shared" si="4"/>
        <v>#NUM!</v>
      </c>
      <c r="P63" s="59"/>
      <c r="Q63" s="59"/>
      <c r="R63" s="59"/>
      <c r="S63" s="59"/>
      <c r="T63" s="12" t="s">
        <v>767</v>
      </c>
      <c r="U63" s="12" t="s">
        <v>886</v>
      </c>
      <c r="V63" s="90"/>
      <c r="W63" s="28"/>
      <c r="X63" s="43"/>
      <c r="Y63" s="28"/>
      <c r="Z63" s="28"/>
      <c r="AA63" s="28"/>
      <c r="AB63" s="65"/>
      <c r="AC63" s="28"/>
      <c r="AD63" s="66"/>
      <c r="AE63" s="65"/>
      <c r="AF63" s="28"/>
      <c r="AG63" s="65"/>
      <c r="AH63" s="20"/>
      <c r="AI63" s="65"/>
      <c r="AJ63" s="16"/>
      <c r="AK63" s="16"/>
      <c r="AL63" s="29"/>
      <c r="AM63" s="16"/>
      <c r="AN63" s="29"/>
      <c r="AO63" s="16"/>
      <c r="AP63" s="16"/>
      <c r="AQ63" s="29"/>
      <c r="AR63" s="16"/>
      <c r="AS63" s="29"/>
      <c r="AT63" s="16"/>
    </row>
    <row r="64" spans="1:46" ht="15.75" customHeight="1" thickBot="1" x14ac:dyDescent="0.3">
      <c r="A64" s="1" t="s">
        <v>16</v>
      </c>
      <c r="B64" s="54" t="s">
        <v>883</v>
      </c>
      <c r="C64" s="57"/>
      <c r="D64" s="20" t="s">
        <v>85</v>
      </c>
      <c r="E64" s="31" t="s">
        <v>630</v>
      </c>
      <c r="F64" s="22" t="s">
        <v>151</v>
      </c>
      <c r="G64" s="11" t="s">
        <v>9</v>
      </c>
      <c r="H64" s="98">
        <v>24422070060250</v>
      </c>
      <c r="I64" s="59" t="s">
        <v>791</v>
      </c>
      <c r="J64" s="71">
        <v>2</v>
      </c>
      <c r="K64" s="59" t="s">
        <v>798</v>
      </c>
      <c r="L64" s="71">
        <v>2026</v>
      </c>
      <c r="M64" s="73">
        <f t="shared" si="3"/>
        <v>46076</v>
      </c>
      <c r="N64" s="23" t="e">
        <f t="shared" si="5"/>
        <v>#NUM!</v>
      </c>
      <c r="O64" s="73" t="e">
        <f t="shared" si="4"/>
        <v>#NUM!</v>
      </c>
      <c r="P64" s="59"/>
      <c r="Q64" s="59"/>
      <c r="R64" s="59"/>
      <c r="S64" s="59"/>
      <c r="T64" s="12" t="s">
        <v>767</v>
      </c>
      <c r="U64" s="12" t="s">
        <v>886</v>
      </c>
      <c r="V64" s="90" t="s">
        <v>777</v>
      </c>
      <c r="W64" s="28" t="s">
        <v>744</v>
      </c>
      <c r="X64" s="43" t="s">
        <v>155</v>
      </c>
      <c r="Y64" s="28"/>
      <c r="Z64" s="28">
        <v>1</v>
      </c>
      <c r="AA64" s="15">
        <v>1</v>
      </c>
      <c r="AB64" s="15">
        <v>1</v>
      </c>
      <c r="AC64" s="15">
        <v>1</v>
      </c>
      <c r="AD64" s="68">
        <v>1</v>
      </c>
      <c r="AE64" s="15"/>
      <c r="AF64" s="15"/>
      <c r="AG64" s="15"/>
      <c r="AH64" s="81"/>
      <c r="AI64" s="1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</row>
    <row r="65" spans="1:46" ht="15.75" customHeight="1" thickBot="1" x14ac:dyDescent="0.3">
      <c r="A65" s="1" t="s">
        <v>16</v>
      </c>
      <c r="B65" s="54" t="s">
        <v>883</v>
      </c>
      <c r="C65" s="57"/>
      <c r="D65" s="20" t="s">
        <v>86</v>
      </c>
      <c r="E65" s="31" t="s">
        <v>631</v>
      </c>
      <c r="F65" s="22" t="s">
        <v>151</v>
      </c>
      <c r="G65" s="11" t="s">
        <v>9</v>
      </c>
      <c r="H65" s="98">
        <v>24422070060210</v>
      </c>
      <c r="I65" s="59"/>
      <c r="J65" s="59"/>
      <c r="K65" s="59"/>
      <c r="L65" s="59"/>
      <c r="M65" s="73" t="e">
        <f t="shared" si="3"/>
        <v>#NUM!</v>
      </c>
      <c r="N65" s="23" t="e">
        <f t="shared" si="5"/>
        <v>#NUM!</v>
      </c>
      <c r="O65" s="73" t="e">
        <f t="shared" si="4"/>
        <v>#NUM!</v>
      </c>
      <c r="P65" s="59"/>
      <c r="Q65" s="59"/>
      <c r="R65" s="59"/>
      <c r="S65" s="59"/>
      <c r="T65" s="12" t="s">
        <v>767</v>
      </c>
      <c r="U65" s="12" t="s">
        <v>886</v>
      </c>
      <c r="V65" s="90"/>
      <c r="W65" s="28"/>
      <c r="X65" s="43"/>
      <c r="Y65" s="28"/>
      <c r="Z65" s="28"/>
      <c r="AA65" s="15"/>
      <c r="AB65" s="15"/>
      <c r="AC65" s="15"/>
      <c r="AD65" s="68"/>
      <c r="AE65" s="15"/>
      <c r="AF65" s="15"/>
      <c r="AG65" s="15"/>
      <c r="AH65" s="81"/>
      <c r="AI65" s="1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</row>
    <row r="66" spans="1:46" ht="15.75" customHeight="1" thickBot="1" x14ac:dyDescent="0.3">
      <c r="A66" s="1" t="s">
        <v>16</v>
      </c>
      <c r="B66" s="54" t="s">
        <v>883</v>
      </c>
      <c r="C66" s="57"/>
      <c r="D66" s="20" t="s">
        <v>87</v>
      </c>
      <c r="E66" s="31" t="s">
        <v>632</v>
      </c>
      <c r="F66" s="22" t="s">
        <v>151</v>
      </c>
      <c r="G66" s="11" t="s">
        <v>9</v>
      </c>
      <c r="H66" s="98">
        <v>24422070060558</v>
      </c>
      <c r="I66" s="59" t="s">
        <v>858</v>
      </c>
      <c r="J66" s="59" t="s">
        <v>810</v>
      </c>
      <c r="K66" s="59" t="s">
        <v>187</v>
      </c>
      <c r="L66" s="59" t="s">
        <v>770</v>
      </c>
      <c r="M66" s="73">
        <f t="shared" si="3"/>
        <v>46050</v>
      </c>
      <c r="N66" s="23" t="e">
        <f t="shared" si="5"/>
        <v>#NUM!</v>
      </c>
      <c r="O66" s="73" t="e">
        <f t="shared" si="4"/>
        <v>#NUM!</v>
      </c>
      <c r="P66" s="59"/>
      <c r="Q66" s="59"/>
      <c r="R66" s="59"/>
      <c r="S66" s="59"/>
      <c r="T66" s="12" t="s">
        <v>767</v>
      </c>
      <c r="U66" s="12" t="s">
        <v>886</v>
      </c>
      <c r="V66" s="90" t="s">
        <v>777</v>
      </c>
      <c r="W66" s="28" t="s">
        <v>815</v>
      </c>
      <c r="X66" s="43" t="s">
        <v>155</v>
      </c>
      <c r="Y66" s="28"/>
      <c r="Z66" s="28">
        <v>1</v>
      </c>
      <c r="AA66" s="15">
        <v>1</v>
      </c>
      <c r="AB66" s="15">
        <v>2</v>
      </c>
      <c r="AC66" s="15">
        <v>2</v>
      </c>
      <c r="AD66" s="68">
        <v>1</v>
      </c>
      <c r="AE66" s="15"/>
      <c r="AF66" s="15"/>
      <c r="AG66" s="15"/>
      <c r="AH66" s="81"/>
      <c r="AI66" s="1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</row>
    <row r="67" spans="1:46" ht="15.75" customHeight="1" thickBot="1" x14ac:dyDescent="0.3">
      <c r="A67" s="1" t="s">
        <v>16</v>
      </c>
      <c r="B67" s="54" t="s">
        <v>883</v>
      </c>
      <c r="C67" s="57"/>
      <c r="D67" s="20" t="s">
        <v>88</v>
      </c>
      <c r="E67" s="130" t="s">
        <v>850</v>
      </c>
      <c r="F67" s="22" t="s">
        <v>151</v>
      </c>
      <c r="G67" s="11" t="s">
        <v>9</v>
      </c>
      <c r="H67" s="98">
        <v>24422070060635</v>
      </c>
      <c r="I67" s="59"/>
      <c r="J67" s="59"/>
      <c r="K67" s="59"/>
      <c r="L67" s="59"/>
      <c r="M67" s="73" t="e">
        <f t="shared" si="3"/>
        <v>#NUM!</v>
      </c>
      <c r="N67" s="23" t="e">
        <f t="shared" si="5"/>
        <v>#NUM!</v>
      </c>
      <c r="O67" s="73" t="e">
        <f t="shared" si="4"/>
        <v>#NUM!</v>
      </c>
      <c r="P67" s="59"/>
      <c r="Q67" s="59"/>
      <c r="R67" s="59"/>
      <c r="S67" s="59"/>
      <c r="T67" s="12" t="s">
        <v>767</v>
      </c>
      <c r="U67" s="12" t="s">
        <v>886</v>
      </c>
      <c r="V67" s="90"/>
      <c r="W67" s="28"/>
      <c r="X67" s="43"/>
      <c r="Y67" s="28"/>
      <c r="Z67" s="28"/>
      <c r="AA67" s="15"/>
      <c r="AB67" s="15"/>
      <c r="AC67" s="15"/>
      <c r="AD67" s="68"/>
      <c r="AE67" s="15"/>
      <c r="AF67" s="15"/>
      <c r="AG67" s="15"/>
      <c r="AH67" s="81"/>
      <c r="AI67" s="15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</row>
    <row r="68" spans="1:46" ht="15.75" customHeight="1" thickBot="1" x14ac:dyDescent="0.3">
      <c r="A68" s="1" t="s">
        <v>16</v>
      </c>
      <c r="B68" s="54" t="s">
        <v>883</v>
      </c>
      <c r="C68" s="57"/>
      <c r="D68" s="20" t="s">
        <v>89</v>
      </c>
      <c r="E68" s="31" t="s">
        <v>633</v>
      </c>
      <c r="F68" s="22" t="s">
        <v>151</v>
      </c>
      <c r="G68" s="11" t="s">
        <v>9</v>
      </c>
      <c r="H68" s="98">
        <v>24422070060162</v>
      </c>
      <c r="I68" s="59"/>
      <c r="J68" s="59"/>
      <c r="K68" s="59"/>
      <c r="L68" s="59"/>
      <c r="M68" s="73" t="e">
        <f t="shared" si="3"/>
        <v>#NUM!</v>
      </c>
      <c r="N68" s="23" t="e">
        <f t="shared" si="5"/>
        <v>#NUM!</v>
      </c>
      <c r="O68" s="73" t="e">
        <f t="shared" si="4"/>
        <v>#NUM!</v>
      </c>
      <c r="P68" s="59"/>
      <c r="Q68" s="59"/>
      <c r="R68" s="59"/>
      <c r="S68" s="59"/>
      <c r="T68" s="12" t="s">
        <v>767</v>
      </c>
      <c r="U68" s="12" t="s">
        <v>886</v>
      </c>
      <c r="V68" s="90"/>
      <c r="W68" s="28"/>
      <c r="X68" s="43"/>
      <c r="Y68" s="28"/>
      <c r="Z68" s="28"/>
      <c r="AA68" s="65"/>
      <c r="AB68" s="65"/>
      <c r="AC68" s="65"/>
      <c r="AD68" s="67"/>
      <c r="AE68" s="65"/>
      <c r="AF68" s="65"/>
      <c r="AG68" s="65"/>
      <c r="AH68" s="82"/>
      <c r="AI68" s="65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</row>
    <row r="69" spans="1:46" ht="15.75" customHeight="1" thickBot="1" x14ac:dyDescent="0.3">
      <c r="A69" s="1" t="s">
        <v>16</v>
      </c>
      <c r="B69" s="54" t="s">
        <v>883</v>
      </c>
      <c r="C69" s="57"/>
      <c r="D69" s="20" t="s">
        <v>90</v>
      </c>
      <c r="E69" s="31" t="s">
        <v>634</v>
      </c>
      <c r="F69" s="22" t="s">
        <v>151</v>
      </c>
      <c r="G69" s="11" t="s">
        <v>9</v>
      </c>
      <c r="H69" s="98">
        <v>24422070060212</v>
      </c>
      <c r="I69" s="59"/>
      <c r="J69" s="71"/>
      <c r="K69" s="59"/>
      <c r="L69" s="59"/>
      <c r="M69" s="73" t="e">
        <f t="shared" si="3"/>
        <v>#NUM!</v>
      </c>
      <c r="N69" s="23" t="e">
        <f t="shared" si="5"/>
        <v>#NUM!</v>
      </c>
      <c r="O69" s="73" t="e">
        <f t="shared" si="4"/>
        <v>#NUM!</v>
      </c>
      <c r="P69" s="59"/>
      <c r="Q69" s="59"/>
      <c r="R69" s="59"/>
      <c r="S69" s="59"/>
      <c r="T69" s="12" t="s">
        <v>767</v>
      </c>
      <c r="U69" s="12" t="s">
        <v>886</v>
      </c>
      <c r="V69" s="90" t="s">
        <v>777</v>
      </c>
      <c r="W69" s="28" t="s">
        <v>867</v>
      </c>
      <c r="X69" s="43" t="s">
        <v>771</v>
      </c>
      <c r="Y69" s="28"/>
      <c r="Z69" s="28">
        <v>2</v>
      </c>
      <c r="AA69" s="15">
        <v>2</v>
      </c>
      <c r="AB69" s="15"/>
      <c r="AC69" s="15"/>
      <c r="AD69" s="68">
        <v>2</v>
      </c>
      <c r="AE69" s="15"/>
      <c r="AF69" s="15"/>
      <c r="AG69" s="15"/>
      <c r="AH69" s="81"/>
      <c r="AI69" s="1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</row>
    <row r="70" spans="1:46" ht="15.75" customHeight="1" thickBot="1" x14ac:dyDescent="0.3">
      <c r="A70" s="1" t="s">
        <v>16</v>
      </c>
      <c r="B70" s="54" t="s">
        <v>883</v>
      </c>
      <c r="C70" s="57"/>
      <c r="D70" s="20" t="s">
        <v>91</v>
      </c>
      <c r="E70" s="31" t="s">
        <v>635</v>
      </c>
      <c r="F70" s="22" t="s">
        <v>151</v>
      </c>
      <c r="G70" s="11" t="s">
        <v>9</v>
      </c>
      <c r="H70" s="98">
        <v>24422070060213</v>
      </c>
      <c r="I70" s="59"/>
      <c r="J70" s="71"/>
      <c r="K70" s="59"/>
      <c r="L70" s="59"/>
      <c r="M70" s="73" t="e">
        <f t="shared" si="3"/>
        <v>#NUM!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767</v>
      </c>
      <c r="U70" s="12" t="s">
        <v>886</v>
      </c>
      <c r="V70" s="90"/>
      <c r="W70" s="28"/>
      <c r="X70" s="43"/>
      <c r="Y70" s="28"/>
      <c r="Z70" s="28"/>
      <c r="AA70" s="15"/>
      <c r="AB70" s="15"/>
      <c r="AC70" s="15"/>
      <c r="AD70" s="68"/>
      <c r="AE70" s="15"/>
      <c r="AF70" s="15"/>
      <c r="AG70" s="15"/>
      <c r="AH70" s="81"/>
      <c r="AI70" s="1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</row>
    <row r="71" spans="1:46" ht="15.75" customHeight="1" thickBot="1" x14ac:dyDescent="0.3">
      <c r="A71" s="1" t="s">
        <v>16</v>
      </c>
      <c r="B71" s="54" t="s">
        <v>883</v>
      </c>
      <c r="C71" s="57"/>
      <c r="D71" s="20" t="s">
        <v>92</v>
      </c>
      <c r="E71" s="31" t="s">
        <v>636</v>
      </c>
      <c r="F71" s="22" t="s">
        <v>151</v>
      </c>
      <c r="G71" s="11" t="s">
        <v>9</v>
      </c>
      <c r="H71" s="98">
        <v>24422070060214</v>
      </c>
      <c r="I71" s="59"/>
      <c r="J71" s="71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767</v>
      </c>
      <c r="U71" s="12" t="s">
        <v>886</v>
      </c>
      <c r="V71" s="90"/>
      <c r="W71" s="28"/>
      <c r="X71" s="43"/>
      <c r="Y71" s="28"/>
      <c r="Z71" s="28"/>
      <c r="AA71" s="15"/>
      <c r="AB71" s="15">
        <v>2</v>
      </c>
      <c r="AC71" s="15"/>
      <c r="AD71" s="68"/>
      <c r="AE71" s="15"/>
      <c r="AF71" s="15"/>
      <c r="AG71" s="15"/>
      <c r="AH71" s="81"/>
      <c r="AI71" s="1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</row>
    <row r="72" spans="1:46" ht="15.75" customHeight="1" thickBot="1" x14ac:dyDescent="0.3">
      <c r="A72" s="1" t="s">
        <v>16</v>
      </c>
      <c r="B72" s="54" t="s">
        <v>883</v>
      </c>
      <c r="C72" s="116">
        <v>1</v>
      </c>
      <c r="D72" s="20" t="s">
        <v>93</v>
      </c>
      <c r="E72" s="31" t="s">
        <v>637</v>
      </c>
      <c r="F72" s="22" t="s">
        <v>151</v>
      </c>
      <c r="G72" s="11" t="s">
        <v>9</v>
      </c>
      <c r="H72" s="98">
        <v>24422070060215</v>
      </c>
      <c r="I72" s="59"/>
      <c r="J72" s="71"/>
      <c r="K72" s="59"/>
      <c r="L72" s="59"/>
      <c r="M72" s="73" t="e">
        <f t="shared" si="3"/>
        <v>#NUM!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767</v>
      </c>
      <c r="U72" s="12" t="s">
        <v>886</v>
      </c>
      <c r="V72" s="90"/>
      <c r="W72" s="28"/>
      <c r="X72" s="43"/>
      <c r="Y72" s="28"/>
      <c r="Z72" s="28"/>
      <c r="AA72" s="15"/>
      <c r="AB72" s="15"/>
      <c r="AC72" s="15"/>
      <c r="AD72" s="68"/>
      <c r="AE72" s="15"/>
      <c r="AF72" s="15"/>
      <c r="AG72" s="15"/>
      <c r="AH72" s="81"/>
      <c r="AI72" s="1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</row>
    <row r="73" spans="1:46" ht="15.75" customHeight="1" thickBot="1" x14ac:dyDescent="0.3">
      <c r="A73" s="1" t="s">
        <v>16</v>
      </c>
      <c r="B73" s="54" t="s">
        <v>883</v>
      </c>
      <c r="C73" s="57"/>
      <c r="D73" s="20" t="s">
        <v>94</v>
      </c>
      <c r="E73" s="31" t="s">
        <v>638</v>
      </c>
      <c r="F73" s="22" t="s">
        <v>151</v>
      </c>
      <c r="G73" s="11" t="s">
        <v>9</v>
      </c>
      <c r="H73" s="98">
        <v>24422070060217</v>
      </c>
      <c r="I73" s="59"/>
      <c r="J73" s="71"/>
      <c r="K73" s="59"/>
      <c r="L73" s="59"/>
      <c r="M73" s="73" t="e">
        <f t="shared" si="3"/>
        <v>#NUM!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767</v>
      </c>
      <c r="U73" s="12" t="s">
        <v>886</v>
      </c>
      <c r="V73" s="90" t="s">
        <v>777</v>
      </c>
      <c r="W73" s="28" t="s">
        <v>748</v>
      </c>
      <c r="X73" s="43" t="s">
        <v>155</v>
      </c>
      <c r="Y73" s="28"/>
      <c r="Z73" s="28">
        <v>1</v>
      </c>
      <c r="AA73" s="15">
        <v>1</v>
      </c>
      <c r="AB73" s="15">
        <v>2</v>
      </c>
      <c r="AC73" s="15"/>
      <c r="AD73" s="68">
        <v>1</v>
      </c>
      <c r="AE73" s="15"/>
      <c r="AF73" s="15"/>
      <c r="AG73" s="15"/>
      <c r="AH73" s="81"/>
      <c r="AI73" s="1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</row>
    <row r="74" spans="1:46" ht="15.75" customHeight="1" thickBot="1" x14ac:dyDescent="0.3">
      <c r="A74" s="1" t="s">
        <v>16</v>
      </c>
      <c r="B74" s="54" t="s">
        <v>883</v>
      </c>
      <c r="C74" s="57"/>
      <c r="D74" s="20" t="s">
        <v>95</v>
      </c>
      <c r="E74" s="31" t="s">
        <v>639</v>
      </c>
      <c r="F74" s="22" t="s">
        <v>151</v>
      </c>
      <c r="G74" s="11" t="s">
        <v>9</v>
      </c>
      <c r="H74" s="98">
        <v>24422070060218</v>
      </c>
      <c r="I74" s="59"/>
      <c r="J74" s="71"/>
      <c r="K74" s="59"/>
      <c r="L74" s="59"/>
      <c r="M74" s="73" t="e">
        <f t="shared" si="3"/>
        <v>#NUM!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767</v>
      </c>
      <c r="U74" s="12" t="s">
        <v>886</v>
      </c>
      <c r="V74" s="90"/>
      <c r="W74" s="28"/>
      <c r="X74" s="43"/>
      <c r="Y74" s="28"/>
      <c r="Z74" s="28"/>
      <c r="AA74" s="15"/>
      <c r="AB74" s="15"/>
      <c r="AC74" s="15"/>
      <c r="AD74" s="68"/>
      <c r="AE74" s="15"/>
      <c r="AF74" s="15"/>
      <c r="AG74" s="15"/>
      <c r="AH74" s="81"/>
      <c r="AI74" s="1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</row>
    <row r="75" spans="1:46" ht="15.75" customHeight="1" thickBot="1" x14ac:dyDescent="0.3">
      <c r="A75" s="1" t="s">
        <v>16</v>
      </c>
      <c r="B75" s="54" t="s">
        <v>882</v>
      </c>
      <c r="C75" s="57"/>
      <c r="D75" s="20" t="s">
        <v>96</v>
      </c>
      <c r="E75" s="31" t="s">
        <v>640</v>
      </c>
      <c r="F75" s="22" t="s">
        <v>151</v>
      </c>
      <c r="G75" s="11" t="s">
        <v>9</v>
      </c>
      <c r="H75" s="98">
        <v>24422070060220</v>
      </c>
      <c r="I75" s="59"/>
      <c r="J75" s="71"/>
      <c r="K75" s="59"/>
      <c r="L75" s="59"/>
      <c r="M75" s="73" t="e">
        <f t="shared" si="3"/>
        <v>#NUM!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767</v>
      </c>
      <c r="U75" s="12" t="s">
        <v>886</v>
      </c>
      <c r="V75" s="90" t="s">
        <v>777</v>
      </c>
      <c r="W75" s="28" t="s">
        <v>739</v>
      </c>
      <c r="X75" s="43" t="s">
        <v>771</v>
      </c>
      <c r="Y75" s="28"/>
      <c r="Z75" s="28">
        <v>2</v>
      </c>
      <c r="AA75" s="15">
        <v>2</v>
      </c>
      <c r="AB75" s="15"/>
      <c r="AC75" s="15"/>
      <c r="AD75" s="68">
        <v>2</v>
      </c>
      <c r="AE75" s="15"/>
      <c r="AF75" s="15"/>
      <c r="AG75" s="15"/>
      <c r="AH75" s="81"/>
      <c r="AI75" s="1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</row>
    <row r="76" spans="1:46" ht="15.75" customHeight="1" thickBot="1" x14ac:dyDescent="0.3">
      <c r="A76" s="1" t="s">
        <v>16</v>
      </c>
      <c r="B76" s="54" t="s">
        <v>882</v>
      </c>
      <c r="C76" s="57"/>
      <c r="D76" s="20" t="s">
        <v>97</v>
      </c>
      <c r="E76" s="31" t="s">
        <v>641</v>
      </c>
      <c r="F76" s="22" t="s">
        <v>151</v>
      </c>
      <c r="G76" s="11" t="s">
        <v>9</v>
      </c>
      <c r="H76" s="98">
        <v>24422070060169</v>
      </c>
      <c r="I76" s="59"/>
      <c r="J76" s="71"/>
      <c r="K76" s="59"/>
      <c r="L76" s="59"/>
      <c r="M76" s="73" t="e">
        <f t="shared" si="3"/>
        <v>#NUM!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767</v>
      </c>
      <c r="U76" s="12" t="s">
        <v>886</v>
      </c>
      <c r="V76" s="90" t="s">
        <v>777</v>
      </c>
      <c r="W76" s="28" t="s">
        <v>814</v>
      </c>
      <c r="X76" s="43" t="s">
        <v>771</v>
      </c>
      <c r="Y76" s="28"/>
      <c r="Z76" s="28">
        <v>2</v>
      </c>
      <c r="AA76" s="15">
        <v>2</v>
      </c>
      <c r="AB76" s="15">
        <v>2</v>
      </c>
      <c r="AC76" s="15"/>
      <c r="AD76" s="68">
        <v>2</v>
      </c>
      <c r="AE76" s="15"/>
      <c r="AF76" s="15"/>
      <c r="AG76" s="15"/>
      <c r="AH76" s="81"/>
      <c r="AI76" s="1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</row>
    <row r="77" spans="1:46" ht="15.75" customHeight="1" thickBot="1" x14ac:dyDescent="0.3">
      <c r="A77" s="1" t="s">
        <v>17</v>
      </c>
      <c r="B77" s="54" t="s">
        <v>883</v>
      </c>
      <c r="C77" s="57"/>
      <c r="D77" s="20" t="s">
        <v>98</v>
      </c>
      <c r="E77" s="31" t="s">
        <v>565</v>
      </c>
      <c r="F77" s="22" t="s">
        <v>151</v>
      </c>
      <c r="G77" s="11" t="s">
        <v>7</v>
      </c>
      <c r="H77" s="98">
        <v>24422070060128</v>
      </c>
      <c r="I77" s="59"/>
      <c r="J77" s="59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767</v>
      </c>
      <c r="U77" s="12" t="s">
        <v>886</v>
      </c>
      <c r="V77" s="90"/>
      <c r="W77" s="28"/>
      <c r="X77" s="43"/>
      <c r="Y77" s="28"/>
      <c r="Z77" s="28"/>
      <c r="AA77" s="15"/>
      <c r="AB77" s="15"/>
      <c r="AC77" s="15"/>
      <c r="AD77" s="68"/>
      <c r="AE77" s="15"/>
      <c r="AF77" s="15"/>
      <c r="AG77" s="15"/>
      <c r="AH77" s="81"/>
      <c r="AI77" s="1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</row>
    <row r="78" spans="1:46" ht="15.75" customHeight="1" thickBot="1" x14ac:dyDescent="0.3">
      <c r="A78" s="1" t="s">
        <v>17</v>
      </c>
      <c r="B78" s="54" t="s">
        <v>883</v>
      </c>
      <c r="C78" s="57"/>
      <c r="D78" s="20" t="s">
        <v>99</v>
      </c>
      <c r="E78" s="31" t="s">
        <v>566</v>
      </c>
      <c r="F78" s="22" t="s">
        <v>151</v>
      </c>
      <c r="G78" s="11" t="s">
        <v>7</v>
      </c>
      <c r="H78" s="98">
        <v>24422070060129</v>
      </c>
      <c r="I78" s="59" t="s">
        <v>787</v>
      </c>
      <c r="J78" s="59" t="s">
        <v>775</v>
      </c>
      <c r="K78" s="59" t="s">
        <v>768</v>
      </c>
      <c r="L78" s="59" t="s">
        <v>153</v>
      </c>
      <c r="M78" s="73">
        <f t="shared" si="3"/>
        <v>46006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767</v>
      </c>
      <c r="U78" s="12" t="s">
        <v>886</v>
      </c>
      <c r="V78" s="90" t="s">
        <v>777</v>
      </c>
      <c r="W78" s="28" t="s">
        <v>772</v>
      </c>
      <c r="X78" s="43" t="s">
        <v>771</v>
      </c>
      <c r="Y78" s="28"/>
      <c r="Z78" s="28">
        <v>1</v>
      </c>
      <c r="AA78" s="15">
        <v>1</v>
      </c>
      <c r="AB78" s="15"/>
      <c r="AC78" s="15">
        <v>2</v>
      </c>
      <c r="AD78" s="68">
        <v>1</v>
      </c>
      <c r="AE78" s="15">
        <v>2</v>
      </c>
      <c r="AF78" s="15"/>
      <c r="AG78" s="15"/>
      <c r="AH78" s="81"/>
      <c r="AI78" s="1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</row>
    <row r="79" spans="1:46" ht="15.75" customHeight="1" thickBot="1" x14ac:dyDescent="0.3">
      <c r="A79" s="1" t="s">
        <v>17</v>
      </c>
      <c r="B79" s="54" t="s">
        <v>883</v>
      </c>
      <c r="C79" s="57"/>
      <c r="D79" s="20" t="s">
        <v>100</v>
      </c>
      <c r="E79" s="31" t="s">
        <v>567</v>
      </c>
      <c r="F79" s="22" t="s">
        <v>151</v>
      </c>
      <c r="G79" s="11" t="s">
        <v>7</v>
      </c>
      <c r="H79" s="98">
        <v>24422070060130</v>
      </c>
      <c r="I79" s="59"/>
      <c r="J79" s="59"/>
      <c r="K79" s="59"/>
      <c r="L79" s="59"/>
      <c r="M79" s="73" t="e">
        <f t="shared" si="3"/>
        <v>#NUM!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767</v>
      </c>
      <c r="U79" s="12" t="s">
        <v>886</v>
      </c>
      <c r="V79" s="90" t="s">
        <v>777</v>
      </c>
      <c r="W79" s="28" t="s">
        <v>772</v>
      </c>
      <c r="X79" s="43" t="s">
        <v>771</v>
      </c>
      <c r="Y79" s="28"/>
      <c r="Z79" s="28">
        <v>1</v>
      </c>
      <c r="AA79" s="15">
        <v>1</v>
      </c>
      <c r="AB79" s="15">
        <v>2</v>
      </c>
      <c r="AC79" s="15"/>
      <c r="AD79" s="68">
        <v>1</v>
      </c>
      <c r="AE79" s="15">
        <v>2</v>
      </c>
      <c r="AF79" s="15"/>
      <c r="AG79" s="15"/>
      <c r="AH79" s="81"/>
      <c r="AI79" s="1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</row>
    <row r="80" spans="1:46" ht="15.75" customHeight="1" thickBot="1" x14ac:dyDescent="0.3">
      <c r="A80" s="1" t="s">
        <v>17</v>
      </c>
      <c r="B80" s="54" t="s">
        <v>883</v>
      </c>
      <c r="C80" s="57"/>
      <c r="D80" s="20" t="s">
        <v>101</v>
      </c>
      <c r="E80" s="31" t="s">
        <v>568</v>
      </c>
      <c r="F80" s="22" t="s">
        <v>151</v>
      </c>
      <c r="G80" s="11" t="s">
        <v>7</v>
      </c>
      <c r="H80" s="98">
        <v>24422070060131</v>
      </c>
      <c r="I80" s="59"/>
      <c r="J80" s="71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767</v>
      </c>
      <c r="U80" s="12" t="s">
        <v>886</v>
      </c>
      <c r="V80" s="90" t="s">
        <v>777</v>
      </c>
      <c r="W80" s="28" t="s">
        <v>772</v>
      </c>
      <c r="X80" s="43" t="s">
        <v>771</v>
      </c>
      <c r="Y80" s="28"/>
      <c r="Z80" s="28">
        <v>1</v>
      </c>
      <c r="AA80" s="15">
        <v>1</v>
      </c>
      <c r="AB80" s="15">
        <v>2</v>
      </c>
      <c r="AC80" s="15"/>
      <c r="AD80" s="68">
        <v>1</v>
      </c>
      <c r="AE80" s="15"/>
      <c r="AF80" s="15"/>
      <c r="AG80" s="15"/>
      <c r="AH80" s="81"/>
      <c r="AI80" s="1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</row>
    <row r="81" spans="1:46" ht="15.75" customHeight="1" thickBot="1" x14ac:dyDescent="0.3">
      <c r="A81" s="1" t="s">
        <v>17</v>
      </c>
      <c r="B81" s="54" t="s">
        <v>883</v>
      </c>
      <c r="C81" s="57"/>
      <c r="D81" s="20" t="s">
        <v>102</v>
      </c>
      <c r="E81" s="130" t="s">
        <v>851</v>
      </c>
      <c r="F81" s="22" t="s">
        <v>151</v>
      </c>
      <c r="G81" s="11" t="s">
        <v>7</v>
      </c>
      <c r="H81" s="98">
        <v>23422070060282</v>
      </c>
      <c r="I81" s="59"/>
      <c r="J81" s="71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767</v>
      </c>
      <c r="U81" s="12" t="s">
        <v>886</v>
      </c>
      <c r="V81" s="90"/>
      <c r="W81" s="28"/>
      <c r="X81" s="43"/>
      <c r="Y81" s="28"/>
      <c r="Z81" s="28"/>
      <c r="AA81" s="15"/>
      <c r="AB81" s="15"/>
      <c r="AC81" s="15"/>
      <c r="AD81" s="68"/>
      <c r="AE81" s="15"/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883</v>
      </c>
      <c r="C82" s="116">
        <v>1</v>
      </c>
      <c r="D82" s="20" t="s">
        <v>103</v>
      </c>
      <c r="E82" s="31" t="s">
        <v>570</v>
      </c>
      <c r="F82" s="22" t="s">
        <v>151</v>
      </c>
      <c r="G82" s="11" t="s">
        <v>7</v>
      </c>
      <c r="H82" s="98">
        <v>24422070060180</v>
      </c>
      <c r="I82" s="59"/>
      <c r="J82" s="71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767</v>
      </c>
      <c r="U82" s="12" t="s">
        <v>886</v>
      </c>
      <c r="V82" s="90"/>
      <c r="W82" s="28"/>
      <c r="X82" s="43"/>
      <c r="Y82" s="28"/>
      <c r="Z82" s="28"/>
      <c r="AA82" s="15"/>
      <c r="AB82" s="15"/>
      <c r="AC82" s="15"/>
      <c r="AD82" s="68"/>
      <c r="AE82" s="15"/>
      <c r="AF82" s="15"/>
      <c r="AG82" s="15"/>
      <c r="AH82" s="81"/>
      <c r="AI82" s="1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</row>
    <row r="83" spans="1:46" ht="15.75" customHeight="1" thickBot="1" x14ac:dyDescent="0.3">
      <c r="A83" s="1" t="s">
        <v>17</v>
      </c>
      <c r="B83" s="54" t="s">
        <v>883</v>
      </c>
      <c r="C83" s="116">
        <v>1</v>
      </c>
      <c r="D83" s="20" t="s">
        <v>104</v>
      </c>
      <c r="E83" s="31" t="s">
        <v>571</v>
      </c>
      <c r="F83" s="22" t="s">
        <v>151</v>
      </c>
      <c r="G83" s="11" t="s">
        <v>7</v>
      </c>
      <c r="H83" s="98">
        <v>24422070060137</v>
      </c>
      <c r="I83" s="59"/>
      <c r="J83" s="71"/>
      <c r="K83" s="59"/>
      <c r="L83" s="59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767</v>
      </c>
      <c r="U83" s="12" t="s">
        <v>886</v>
      </c>
      <c r="V83" s="90"/>
      <c r="W83" s="28"/>
      <c r="X83" s="43"/>
      <c r="Y83" s="28"/>
      <c r="Z83" s="28"/>
      <c r="AA83" s="15"/>
      <c r="AB83" s="15"/>
      <c r="AC83" s="15"/>
      <c r="AD83" s="68"/>
      <c r="AE83" s="15"/>
      <c r="AF83" s="15"/>
      <c r="AG83" s="15"/>
      <c r="AH83" s="81"/>
      <c r="AI83" s="1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</row>
    <row r="84" spans="1:46" ht="15.75" customHeight="1" thickBot="1" x14ac:dyDescent="0.3">
      <c r="A84" s="1" t="s">
        <v>17</v>
      </c>
      <c r="B84" s="54" t="s">
        <v>883</v>
      </c>
      <c r="C84" s="57"/>
      <c r="D84" s="20" t="s">
        <v>105</v>
      </c>
      <c r="E84" s="101" t="s">
        <v>572</v>
      </c>
      <c r="F84" s="22" t="s">
        <v>151</v>
      </c>
      <c r="G84" s="11" t="s">
        <v>7</v>
      </c>
      <c r="H84" s="99">
        <v>23422070060287</v>
      </c>
      <c r="I84" s="59"/>
      <c r="J84" s="71"/>
      <c r="K84" s="59"/>
      <c r="L84" s="59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767</v>
      </c>
      <c r="U84" s="12" t="s">
        <v>886</v>
      </c>
      <c r="V84" s="90"/>
      <c r="W84" s="28"/>
      <c r="X84" s="43"/>
      <c r="Y84" s="28"/>
      <c r="Z84" s="28"/>
      <c r="AA84" s="15"/>
      <c r="AB84" s="15"/>
      <c r="AC84" s="15"/>
      <c r="AD84" s="68"/>
      <c r="AE84" s="15"/>
      <c r="AF84" s="15"/>
      <c r="AG84" s="15"/>
      <c r="AH84" s="81"/>
      <c r="AI84" s="1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</row>
    <row r="85" spans="1:46" ht="15.75" customHeight="1" thickBot="1" x14ac:dyDescent="0.3">
      <c r="A85" s="1" t="s">
        <v>17</v>
      </c>
      <c r="B85" s="103" t="s">
        <v>883</v>
      </c>
      <c r="C85" s="102"/>
      <c r="D85" s="20" t="s">
        <v>106</v>
      </c>
      <c r="E85" s="31" t="s">
        <v>573</v>
      </c>
      <c r="F85" s="22" t="s">
        <v>151</v>
      </c>
      <c r="G85" s="11" t="s">
        <v>7</v>
      </c>
      <c r="H85" s="98">
        <v>24422070060565</v>
      </c>
      <c r="I85" s="60" t="s">
        <v>769</v>
      </c>
      <c r="J85" s="104">
        <v>2</v>
      </c>
      <c r="K85" s="60" t="s">
        <v>798</v>
      </c>
      <c r="L85" s="60" t="s">
        <v>770</v>
      </c>
      <c r="M85" s="73">
        <f t="shared" si="3"/>
        <v>46069</v>
      </c>
      <c r="N85" s="23" t="e">
        <f t="shared" si="5"/>
        <v>#NUM!</v>
      </c>
      <c r="O85" s="73" t="e">
        <f t="shared" si="4"/>
        <v>#NUM!</v>
      </c>
      <c r="P85" s="60"/>
      <c r="Q85" s="60"/>
      <c r="R85" s="60"/>
      <c r="S85" s="60"/>
      <c r="T85" s="12" t="s">
        <v>767</v>
      </c>
      <c r="U85" s="12" t="s">
        <v>886</v>
      </c>
      <c r="V85" s="90" t="s">
        <v>165</v>
      </c>
      <c r="W85" s="28" t="s">
        <v>895</v>
      </c>
      <c r="X85" s="28" t="s">
        <v>155</v>
      </c>
      <c r="Y85" s="28"/>
      <c r="Z85" s="28">
        <v>1</v>
      </c>
      <c r="AA85" s="15">
        <v>1</v>
      </c>
      <c r="AB85" s="15">
        <v>1</v>
      </c>
      <c r="AC85" s="15">
        <v>1</v>
      </c>
      <c r="AD85" s="68">
        <v>1</v>
      </c>
      <c r="AE85" s="15"/>
      <c r="AF85" s="15"/>
      <c r="AG85" s="15"/>
      <c r="AH85" s="81"/>
      <c r="AI85" s="1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</row>
    <row r="86" spans="1:46" ht="15.75" customHeight="1" thickBot="1" x14ac:dyDescent="0.3">
      <c r="A86" s="1" t="s">
        <v>17</v>
      </c>
      <c r="B86" s="122" t="s">
        <v>882</v>
      </c>
      <c r="C86" s="122"/>
      <c r="D86" s="20" t="s">
        <v>107</v>
      </c>
      <c r="E86" s="31" t="s">
        <v>574</v>
      </c>
      <c r="F86" s="22" t="s">
        <v>151</v>
      </c>
      <c r="G86" s="11" t="s">
        <v>7</v>
      </c>
      <c r="H86" s="98">
        <v>24422070060583</v>
      </c>
      <c r="I86" s="122"/>
      <c r="J86" s="122"/>
      <c r="K86" s="122"/>
      <c r="L86" s="122"/>
      <c r="M86" s="73" t="e">
        <f t="shared" si="3"/>
        <v>#NUM!</v>
      </c>
      <c r="N86" s="23" t="e">
        <f t="shared" si="5"/>
        <v>#NUM!</v>
      </c>
      <c r="O86" s="73" t="e">
        <f t="shared" si="4"/>
        <v>#NUM!</v>
      </c>
      <c r="P86" s="93"/>
      <c r="Q86" s="93"/>
      <c r="R86" s="93"/>
      <c r="S86" s="93"/>
      <c r="T86" s="12" t="s">
        <v>767</v>
      </c>
      <c r="U86" s="12" t="s">
        <v>886</v>
      </c>
      <c r="V86" s="90" t="s">
        <v>777</v>
      </c>
      <c r="W86" s="28" t="s">
        <v>827</v>
      </c>
      <c r="X86" s="28" t="s">
        <v>155</v>
      </c>
      <c r="Y86" s="122"/>
      <c r="Z86" s="121">
        <v>1</v>
      </c>
      <c r="AA86" s="121">
        <v>1</v>
      </c>
      <c r="AB86" s="121">
        <v>2</v>
      </c>
      <c r="AC86" s="121"/>
      <c r="AD86" s="125">
        <v>1</v>
      </c>
      <c r="AE86" s="122"/>
      <c r="AF86" s="122"/>
      <c r="AG86" s="122"/>
      <c r="AH86" s="123"/>
      <c r="AI86" s="15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thickBot="1" x14ac:dyDescent="0.3">
      <c r="A87" s="1" t="s">
        <v>17</v>
      </c>
      <c r="B87" s="122" t="s">
        <v>882</v>
      </c>
      <c r="C87" s="122"/>
      <c r="D87" s="20" t="s">
        <v>108</v>
      </c>
      <c r="E87" s="31" t="s">
        <v>575</v>
      </c>
      <c r="F87" s="22" t="s">
        <v>151</v>
      </c>
      <c r="G87" s="11" t="s">
        <v>7</v>
      </c>
      <c r="H87" s="98">
        <v>24422070060551</v>
      </c>
      <c r="I87" s="122"/>
      <c r="J87" s="122"/>
      <c r="K87" s="122"/>
      <c r="L87" s="122"/>
      <c r="M87" s="73" t="e">
        <f t="shared" si="3"/>
        <v>#NUM!</v>
      </c>
      <c r="N87" s="23" t="e">
        <f t="shared" si="5"/>
        <v>#NUM!</v>
      </c>
      <c r="O87" s="73" t="e">
        <f t="shared" si="4"/>
        <v>#NUM!</v>
      </c>
      <c r="P87" s="93"/>
      <c r="Q87" s="93"/>
      <c r="R87" s="93"/>
      <c r="S87" s="93"/>
      <c r="T87" s="12" t="s">
        <v>767</v>
      </c>
      <c r="U87" s="12" t="s">
        <v>886</v>
      </c>
      <c r="V87" s="90"/>
      <c r="W87" s="28"/>
      <c r="X87" s="28"/>
      <c r="Y87" s="122"/>
      <c r="Z87" s="122"/>
      <c r="AA87" s="122"/>
      <c r="AB87" s="122"/>
      <c r="AC87" s="122"/>
      <c r="AD87" s="124"/>
      <c r="AE87" s="122"/>
      <c r="AF87" s="122"/>
      <c r="AG87" s="122"/>
      <c r="AH87" s="123"/>
      <c r="AI87" s="15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thickBot="1" x14ac:dyDescent="0.3">
      <c r="A88" s="1" t="s">
        <v>17</v>
      </c>
      <c r="B88" s="122" t="s">
        <v>882</v>
      </c>
      <c r="C88" s="122"/>
      <c r="D88" s="20" t="s">
        <v>109</v>
      </c>
      <c r="E88" s="31" t="s">
        <v>576</v>
      </c>
      <c r="F88" s="22" t="s">
        <v>151</v>
      </c>
      <c r="G88" s="11" t="s">
        <v>7</v>
      </c>
      <c r="H88" s="98">
        <v>24422070060143</v>
      </c>
      <c r="I88" s="122"/>
      <c r="J88" s="122"/>
      <c r="K88" s="122"/>
      <c r="L88" s="122"/>
      <c r="M88" s="73" t="e">
        <f t="shared" si="3"/>
        <v>#NUM!</v>
      </c>
      <c r="N88" s="23" t="e">
        <f t="shared" si="5"/>
        <v>#NUM!</v>
      </c>
      <c r="O88" s="73" t="e">
        <f t="shared" si="4"/>
        <v>#NUM!</v>
      </c>
      <c r="P88" s="93"/>
      <c r="Q88" s="93"/>
      <c r="R88" s="93"/>
      <c r="S88" s="93"/>
      <c r="T88" s="12" t="s">
        <v>767</v>
      </c>
      <c r="U88" s="12" t="s">
        <v>886</v>
      </c>
      <c r="V88" s="90" t="s">
        <v>777</v>
      </c>
      <c r="W88" s="28" t="s">
        <v>772</v>
      </c>
      <c r="X88" s="28" t="s">
        <v>771</v>
      </c>
      <c r="Y88" s="122"/>
      <c r="Z88" s="122">
        <v>1</v>
      </c>
      <c r="AA88" s="122">
        <v>1</v>
      </c>
      <c r="AB88" s="122">
        <v>2</v>
      </c>
      <c r="AC88" s="122"/>
      <c r="AD88" s="124">
        <v>1</v>
      </c>
      <c r="AE88" s="122"/>
      <c r="AF88" s="122"/>
      <c r="AG88" s="122"/>
      <c r="AH88" s="123"/>
      <c r="AI88" s="15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thickBot="1" x14ac:dyDescent="0.3">
      <c r="A89" s="1" t="s">
        <v>17</v>
      </c>
      <c r="B89" s="122" t="s">
        <v>883</v>
      </c>
      <c r="C89" s="128">
        <v>1</v>
      </c>
      <c r="D89" s="20" t="s">
        <v>110</v>
      </c>
      <c r="E89" s="31" t="s">
        <v>577</v>
      </c>
      <c r="F89" s="22" t="s">
        <v>151</v>
      </c>
      <c r="G89" s="11" t="s">
        <v>7</v>
      </c>
      <c r="H89" s="98">
        <v>24422070060144</v>
      </c>
      <c r="I89" s="122"/>
      <c r="J89" s="122"/>
      <c r="K89" s="122"/>
      <c r="L89" s="122"/>
      <c r="M89" s="73" t="e">
        <f t="shared" si="3"/>
        <v>#NUM!</v>
      </c>
      <c r="N89" s="23" t="e">
        <f t="shared" si="5"/>
        <v>#NUM!</v>
      </c>
      <c r="O89" s="73" t="e">
        <f t="shared" si="4"/>
        <v>#NUM!</v>
      </c>
      <c r="P89" s="93"/>
      <c r="Q89" s="93"/>
      <c r="R89" s="93"/>
      <c r="S89" s="93"/>
      <c r="T89" s="12" t="s">
        <v>767</v>
      </c>
      <c r="U89" s="12" t="s">
        <v>886</v>
      </c>
      <c r="V89" s="90"/>
      <c r="W89" s="28"/>
      <c r="X89" s="28"/>
      <c r="Y89" s="122"/>
      <c r="Z89" s="122"/>
      <c r="AA89" s="122"/>
      <c r="AB89" s="122"/>
      <c r="AC89" s="122"/>
      <c r="AD89" s="124"/>
      <c r="AE89" s="122"/>
      <c r="AF89" s="122"/>
      <c r="AG89" s="122"/>
      <c r="AH89" s="123"/>
      <c r="AI89" s="15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thickBot="1" x14ac:dyDescent="0.3">
      <c r="A90" s="1" t="s">
        <v>17</v>
      </c>
      <c r="B90" s="122" t="s">
        <v>883</v>
      </c>
      <c r="C90" s="122"/>
      <c r="D90" s="20" t="s">
        <v>111</v>
      </c>
      <c r="E90" s="31" t="s">
        <v>578</v>
      </c>
      <c r="F90" s="22" t="s">
        <v>151</v>
      </c>
      <c r="G90" s="11" t="s">
        <v>7</v>
      </c>
      <c r="H90" s="98">
        <v>24422070060145</v>
      </c>
      <c r="I90" s="122">
        <v>3</v>
      </c>
      <c r="J90" s="122">
        <v>2</v>
      </c>
      <c r="K90" s="122" t="s">
        <v>798</v>
      </c>
      <c r="L90" s="122">
        <v>2026</v>
      </c>
      <c r="M90" s="73">
        <f t="shared" si="3"/>
        <v>46056</v>
      </c>
      <c r="N90" s="23" t="e">
        <f t="shared" si="5"/>
        <v>#NUM!</v>
      </c>
      <c r="O90" s="73" t="e">
        <f t="shared" si="4"/>
        <v>#NUM!</v>
      </c>
      <c r="P90" s="93"/>
      <c r="Q90" s="93"/>
      <c r="R90" s="93"/>
      <c r="S90" s="93"/>
      <c r="T90" s="12" t="s">
        <v>767</v>
      </c>
      <c r="U90" s="12" t="s">
        <v>886</v>
      </c>
      <c r="V90" s="90" t="s">
        <v>777</v>
      </c>
      <c r="W90" s="28" t="s">
        <v>730</v>
      </c>
      <c r="X90" s="28" t="s">
        <v>155</v>
      </c>
      <c r="Y90" s="122"/>
      <c r="Z90" s="122">
        <v>1</v>
      </c>
      <c r="AA90" s="122">
        <v>1</v>
      </c>
      <c r="AB90" s="122">
        <v>2</v>
      </c>
      <c r="AC90" s="122">
        <v>2</v>
      </c>
      <c r="AD90" s="124">
        <v>1</v>
      </c>
      <c r="AE90" s="122"/>
      <c r="AF90" s="122"/>
      <c r="AG90" s="122"/>
      <c r="AH90" s="123"/>
      <c r="AI90" s="15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thickBot="1" x14ac:dyDescent="0.3">
      <c r="A91" s="1" t="s">
        <v>17</v>
      </c>
      <c r="B91" s="122" t="s">
        <v>883</v>
      </c>
      <c r="C91" s="122"/>
      <c r="D91" s="20" t="s">
        <v>112</v>
      </c>
      <c r="E91" s="31" t="s">
        <v>579</v>
      </c>
      <c r="F91" s="22" t="s">
        <v>151</v>
      </c>
      <c r="G91" s="11" t="s">
        <v>7</v>
      </c>
      <c r="H91" s="98">
        <v>24422070060332</v>
      </c>
      <c r="I91" s="122"/>
      <c r="J91" s="122"/>
      <c r="K91" s="122"/>
      <c r="L91" s="122"/>
      <c r="M91" s="73" t="e">
        <f t="shared" si="3"/>
        <v>#NUM!</v>
      </c>
      <c r="N91" s="23" t="e">
        <f t="shared" si="5"/>
        <v>#NUM!</v>
      </c>
      <c r="O91" s="73" t="e">
        <f t="shared" si="4"/>
        <v>#NUM!</v>
      </c>
      <c r="P91" s="93"/>
      <c r="Q91" s="93"/>
      <c r="R91" s="93"/>
      <c r="S91" s="93"/>
      <c r="T91" s="12" t="s">
        <v>767</v>
      </c>
      <c r="U91" s="12" t="s">
        <v>886</v>
      </c>
      <c r="V91" s="90"/>
      <c r="W91" s="28"/>
      <c r="X91" s="28"/>
      <c r="Y91" s="122"/>
      <c r="Z91" s="122"/>
      <c r="AA91" s="122"/>
      <c r="AB91" s="122"/>
      <c r="AC91" s="122"/>
      <c r="AD91" s="124"/>
      <c r="AE91" s="122"/>
      <c r="AF91" s="122"/>
      <c r="AG91" s="122"/>
      <c r="AH91" s="123"/>
      <c r="AI91" s="15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thickBot="1" x14ac:dyDescent="0.3">
      <c r="A92" s="1" t="s">
        <v>17</v>
      </c>
      <c r="B92" s="122" t="s">
        <v>883</v>
      </c>
      <c r="C92" s="128">
        <v>2</v>
      </c>
      <c r="D92" s="20" t="s">
        <v>113</v>
      </c>
      <c r="E92" s="31" t="s">
        <v>580</v>
      </c>
      <c r="F92" s="22" t="s">
        <v>151</v>
      </c>
      <c r="G92" s="11" t="s">
        <v>7</v>
      </c>
      <c r="H92" s="98">
        <v>24422070060552</v>
      </c>
      <c r="I92" s="122"/>
      <c r="J92" s="122"/>
      <c r="K92" s="122"/>
      <c r="L92" s="122"/>
      <c r="M92" s="73" t="e">
        <f t="shared" si="3"/>
        <v>#NUM!</v>
      </c>
      <c r="N92" s="23" t="e">
        <f t="shared" si="5"/>
        <v>#NUM!</v>
      </c>
      <c r="O92" s="73" t="e">
        <f t="shared" si="4"/>
        <v>#NUM!</v>
      </c>
      <c r="P92" s="93"/>
      <c r="Q92" s="93"/>
      <c r="R92" s="93"/>
      <c r="S92" s="93"/>
      <c r="T92" s="12" t="s">
        <v>767</v>
      </c>
      <c r="U92" s="12" t="s">
        <v>886</v>
      </c>
      <c r="V92" s="90"/>
      <c r="W92" s="28"/>
      <c r="X92" s="28"/>
      <c r="Y92" s="122"/>
      <c r="Z92" s="122"/>
      <c r="AA92" s="122"/>
      <c r="AB92" s="122"/>
      <c r="AC92" s="122"/>
      <c r="AD92" s="124"/>
      <c r="AE92" s="122"/>
      <c r="AF92" s="122"/>
      <c r="AG92" s="122"/>
      <c r="AH92" s="123"/>
      <c r="AI92" s="15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thickBot="1" x14ac:dyDescent="0.3">
      <c r="A93" s="1" t="s">
        <v>17</v>
      </c>
      <c r="B93" s="122" t="s">
        <v>882</v>
      </c>
      <c r="C93" s="122"/>
      <c r="D93" s="20" t="s">
        <v>114</v>
      </c>
      <c r="E93" s="31" t="s">
        <v>581</v>
      </c>
      <c r="F93" s="22" t="s">
        <v>151</v>
      </c>
      <c r="G93" s="11" t="s">
        <v>7</v>
      </c>
      <c r="H93" s="98">
        <v>24422070060148</v>
      </c>
      <c r="I93" s="122">
        <v>13</v>
      </c>
      <c r="J93" s="122">
        <v>4</v>
      </c>
      <c r="K93" s="122" t="s">
        <v>868</v>
      </c>
      <c r="L93" s="122">
        <v>2026</v>
      </c>
      <c r="M93" s="73">
        <f t="shared" si="3"/>
        <v>46125</v>
      </c>
      <c r="N93" s="23" t="e">
        <f t="shared" si="5"/>
        <v>#NUM!</v>
      </c>
      <c r="O93" s="73" t="e">
        <f t="shared" si="4"/>
        <v>#NUM!</v>
      </c>
      <c r="P93" s="93"/>
      <c r="Q93" s="93"/>
      <c r="R93" s="93"/>
      <c r="S93" s="93"/>
      <c r="T93" s="12" t="s">
        <v>767</v>
      </c>
      <c r="U93" s="12" t="s">
        <v>886</v>
      </c>
      <c r="V93" s="90" t="s">
        <v>777</v>
      </c>
      <c r="W93" s="28" t="s">
        <v>730</v>
      </c>
      <c r="X93" s="28" t="s">
        <v>155</v>
      </c>
      <c r="Y93" s="122"/>
      <c r="Z93" s="122">
        <v>2</v>
      </c>
      <c r="AA93" s="122">
        <v>2</v>
      </c>
      <c r="AB93" s="122">
        <v>2</v>
      </c>
      <c r="AC93" s="122">
        <v>2</v>
      </c>
      <c r="AD93" s="124">
        <v>2</v>
      </c>
      <c r="AE93" s="122"/>
      <c r="AF93" s="122"/>
      <c r="AG93" s="122"/>
      <c r="AH93" s="123"/>
      <c r="AI93" s="15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thickBot="1" x14ac:dyDescent="0.3">
      <c r="A94" s="1" t="s">
        <v>17</v>
      </c>
      <c r="B94" s="122" t="s">
        <v>883</v>
      </c>
      <c r="C94" s="128">
        <v>6</v>
      </c>
      <c r="D94" s="20" t="s">
        <v>115</v>
      </c>
      <c r="E94" s="31" t="s">
        <v>582</v>
      </c>
      <c r="F94" s="22" t="s">
        <v>151</v>
      </c>
      <c r="G94" s="11" t="s">
        <v>7</v>
      </c>
      <c r="H94" s="98">
        <v>24422070060149</v>
      </c>
      <c r="I94" s="122"/>
      <c r="J94" s="122"/>
      <c r="K94" s="122"/>
      <c r="L94" s="122"/>
      <c r="M94" s="73" t="e">
        <f t="shared" si="3"/>
        <v>#NUM!</v>
      </c>
      <c r="N94" s="23" t="e">
        <f t="shared" si="5"/>
        <v>#NUM!</v>
      </c>
      <c r="O94" s="73" t="e">
        <f t="shared" si="4"/>
        <v>#NUM!</v>
      </c>
      <c r="P94" s="93"/>
      <c r="Q94" s="93"/>
      <c r="R94" s="93"/>
      <c r="S94" s="93"/>
      <c r="T94" s="12" t="s">
        <v>767</v>
      </c>
      <c r="U94" s="12" t="s">
        <v>886</v>
      </c>
      <c r="V94" s="90"/>
      <c r="W94" s="28"/>
      <c r="X94" s="28"/>
      <c r="Y94" s="122"/>
      <c r="Z94" s="122"/>
      <c r="AA94" s="122"/>
      <c r="AB94" s="122"/>
      <c r="AC94" s="122"/>
      <c r="AD94" s="124"/>
      <c r="AE94" s="122"/>
      <c r="AF94" s="122"/>
      <c r="AG94" s="122"/>
      <c r="AH94" s="123"/>
      <c r="AI94" s="15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thickBot="1" x14ac:dyDescent="0.3">
      <c r="A95" s="1" t="s">
        <v>17</v>
      </c>
      <c r="B95" s="122" t="s">
        <v>882</v>
      </c>
      <c r="C95" s="128">
        <v>1</v>
      </c>
      <c r="D95" s="20" t="s">
        <v>116</v>
      </c>
      <c r="E95" s="31" t="s">
        <v>583</v>
      </c>
      <c r="F95" s="22" t="s">
        <v>151</v>
      </c>
      <c r="G95" s="11" t="s">
        <v>7</v>
      </c>
      <c r="H95" s="98">
        <v>24422070060621</v>
      </c>
      <c r="I95" s="122"/>
      <c r="J95" s="122"/>
      <c r="K95" s="122"/>
      <c r="L95" s="122"/>
      <c r="M95" s="73" t="e">
        <f t="shared" si="3"/>
        <v>#NUM!</v>
      </c>
      <c r="N95" s="23" t="e">
        <f t="shared" si="5"/>
        <v>#NUM!</v>
      </c>
      <c r="O95" s="73" t="e">
        <f t="shared" si="4"/>
        <v>#NUM!</v>
      </c>
      <c r="P95" s="93"/>
      <c r="Q95" s="93"/>
      <c r="R95" s="93"/>
      <c r="S95" s="93"/>
      <c r="T95" s="12" t="s">
        <v>767</v>
      </c>
      <c r="U95" s="12" t="s">
        <v>886</v>
      </c>
      <c r="V95" s="90"/>
      <c r="W95" s="28"/>
      <c r="X95" s="28"/>
      <c r="Y95" s="122"/>
      <c r="Z95" s="122"/>
      <c r="AA95" s="122"/>
      <c r="AB95" s="122"/>
      <c r="AC95" s="122"/>
      <c r="AD95" s="124"/>
      <c r="AE95" s="122"/>
      <c r="AF95" s="122"/>
      <c r="AG95" s="122"/>
      <c r="AH95" s="123"/>
      <c r="AI95" s="15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thickBot="1" x14ac:dyDescent="0.3">
      <c r="A96" s="1" t="s">
        <v>17</v>
      </c>
      <c r="B96" s="122" t="s">
        <v>883</v>
      </c>
      <c r="C96" s="128">
        <v>4</v>
      </c>
      <c r="D96" s="20" t="s">
        <v>117</v>
      </c>
      <c r="E96" s="31" t="s">
        <v>584</v>
      </c>
      <c r="F96" s="22" t="s">
        <v>151</v>
      </c>
      <c r="G96" s="11" t="s">
        <v>7</v>
      </c>
      <c r="H96" s="98">
        <v>24422070060153</v>
      </c>
      <c r="I96" s="122"/>
      <c r="J96" s="122"/>
      <c r="K96" s="122"/>
      <c r="L96" s="122"/>
      <c r="M96" s="73" t="e">
        <f t="shared" si="3"/>
        <v>#NUM!</v>
      </c>
      <c r="N96" s="23" t="e">
        <f t="shared" si="5"/>
        <v>#NUM!</v>
      </c>
      <c r="O96" s="73" t="e">
        <f t="shared" si="4"/>
        <v>#NUM!</v>
      </c>
      <c r="P96" s="93"/>
      <c r="Q96" s="93"/>
      <c r="R96" s="93"/>
      <c r="S96" s="93"/>
      <c r="T96" s="12" t="s">
        <v>767</v>
      </c>
      <c r="U96" s="12" t="s">
        <v>886</v>
      </c>
      <c r="V96" s="90"/>
      <c r="W96" s="28"/>
      <c r="X96" s="28"/>
      <c r="Y96" s="122"/>
      <c r="Z96" s="122"/>
      <c r="AA96" s="122"/>
      <c r="AB96" s="122"/>
      <c r="AC96" s="122"/>
      <c r="AD96" s="124"/>
      <c r="AE96" s="122"/>
      <c r="AF96" s="122"/>
      <c r="AG96" s="122"/>
      <c r="AH96" s="123"/>
      <c r="AI96" s="15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thickBot="1" x14ac:dyDescent="0.3">
      <c r="A97" s="1" t="s">
        <v>17</v>
      </c>
      <c r="B97" s="122" t="s">
        <v>883</v>
      </c>
      <c r="C97" s="122"/>
      <c r="D97" s="20" t="s">
        <v>118</v>
      </c>
      <c r="E97" s="31" t="s">
        <v>585</v>
      </c>
      <c r="F97" s="22" t="s">
        <v>151</v>
      </c>
      <c r="G97" s="11" t="s">
        <v>7</v>
      </c>
      <c r="H97" s="98">
        <v>24422070060154</v>
      </c>
      <c r="I97" s="122"/>
      <c r="J97" s="122"/>
      <c r="K97" s="122"/>
      <c r="L97" s="122"/>
      <c r="M97" s="73" t="e">
        <f t="shared" si="3"/>
        <v>#NUM!</v>
      </c>
      <c r="N97" s="23" t="e">
        <f t="shared" si="5"/>
        <v>#NUM!</v>
      </c>
      <c r="O97" s="73" t="e">
        <f t="shared" si="4"/>
        <v>#NUM!</v>
      </c>
      <c r="P97" s="93"/>
      <c r="Q97" s="93"/>
      <c r="R97" s="93"/>
      <c r="S97" s="93"/>
      <c r="T97" s="12" t="s">
        <v>767</v>
      </c>
      <c r="U97" s="12" t="s">
        <v>886</v>
      </c>
      <c r="V97" s="90"/>
      <c r="W97" s="28"/>
      <c r="X97" s="28"/>
      <c r="Y97" s="122"/>
      <c r="Z97" s="122"/>
      <c r="AA97" s="122"/>
      <c r="AB97" s="122"/>
      <c r="AC97" s="122"/>
      <c r="AD97" s="124"/>
      <c r="AE97" s="122"/>
      <c r="AF97" s="122"/>
      <c r="AG97" s="122"/>
      <c r="AH97" s="123"/>
      <c r="AI97" s="15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thickBot="1" x14ac:dyDescent="0.3">
      <c r="A98" s="1" t="s">
        <v>17</v>
      </c>
      <c r="B98" s="122" t="s">
        <v>882</v>
      </c>
      <c r="C98" s="122"/>
      <c r="D98" s="20" t="s">
        <v>852</v>
      </c>
      <c r="E98" s="31" t="s">
        <v>586</v>
      </c>
      <c r="F98" s="22" t="s">
        <v>151</v>
      </c>
      <c r="G98" s="11" t="s">
        <v>7</v>
      </c>
      <c r="H98" s="98">
        <v>24422070060155</v>
      </c>
      <c r="I98" s="122">
        <v>11</v>
      </c>
      <c r="J98" s="122">
        <v>12</v>
      </c>
      <c r="K98" s="122" t="s">
        <v>768</v>
      </c>
      <c r="L98" s="122">
        <v>2025</v>
      </c>
      <c r="M98" s="73">
        <f t="shared" si="3"/>
        <v>46002</v>
      </c>
      <c r="N98" s="23" t="e">
        <f t="shared" si="5"/>
        <v>#NUM!</v>
      </c>
      <c r="O98" s="73" t="e">
        <f t="shared" si="4"/>
        <v>#NUM!</v>
      </c>
      <c r="P98" s="93"/>
      <c r="Q98" s="93"/>
      <c r="R98" s="93"/>
      <c r="S98" s="93"/>
      <c r="T98" s="12" t="s">
        <v>767</v>
      </c>
      <c r="U98" s="12" t="s">
        <v>886</v>
      </c>
      <c r="V98" s="90" t="s">
        <v>777</v>
      </c>
      <c r="W98" s="28" t="s">
        <v>730</v>
      </c>
      <c r="X98" s="28" t="s">
        <v>155</v>
      </c>
      <c r="Y98" s="122"/>
      <c r="Z98" s="122">
        <v>1</v>
      </c>
      <c r="AA98" s="122">
        <v>1</v>
      </c>
      <c r="AB98" s="122">
        <v>1</v>
      </c>
      <c r="AC98" s="122">
        <v>1</v>
      </c>
      <c r="AD98" s="124">
        <v>1</v>
      </c>
      <c r="AE98" s="122">
        <v>2</v>
      </c>
      <c r="AF98" s="122"/>
      <c r="AG98" s="122"/>
      <c r="AH98" s="123"/>
      <c r="AI98" s="15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thickBot="1" x14ac:dyDescent="0.3">
      <c r="A99" s="1" t="s">
        <v>17</v>
      </c>
      <c r="B99" s="122" t="s">
        <v>883</v>
      </c>
      <c r="C99" s="122"/>
      <c r="D99" s="20" t="s">
        <v>119</v>
      </c>
      <c r="E99" s="31" t="s">
        <v>587</v>
      </c>
      <c r="F99" s="22" t="s">
        <v>151</v>
      </c>
      <c r="G99" s="11" t="s">
        <v>7</v>
      </c>
      <c r="H99" s="98">
        <v>24422070060158</v>
      </c>
      <c r="I99" s="122"/>
      <c r="J99" s="122"/>
      <c r="K99" s="122"/>
      <c r="L99" s="122"/>
      <c r="M99" s="73" t="e">
        <f t="shared" si="3"/>
        <v>#NUM!</v>
      </c>
      <c r="N99" s="23" t="e">
        <f t="shared" si="5"/>
        <v>#NUM!</v>
      </c>
      <c r="O99" s="73" t="e">
        <f t="shared" si="4"/>
        <v>#NUM!</v>
      </c>
      <c r="P99" s="93"/>
      <c r="Q99" s="93"/>
      <c r="R99" s="93"/>
      <c r="S99" s="93"/>
      <c r="T99" s="12" t="s">
        <v>767</v>
      </c>
      <c r="U99" s="12" t="s">
        <v>886</v>
      </c>
      <c r="V99" s="90"/>
      <c r="W99" s="28"/>
      <c r="X99" s="28"/>
      <c r="Y99" s="122"/>
      <c r="Z99" s="122"/>
      <c r="AA99" s="122"/>
      <c r="AB99" s="122"/>
      <c r="AC99" s="122"/>
      <c r="AD99" s="124"/>
      <c r="AE99" s="122"/>
      <c r="AF99" s="122"/>
      <c r="AG99" s="122"/>
      <c r="AH99" s="123"/>
      <c r="AI99" s="15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thickBot="1" x14ac:dyDescent="0.3">
      <c r="A100" s="1" t="s">
        <v>17</v>
      </c>
      <c r="B100" s="122" t="s">
        <v>882</v>
      </c>
      <c r="C100" s="122"/>
      <c r="D100" s="20" t="s">
        <v>120</v>
      </c>
      <c r="E100" s="31" t="s">
        <v>588</v>
      </c>
      <c r="F100" s="22" t="s">
        <v>151</v>
      </c>
      <c r="G100" s="11" t="s">
        <v>7</v>
      </c>
      <c r="H100" s="98">
        <v>24422070060159</v>
      </c>
      <c r="I100" s="122"/>
      <c r="J100" s="122"/>
      <c r="K100" s="122"/>
      <c r="L100" s="122"/>
      <c r="M100" s="73" t="e">
        <f t="shared" si="3"/>
        <v>#NUM!</v>
      </c>
      <c r="N100" s="23" t="e">
        <f t="shared" si="5"/>
        <v>#NUM!</v>
      </c>
      <c r="O100" s="73" t="e">
        <f t="shared" si="4"/>
        <v>#NUM!</v>
      </c>
      <c r="P100" s="93"/>
      <c r="Q100" s="93"/>
      <c r="R100" s="93"/>
      <c r="S100" s="93"/>
      <c r="T100" s="12" t="s">
        <v>767</v>
      </c>
      <c r="U100" s="12" t="s">
        <v>886</v>
      </c>
      <c r="V100" s="90" t="s">
        <v>777</v>
      </c>
      <c r="W100" s="28" t="s">
        <v>772</v>
      </c>
      <c r="X100" s="28" t="s">
        <v>771</v>
      </c>
      <c r="Y100" s="122"/>
      <c r="Z100" s="122">
        <v>1</v>
      </c>
      <c r="AA100" s="122">
        <v>1</v>
      </c>
      <c r="AB100" s="122">
        <v>2</v>
      </c>
      <c r="AC100" s="122"/>
      <c r="AD100" s="124">
        <v>1</v>
      </c>
      <c r="AE100" s="122"/>
      <c r="AF100" s="122"/>
      <c r="AG100" s="122"/>
      <c r="AH100" s="123"/>
      <c r="AI100" s="15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thickBot="1" x14ac:dyDescent="0.3">
      <c r="A101" s="1" t="s">
        <v>17</v>
      </c>
      <c r="B101" s="122" t="s">
        <v>883</v>
      </c>
      <c r="C101" s="122"/>
      <c r="D101" s="20" t="s">
        <v>121</v>
      </c>
      <c r="E101" s="31" t="s">
        <v>589</v>
      </c>
      <c r="F101" s="22" t="s">
        <v>151</v>
      </c>
      <c r="G101" s="11" t="s">
        <v>7</v>
      </c>
      <c r="H101" s="98">
        <v>24422070060161</v>
      </c>
      <c r="I101" s="122">
        <v>19</v>
      </c>
      <c r="J101" s="122">
        <v>1</v>
      </c>
      <c r="K101" s="122" t="s">
        <v>187</v>
      </c>
      <c r="L101" s="122">
        <v>2026</v>
      </c>
      <c r="M101" s="73">
        <f t="shared" si="3"/>
        <v>46041</v>
      </c>
      <c r="N101" s="23" t="e">
        <f t="shared" si="5"/>
        <v>#NUM!</v>
      </c>
      <c r="O101" s="73" t="e">
        <f t="shared" si="4"/>
        <v>#NUM!</v>
      </c>
      <c r="P101" s="93"/>
      <c r="Q101" s="93"/>
      <c r="R101" s="93"/>
      <c r="S101" s="93"/>
      <c r="T101" s="12" t="s">
        <v>767</v>
      </c>
      <c r="U101" s="12" t="s">
        <v>886</v>
      </c>
      <c r="V101" s="90" t="s">
        <v>777</v>
      </c>
      <c r="W101" s="28" t="s">
        <v>174</v>
      </c>
      <c r="X101" s="28" t="s">
        <v>771</v>
      </c>
      <c r="Y101" s="122"/>
      <c r="Z101" s="122">
        <v>1</v>
      </c>
      <c r="AA101" s="122">
        <v>1</v>
      </c>
      <c r="AB101" s="122">
        <v>1</v>
      </c>
      <c r="AC101" s="122">
        <v>1</v>
      </c>
      <c r="AD101" s="124">
        <v>1</v>
      </c>
      <c r="AE101" s="122"/>
      <c r="AF101" s="122"/>
      <c r="AG101" s="122"/>
      <c r="AH101" s="123"/>
      <c r="AI101" s="15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thickBot="1" x14ac:dyDescent="0.3">
      <c r="A102" s="1" t="s">
        <v>17</v>
      </c>
      <c r="B102" s="122" t="s">
        <v>882</v>
      </c>
      <c r="C102" s="122"/>
      <c r="D102" s="20" t="s">
        <v>677</v>
      </c>
      <c r="E102" s="31" t="s">
        <v>590</v>
      </c>
      <c r="F102" s="22" t="s">
        <v>151</v>
      </c>
      <c r="G102" s="11" t="s">
        <v>7</v>
      </c>
      <c r="H102" s="98">
        <v>24422070060613</v>
      </c>
      <c r="I102" s="122">
        <v>18</v>
      </c>
      <c r="J102" s="122">
        <v>2</v>
      </c>
      <c r="K102" s="122" t="s">
        <v>798</v>
      </c>
      <c r="L102" s="122">
        <v>2026</v>
      </c>
      <c r="M102" s="73">
        <f t="shared" si="3"/>
        <v>46071</v>
      </c>
      <c r="N102" s="23" t="e">
        <f t="shared" si="5"/>
        <v>#NUM!</v>
      </c>
      <c r="O102" s="73" t="e">
        <f t="shared" si="4"/>
        <v>#NUM!</v>
      </c>
      <c r="P102" s="93"/>
      <c r="Q102" s="93"/>
      <c r="R102" s="93"/>
      <c r="S102" s="93"/>
      <c r="T102" s="12" t="s">
        <v>767</v>
      </c>
      <c r="U102" s="12" t="s">
        <v>886</v>
      </c>
      <c r="V102" s="90" t="s">
        <v>777</v>
      </c>
      <c r="W102" s="28" t="s">
        <v>755</v>
      </c>
      <c r="X102" s="28" t="s">
        <v>155</v>
      </c>
      <c r="Y102" s="122"/>
      <c r="Z102" s="122"/>
      <c r="AA102" s="122"/>
      <c r="AB102" s="122">
        <v>2</v>
      </c>
      <c r="AC102" s="122">
        <v>2</v>
      </c>
      <c r="AD102" s="124">
        <v>2</v>
      </c>
      <c r="AE102" s="122"/>
      <c r="AF102" s="122"/>
      <c r="AG102" s="122"/>
      <c r="AH102" s="123"/>
      <c r="AI102" s="15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thickBot="1" x14ac:dyDescent="0.3">
      <c r="A103" s="1" t="s">
        <v>17</v>
      </c>
      <c r="B103" s="122" t="s">
        <v>883</v>
      </c>
      <c r="C103" s="128">
        <v>2</v>
      </c>
      <c r="D103" s="20" t="s">
        <v>678</v>
      </c>
      <c r="E103" s="31" t="s">
        <v>591</v>
      </c>
      <c r="F103" s="22" t="s">
        <v>151</v>
      </c>
      <c r="G103" s="11" t="s">
        <v>7</v>
      </c>
      <c r="H103" s="98">
        <v>24422070060163</v>
      </c>
      <c r="I103" s="122"/>
      <c r="J103" s="122"/>
      <c r="K103" s="122"/>
      <c r="L103" s="122"/>
      <c r="M103" s="73" t="e">
        <f t="shared" si="3"/>
        <v>#NUM!</v>
      </c>
      <c r="N103" s="23" t="e">
        <f t="shared" si="5"/>
        <v>#NUM!</v>
      </c>
      <c r="O103" s="73" t="e">
        <f t="shared" si="4"/>
        <v>#NUM!</v>
      </c>
      <c r="P103" s="93"/>
      <c r="Q103" s="93"/>
      <c r="R103" s="93"/>
      <c r="S103" s="93"/>
      <c r="T103" s="12" t="s">
        <v>767</v>
      </c>
      <c r="U103" s="12" t="s">
        <v>886</v>
      </c>
      <c r="V103" s="90"/>
      <c r="W103" s="28"/>
      <c r="X103" s="28"/>
      <c r="Y103" s="122"/>
      <c r="Z103" s="122"/>
      <c r="AA103" s="122"/>
      <c r="AB103" s="122"/>
      <c r="AC103" s="122"/>
      <c r="AD103" s="124"/>
      <c r="AE103" s="122"/>
      <c r="AF103" s="122"/>
      <c r="AG103" s="122"/>
      <c r="AH103" s="123"/>
      <c r="AI103" s="15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thickBot="1" x14ac:dyDescent="0.3">
      <c r="A104" s="1" t="s">
        <v>17</v>
      </c>
      <c r="B104" s="122" t="s">
        <v>883</v>
      </c>
      <c r="C104" s="122"/>
      <c r="D104" s="20" t="s">
        <v>679</v>
      </c>
      <c r="E104" s="31" t="s">
        <v>592</v>
      </c>
      <c r="F104" s="22" t="s">
        <v>151</v>
      </c>
      <c r="G104" s="11" t="s">
        <v>7</v>
      </c>
      <c r="H104" s="98">
        <v>24422070060164</v>
      </c>
      <c r="I104" s="122"/>
      <c r="J104" s="122"/>
      <c r="K104" s="122"/>
      <c r="L104" s="122"/>
      <c r="M104" s="73" t="e">
        <f t="shared" si="3"/>
        <v>#NUM!</v>
      </c>
      <c r="N104" s="23" t="e">
        <f t="shared" si="5"/>
        <v>#NUM!</v>
      </c>
      <c r="O104" s="73" t="e">
        <f t="shared" si="4"/>
        <v>#NUM!</v>
      </c>
      <c r="P104" s="93"/>
      <c r="Q104" s="93"/>
      <c r="R104" s="93"/>
      <c r="S104" s="93"/>
      <c r="T104" s="12" t="s">
        <v>767</v>
      </c>
      <c r="U104" s="12" t="s">
        <v>886</v>
      </c>
      <c r="V104" s="90"/>
      <c r="W104" s="28"/>
      <c r="X104" s="28"/>
      <c r="Y104" s="122"/>
      <c r="Z104" s="122"/>
      <c r="AA104" s="122"/>
      <c r="AB104" s="122"/>
      <c r="AC104" s="122"/>
      <c r="AD104" s="124"/>
      <c r="AE104" s="122"/>
      <c r="AF104" s="122"/>
      <c r="AG104" s="122"/>
      <c r="AH104" s="123"/>
      <c r="AI104" s="15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thickBot="1" x14ac:dyDescent="0.3">
      <c r="A105" s="1" t="s">
        <v>17</v>
      </c>
      <c r="B105" s="122" t="s">
        <v>883</v>
      </c>
      <c r="C105" s="122"/>
      <c r="D105" s="20" t="s">
        <v>680</v>
      </c>
      <c r="E105" s="31" t="s">
        <v>593</v>
      </c>
      <c r="F105" s="22" t="s">
        <v>151</v>
      </c>
      <c r="G105" s="11" t="s">
        <v>7</v>
      </c>
      <c r="H105" s="98">
        <v>24422070060165</v>
      </c>
      <c r="I105" s="122">
        <v>12</v>
      </c>
      <c r="J105" s="122">
        <v>1</v>
      </c>
      <c r="K105" s="122" t="s">
        <v>187</v>
      </c>
      <c r="L105" s="122">
        <v>2026</v>
      </c>
      <c r="M105" s="73">
        <f t="shared" si="3"/>
        <v>46034</v>
      </c>
      <c r="N105" s="23" t="e">
        <f t="shared" si="5"/>
        <v>#NUM!</v>
      </c>
      <c r="O105" s="73" t="e">
        <f t="shared" si="4"/>
        <v>#NUM!</v>
      </c>
      <c r="P105" s="93"/>
      <c r="Q105" s="93"/>
      <c r="R105" s="93"/>
      <c r="S105" s="93"/>
      <c r="T105" s="12" t="s">
        <v>767</v>
      </c>
      <c r="U105" s="12" t="s">
        <v>886</v>
      </c>
      <c r="V105" s="90" t="s">
        <v>777</v>
      </c>
      <c r="W105" s="28" t="s">
        <v>730</v>
      </c>
      <c r="X105" s="28" t="s">
        <v>155</v>
      </c>
      <c r="Y105" s="122"/>
      <c r="Z105" s="122">
        <v>1</v>
      </c>
      <c r="AA105" s="122">
        <v>1</v>
      </c>
      <c r="AB105" s="122">
        <v>1</v>
      </c>
      <c r="AC105" s="122">
        <v>1</v>
      </c>
      <c r="AD105" s="124">
        <v>1</v>
      </c>
      <c r="AE105" s="122"/>
      <c r="AF105" s="122"/>
      <c r="AG105" s="122"/>
      <c r="AH105" s="123"/>
      <c r="AI105" s="15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thickBot="1" x14ac:dyDescent="0.3">
      <c r="A106" s="1" t="s">
        <v>17</v>
      </c>
      <c r="B106" s="122" t="s">
        <v>883</v>
      </c>
      <c r="C106" s="122"/>
      <c r="D106" s="20" t="s">
        <v>681</v>
      </c>
      <c r="E106" s="31" t="s">
        <v>594</v>
      </c>
      <c r="F106" s="22" t="s">
        <v>151</v>
      </c>
      <c r="G106" s="11" t="s">
        <v>7</v>
      </c>
      <c r="H106" s="98">
        <v>24422070060166</v>
      </c>
      <c r="I106" s="122"/>
      <c r="J106" s="122"/>
      <c r="K106" s="122"/>
      <c r="L106" s="122"/>
      <c r="M106" s="73" t="e">
        <f t="shared" si="3"/>
        <v>#NUM!</v>
      </c>
      <c r="N106" s="23" t="e">
        <f t="shared" si="5"/>
        <v>#NUM!</v>
      </c>
      <c r="O106" s="73" t="e">
        <f t="shared" si="4"/>
        <v>#NUM!</v>
      </c>
      <c r="P106" s="93"/>
      <c r="Q106" s="93"/>
      <c r="R106" s="93"/>
      <c r="S106" s="93"/>
      <c r="T106" s="12" t="s">
        <v>767</v>
      </c>
      <c r="U106" s="12" t="s">
        <v>886</v>
      </c>
      <c r="V106" s="90"/>
      <c r="W106" s="28"/>
      <c r="X106" s="28"/>
      <c r="Y106" s="122"/>
      <c r="Z106" s="122"/>
      <c r="AA106" s="122"/>
      <c r="AB106" s="122"/>
      <c r="AC106" s="122"/>
      <c r="AD106" s="124"/>
      <c r="AE106" s="122"/>
      <c r="AF106" s="122"/>
      <c r="AG106" s="122"/>
      <c r="AH106" s="123"/>
      <c r="AI106" s="15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thickBot="1" x14ac:dyDescent="0.3">
      <c r="A107" s="1" t="s">
        <v>17</v>
      </c>
      <c r="B107" s="122" t="s">
        <v>883</v>
      </c>
      <c r="C107" s="122"/>
      <c r="D107" s="20" t="s">
        <v>682</v>
      </c>
      <c r="E107" s="31" t="s">
        <v>595</v>
      </c>
      <c r="F107" s="22" t="s">
        <v>151</v>
      </c>
      <c r="G107" s="11" t="s">
        <v>7</v>
      </c>
      <c r="H107" s="98">
        <v>24422070060168</v>
      </c>
      <c r="I107" s="122"/>
      <c r="J107" s="122"/>
      <c r="K107" s="122"/>
      <c r="L107" s="122"/>
      <c r="M107" s="73" t="e">
        <f t="shared" si="3"/>
        <v>#NUM!</v>
      </c>
      <c r="N107" s="23" t="e">
        <f t="shared" si="5"/>
        <v>#NUM!</v>
      </c>
      <c r="O107" s="73" t="e">
        <f t="shared" si="4"/>
        <v>#NUM!</v>
      </c>
      <c r="P107" s="93"/>
      <c r="Q107" s="93"/>
      <c r="R107" s="93"/>
      <c r="S107" s="93"/>
      <c r="T107" s="12" t="s">
        <v>767</v>
      </c>
      <c r="U107" s="12" t="s">
        <v>886</v>
      </c>
      <c r="V107" s="90" t="s">
        <v>777</v>
      </c>
      <c r="W107" s="28" t="s">
        <v>174</v>
      </c>
      <c r="X107" s="28" t="s">
        <v>771</v>
      </c>
      <c r="Y107" s="122"/>
      <c r="Z107" s="122">
        <v>1</v>
      </c>
      <c r="AA107" s="122">
        <v>1</v>
      </c>
      <c r="AB107" s="122"/>
      <c r="AC107" s="122"/>
      <c r="AD107" s="124">
        <v>1</v>
      </c>
      <c r="AE107" s="122"/>
      <c r="AF107" s="122"/>
      <c r="AG107" s="122"/>
      <c r="AH107" s="123"/>
      <c r="AI107" s="15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thickBot="1" x14ac:dyDescent="0.3">
      <c r="A108" s="1" t="s">
        <v>17</v>
      </c>
      <c r="B108" s="122" t="s">
        <v>883</v>
      </c>
      <c r="C108" s="122"/>
      <c r="D108" s="20" t="s">
        <v>683</v>
      </c>
      <c r="E108" s="31" t="s">
        <v>596</v>
      </c>
      <c r="F108" s="22" t="s">
        <v>151</v>
      </c>
      <c r="G108" s="11" t="s">
        <v>7</v>
      </c>
      <c r="H108" s="98">
        <v>24422070060170</v>
      </c>
      <c r="I108" s="122">
        <v>26</v>
      </c>
      <c r="J108" s="122">
        <v>1</v>
      </c>
      <c r="K108" s="122" t="s">
        <v>187</v>
      </c>
      <c r="L108" s="122">
        <v>2026</v>
      </c>
      <c r="M108" s="73">
        <f t="shared" si="3"/>
        <v>46048</v>
      </c>
      <c r="N108" s="23" t="e">
        <f t="shared" si="5"/>
        <v>#NUM!</v>
      </c>
      <c r="O108" s="73" t="e">
        <f t="shared" si="4"/>
        <v>#NUM!</v>
      </c>
      <c r="P108" s="93"/>
      <c r="Q108" s="93"/>
      <c r="R108" s="93"/>
      <c r="S108" s="93"/>
      <c r="T108" s="12" t="s">
        <v>767</v>
      </c>
      <c r="U108" s="12" t="s">
        <v>886</v>
      </c>
      <c r="V108" s="90" t="s">
        <v>777</v>
      </c>
      <c r="W108" s="28" t="s">
        <v>829</v>
      </c>
      <c r="X108" s="28" t="s">
        <v>771</v>
      </c>
      <c r="Y108" s="122"/>
      <c r="Z108" s="122">
        <v>1</v>
      </c>
      <c r="AA108" s="122">
        <v>1</v>
      </c>
      <c r="AB108" s="122">
        <v>2</v>
      </c>
      <c r="AC108" s="122">
        <v>2</v>
      </c>
      <c r="AD108" s="124">
        <v>1</v>
      </c>
      <c r="AE108" s="122"/>
      <c r="AF108" s="122"/>
      <c r="AG108" s="122"/>
      <c r="AH108" s="123"/>
      <c r="AI108" s="15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thickBot="1" x14ac:dyDescent="0.3">
      <c r="A109" s="1" t="s">
        <v>17</v>
      </c>
      <c r="B109" s="122" t="s">
        <v>883</v>
      </c>
      <c r="C109" s="128">
        <v>1</v>
      </c>
      <c r="D109" s="20" t="s">
        <v>684</v>
      </c>
      <c r="E109" s="101" t="s">
        <v>597</v>
      </c>
      <c r="F109" s="22" t="s">
        <v>151</v>
      </c>
      <c r="G109" s="11" t="s">
        <v>7</v>
      </c>
      <c r="H109" s="99">
        <v>23422070060323</v>
      </c>
      <c r="I109" s="122"/>
      <c r="J109" s="122"/>
      <c r="K109" s="122"/>
      <c r="L109" s="122"/>
      <c r="M109" s="73" t="e">
        <f t="shared" si="3"/>
        <v>#NUM!</v>
      </c>
      <c r="N109" s="23" t="e">
        <f t="shared" si="5"/>
        <v>#NUM!</v>
      </c>
      <c r="O109" s="73" t="e">
        <f t="shared" si="4"/>
        <v>#NUM!</v>
      </c>
      <c r="P109" s="93"/>
      <c r="Q109" s="93"/>
      <c r="R109" s="93"/>
      <c r="S109" s="93"/>
      <c r="T109" s="12" t="s">
        <v>767</v>
      </c>
      <c r="U109" s="12" t="s">
        <v>886</v>
      </c>
      <c r="V109" s="90"/>
      <c r="W109" s="28"/>
      <c r="X109" s="28"/>
      <c r="Y109" s="122"/>
      <c r="Z109" s="122"/>
      <c r="AA109" s="122"/>
      <c r="AB109" s="122"/>
      <c r="AC109" s="122"/>
      <c r="AD109" s="124"/>
      <c r="AE109" s="122"/>
      <c r="AF109" s="122"/>
      <c r="AG109" s="122"/>
      <c r="AH109" s="123"/>
      <c r="AI109" s="15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thickBot="1" x14ac:dyDescent="0.3">
      <c r="A110" s="1" t="s">
        <v>17</v>
      </c>
      <c r="B110" s="122" t="s">
        <v>883</v>
      </c>
      <c r="C110" s="122"/>
      <c r="D110" s="20" t="s">
        <v>685</v>
      </c>
      <c r="E110" s="31" t="s">
        <v>598</v>
      </c>
      <c r="F110" s="22" t="s">
        <v>151</v>
      </c>
      <c r="G110" s="11" t="s">
        <v>7</v>
      </c>
      <c r="H110" s="98">
        <v>24422070060171</v>
      </c>
      <c r="I110" s="122"/>
      <c r="J110" s="122"/>
      <c r="K110" s="122"/>
      <c r="L110" s="122"/>
      <c r="M110" s="73" t="e">
        <f t="shared" si="3"/>
        <v>#NUM!</v>
      </c>
      <c r="N110" s="23" t="e">
        <f t="shared" si="5"/>
        <v>#NUM!</v>
      </c>
      <c r="O110" s="73" t="e">
        <f t="shared" si="4"/>
        <v>#NUM!</v>
      </c>
      <c r="P110" s="93"/>
      <c r="Q110" s="93"/>
      <c r="R110" s="93"/>
      <c r="S110" s="93"/>
      <c r="T110" s="12" t="s">
        <v>767</v>
      </c>
      <c r="U110" s="12" t="s">
        <v>886</v>
      </c>
      <c r="V110" s="90"/>
      <c r="W110" s="28"/>
      <c r="X110" s="28"/>
      <c r="Y110" s="122"/>
      <c r="Z110" s="122"/>
      <c r="AA110" s="122"/>
      <c r="AB110" s="122"/>
      <c r="AC110" s="122"/>
      <c r="AD110" s="124"/>
      <c r="AE110" s="122"/>
      <c r="AF110" s="122"/>
      <c r="AG110" s="122"/>
      <c r="AH110" s="123"/>
      <c r="AI110" s="15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thickBot="1" x14ac:dyDescent="0.3">
      <c r="A111" s="1" t="s">
        <v>17</v>
      </c>
      <c r="B111" s="122" t="s">
        <v>882</v>
      </c>
      <c r="C111" s="122"/>
      <c r="D111" s="20" t="s">
        <v>686</v>
      </c>
      <c r="E111" s="31" t="s">
        <v>599</v>
      </c>
      <c r="F111" s="22" t="s">
        <v>151</v>
      </c>
      <c r="G111" s="11" t="s">
        <v>7</v>
      </c>
      <c r="H111" s="98">
        <v>24422070060609</v>
      </c>
      <c r="I111" s="122"/>
      <c r="J111" s="122"/>
      <c r="K111" s="122"/>
      <c r="L111" s="122"/>
      <c r="M111" s="73" t="e">
        <f t="shared" si="3"/>
        <v>#NUM!</v>
      </c>
      <c r="N111" s="23" t="e">
        <f t="shared" si="5"/>
        <v>#NUM!</v>
      </c>
      <c r="O111" s="73" t="e">
        <f t="shared" si="4"/>
        <v>#NUM!</v>
      </c>
      <c r="P111" s="93"/>
      <c r="Q111" s="93"/>
      <c r="R111" s="93"/>
      <c r="S111" s="93"/>
      <c r="T111" s="12" t="s">
        <v>767</v>
      </c>
      <c r="U111" s="12" t="s">
        <v>886</v>
      </c>
      <c r="V111" s="90"/>
      <c r="W111" s="28"/>
      <c r="X111" s="28"/>
      <c r="Y111" s="122"/>
      <c r="Z111" s="122"/>
      <c r="AA111" s="122"/>
      <c r="AB111" s="122"/>
      <c r="AC111" s="122"/>
      <c r="AD111" s="124"/>
      <c r="AE111" s="122"/>
      <c r="AF111" s="122"/>
      <c r="AG111" s="122"/>
      <c r="AH111" s="123"/>
      <c r="AI111" s="15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thickBot="1" x14ac:dyDescent="0.3">
      <c r="A112" s="1" t="s">
        <v>17</v>
      </c>
      <c r="B112" s="122" t="s">
        <v>883</v>
      </c>
      <c r="C112" s="122"/>
      <c r="D112" s="20" t="s">
        <v>687</v>
      </c>
      <c r="E112" s="31" t="s">
        <v>600</v>
      </c>
      <c r="F112" s="22" t="s">
        <v>151</v>
      </c>
      <c r="G112" s="11" t="s">
        <v>7</v>
      </c>
      <c r="H112" s="98">
        <v>24422070060173</v>
      </c>
      <c r="I112" s="122"/>
      <c r="J112" s="122"/>
      <c r="K112" s="122"/>
      <c r="L112" s="122"/>
      <c r="M112" s="73" t="e">
        <f t="shared" si="3"/>
        <v>#NUM!</v>
      </c>
      <c r="N112" s="23" t="e">
        <f t="shared" si="5"/>
        <v>#NUM!</v>
      </c>
      <c r="O112" s="73" t="e">
        <f t="shared" si="4"/>
        <v>#NUM!</v>
      </c>
      <c r="P112" s="93"/>
      <c r="Q112" s="93"/>
      <c r="R112" s="93"/>
      <c r="S112" s="93"/>
      <c r="T112" s="12" t="s">
        <v>767</v>
      </c>
      <c r="U112" s="12" t="s">
        <v>886</v>
      </c>
      <c r="V112" s="90"/>
      <c r="W112" s="28"/>
      <c r="X112" s="28"/>
      <c r="Y112" s="122"/>
      <c r="Z112" s="122"/>
      <c r="AA112" s="122"/>
      <c r="AB112" s="122"/>
      <c r="AC112" s="122"/>
      <c r="AD112" s="124"/>
      <c r="AE112" s="122"/>
      <c r="AF112" s="122"/>
      <c r="AG112" s="122"/>
      <c r="AH112" s="123"/>
      <c r="AI112" s="15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thickBot="1" x14ac:dyDescent="0.3">
      <c r="A113" s="94" t="s">
        <v>18</v>
      </c>
      <c r="B113" s="122" t="s">
        <v>883</v>
      </c>
      <c r="C113" s="128">
        <v>1</v>
      </c>
      <c r="D113" s="20" t="s">
        <v>688</v>
      </c>
      <c r="E113" s="31" t="s">
        <v>642</v>
      </c>
      <c r="F113" s="22" t="s">
        <v>151</v>
      </c>
      <c r="G113" s="11" t="s">
        <v>7</v>
      </c>
      <c r="H113" s="97">
        <v>24422070060222</v>
      </c>
      <c r="I113" s="122">
        <v>16</v>
      </c>
      <c r="J113" s="122">
        <v>4</v>
      </c>
      <c r="K113" s="122" t="s">
        <v>868</v>
      </c>
      <c r="L113" s="122">
        <v>2026</v>
      </c>
      <c r="M113" s="73">
        <f t="shared" si="3"/>
        <v>46128</v>
      </c>
      <c r="N113" s="23" t="e">
        <f t="shared" si="5"/>
        <v>#NUM!</v>
      </c>
      <c r="O113" s="73" t="e">
        <f t="shared" si="4"/>
        <v>#NUM!</v>
      </c>
      <c r="P113" s="93"/>
      <c r="Q113" s="93"/>
      <c r="R113" s="93"/>
      <c r="S113" s="93"/>
      <c r="T113" s="12" t="s">
        <v>767</v>
      </c>
      <c r="U113" s="12" t="s">
        <v>886</v>
      </c>
      <c r="V113" s="90" t="s">
        <v>777</v>
      </c>
      <c r="W113" s="28" t="s">
        <v>860</v>
      </c>
      <c r="X113" s="28" t="s">
        <v>155</v>
      </c>
      <c r="Y113" s="122"/>
      <c r="Z113" s="122">
        <v>2</v>
      </c>
      <c r="AA113" s="122">
        <v>2</v>
      </c>
      <c r="AB113" s="122">
        <v>2</v>
      </c>
      <c r="AC113" s="122">
        <v>2</v>
      </c>
      <c r="AD113" s="124">
        <v>2</v>
      </c>
      <c r="AE113" s="122"/>
      <c r="AF113" s="122"/>
      <c r="AG113" s="122"/>
      <c r="AH113" s="123"/>
      <c r="AI113" s="15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thickBot="1" x14ac:dyDescent="0.3">
      <c r="A114" s="94" t="s">
        <v>18</v>
      </c>
      <c r="B114" s="122" t="s">
        <v>883</v>
      </c>
      <c r="C114" s="128">
        <v>1</v>
      </c>
      <c r="D114" s="20" t="s">
        <v>689</v>
      </c>
      <c r="E114" s="31" t="s">
        <v>643</v>
      </c>
      <c r="F114" s="22" t="s">
        <v>151</v>
      </c>
      <c r="G114" s="11" t="s">
        <v>7</v>
      </c>
      <c r="H114" s="97">
        <v>24422070060224</v>
      </c>
      <c r="I114" s="122"/>
      <c r="J114" s="122"/>
      <c r="K114" s="122"/>
      <c r="L114" s="122"/>
      <c r="M114" s="73" t="e">
        <f t="shared" si="3"/>
        <v>#NUM!</v>
      </c>
      <c r="N114" s="23" t="e">
        <f t="shared" si="5"/>
        <v>#NUM!</v>
      </c>
      <c r="O114" s="73" t="e">
        <f t="shared" si="4"/>
        <v>#NUM!</v>
      </c>
      <c r="P114" s="93"/>
      <c r="Q114" s="93"/>
      <c r="R114" s="93"/>
      <c r="S114" s="93"/>
      <c r="T114" s="12" t="s">
        <v>767</v>
      </c>
      <c r="U114" s="12" t="s">
        <v>886</v>
      </c>
      <c r="V114" s="90"/>
      <c r="W114" s="28"/>
      <c r="X114" s="28"/>
      <c r="Y114" s="122"/>
      <c r="Z114" s="122"/>
      <c r="AA114" s="122"/>
      <c r="AB114" s="122"/>
      <c r="AC114" s="122"/>
      <c r="AD114" s="124"/>
      <c r="AE114" s="122"/>
      <c r="AF114" s="122"/>
      <c r="AG114" s="122"/>
      <c r="AH114" s="123"/>
      <c r="AI114" s="15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thickBot="1" x14ac:dyDescent="0.3">
      <c r="A115" s="94" t="s">
        <v>18</v>
      </c>
      <c r="B115" s="122" t="s">
        <v>883</v>
      </c>
      <c r="C115" s="128">
        <v>2</v>
      </c>
      <c r="D115" s="20" t="s">
        <v>690</v>
      </c>
      <c r="E115" s="31" t="s">
        <v>644</v>
      </c>
      <c r="F115" s="22" t="s">
        <v>151</v>
      </c>
      <c r="G115" s="11" t="s">
        <v>7</v>
      </c>
      <c r="H115" s="97">
        <v>24422070060564</v>
      </c>
      <c r="I115" s="122"/>
      <c r="J115" s="122"/>
      <c r="K115" s="122"/>
      <c r="L115" s="122"/>
      <c r="M115" s="73" t="e">
        <f t="shared" si="3"/>
        <v>#NUM!</v>
      </c>
      <c r="N115" s="23" t="e">
        <f t="shared" si="5"/>
        <v>#NUM!</v>
      </c>
      <c r="O115" s="73" t="e">
        <f t="shared" si="4"/>
        <v>#NUM!</v>
      </c>
      <c r="P115" s="93"/>
      <c r="Q115" s="93"/>
      <c r="R115" s="93"/>
      <c r="S115" s="93"/>
      <c r="T115" s="12" t="s">
        <v>767</v>
      </c>
      <c r="U115" s="12" t="s">
        <v>886</v>
      </c>
      <c r="V115" s="90"/>
      <c r="W115" s="28"/>
      <c r="X115" s="28"/>
      <c r="Y115" s="122"/>
      <c r="Z115" s="122"/>
      <c r="AA115" s="122"/>
      <c r="AB115" s="122"/>
      <c r="AC115" s="122"/>
      <c r="AD115" s="124"/>
      <c r="AE115" s="122"/>
      <c r="AF115" s="122"/>
      <c r="AG115" s="122"/>
      <c r="AH115" s="123"/>
      <c r="AI115" s="15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thickBot="1" x14ac:dyDescent="0.3">
      <c r="A116" s="94" t="s">
        <v>18</v>
      </c>
      <c r="B116" s="122" t="s">
        <v>883</v>
      </c>
      <c r="C116" s="122"/>
      <c r="D116" s="20" t="s">
        <v>691</v>
      </c>
      <c r="E116" s="31" t="s">
        <v>645</v>
      </c>
      <c r="F116" s="22" t="s">
        <v>151</v>
      </c>
      <c r="G116" s="11" t="s">
        <v>7</v>
      </c>
      <c r="H116" s="97">
        <v>24422070060225</v>
      </c>
      <c r="I116" s="122"/>
      <c r="J116" s="122"/>
      <c r="K116" s="122"/>
      <c r="L116" s="122"/>
      <c r="M116" s="73" t="e">
        <f t="shared" si="3"/>
        <v>#NUM!</v>
      </c>
      <c r="N116" s="23" t="e">
        <f t="shared" si="5"/>
        <v>#NUM!</v>
      </c>
      <c r="O116" s="73" t="e">
        <f t="shared" si="4"/>
        <v>#NUM!</v>
      </c>
      <c r="P116" s="93"/>
      <c r="Q116" s="93"/>
      <c r="R116" s="93"/>
      <c r="S116" s="93"/>
      <c r="T116" s="12" t="s">
        <v>767</v>
      </c>
      <c r="U116" s="12" t="s">
        <v>886</v>
      </c>
      <c r="V116" s="90"/>
      <c r="W116" s="28"/>
      <c r="X116" s="28"/>
      <c r="Y116" s="122"/>
      <c r="Z116" s="122"/>
      <c r="AA116" s="122"/>
      <c r="AB116" s="122"/>
      <c r="AC116" s="122"/>
      <c r="AD116" s="124"/>
      <c r="AE116" s="122"/>
      <c r="AF116" s="122"/>
      <c r="AG116" s="122"/>
      <c r="AH116" s="123"/>
      <c r="AI116" s="15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thickBot="1" x14ac:dyDescent="0.3">
      <c r="A117" s="94" t="s">
        <v>18</v>
      </c>
      <c r="B117" s="122" t="s">
        <v>882</v>
      </c>
      <c r="C117" s="122"/>
      <c r="D117" s="20" t="s">
        <v>692</v>
      </c>
      <c r="E117" s="31" t="s">
        <v>646</v>
      </c>
      <c r="F117" s="22" t="s">
        <v>151</v>
      </c>
      <c r="G117" s="11" t="s">
        <v>7</v>
      </c>
      <c r="H117" s="97">
        <v>24422070060226</v>
      </c>
      <c r="I117" s="122">
        <v>5</v>
      </c>
      <c r="J117" s="122">
        <v>2</v>
      </c>
      <c r="K117" s="122" t="s">
        <v>798</v>
      </c>
      <c r="L117" s="122">
        <v>2026</v>
      </c>
      <c r="M117" s="73">
        <f t="shared" si="3"/>
        <v>46058</v>
      </c>
      <c r="N117" s="23" t="e">
        <f t="shared" si="5"/>
        <v>#NUM!</v>
      </c>
      <c r="O117" s="73" t="e">
        <f t="shared" si="4"/>
        <v>#NUM!</v>
      </c>
      <c r="P117" s="93"/>
      <c r="Q117" s="93"/>
      <c r="R117" s="93"/>
      <c r="S117" s="93"/>
      <c r="T117" s="12" t="s">
        <v>767</v>
      </c>
      <c r="U117" s="12" t="s">
        <v>886</v>
      </c>
      <c r="V117" s="90" t="s">
        <v>777</v>
      </c>
      <c r="W117" s="28" t="s">
        <v>755</v>
      </c>
      <c r="X117" s="28" t="s">
        <v>155</v>
      </c>
      <c r="Y117" s="122"/>
      <c r="Z117" s="122">
        <v>1</v>
      </c>
      <c r="AA117" s="122">
        <v>1</v>
      </c>
      <c r="AB117" s="122">
        <v>1</v>
      </c>
      <c r="AC117" s="122">
        <v>1</v>
      </c>
      <c r="AD117" s="124">
        <v>1</v>
      </c>
      <c r="AE117" s="122"/>
      <c r="AF117" s="122"/>
      <c r="AG117" s="122"/>
      <c r="AH117" s="123"/>
      <c r="AI117" s="15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thickBot="1" x14ac:dyDescent="0.3">
      <c r="A118" s="94" t="s">
        <v>18</v>
      </c>
      <c r="B118" s="122" t="s">
        <v>883</v>
      </c>
      <c r="C118" s="128">
        <v>2</v>
      </c>
      <c r="D118" s="20" t="s">
        <v>693</v>
      </c>
      <c r="E118" s="31" t="s">
        <v>647</v>
      </c>
      <c r="F118" s="22" t="s">
        <v>151</v>
      </c>
      <c r="G118" s="11" t="s">
        <v>7</v>
      </c>
      <c r="H118" s="97">
        <v>24422070060227</v>
      </c>
      <c r="I118" s="122"/>
      <c r="J118" s="122"/>
      <c r="K118" s="122"/>
      <c r="L118" s="122"/>
      <c r="M118" s="73" t="e">
        <f t="shared" si="3"/>
        <v>#NUM!</v>
      </c>
      <c r="N118" s="23" t="e">
        <f t="shared" si="5"/>
        <v>#NUM!</v>
      </c>
      <c r="O118" s="73" t="e">
        <f t="shared" si="4"/>
        <v>#NUM!</v>
      </c>
      <c r="P118" s="93"/>
      <c r="Q118" s="93"/>
      <c r="R118" s="93"/>
      <c r="S118" s="93"/>
      <c r="T118" s="12" t="s">
        <v>767</v>
      </c>
      <c r="U118" s="12" t="s">
        <v>886</v>
      </c>
      <c r="V118" s="90"/>
      <c r="W118" s="28"/>
      <c r="X118" s="28"/>
      <c r="Y118" s="122"/>
      <c r="Z118" s="122"/>
      <c r="AA118" s="122"/>
      <c r="AB118" s="122"/>
      <c r="AC118" s="122"/>
      <c r="AD118" s="124"/>
      <c r="AE118" s="122"/>
      <c r="AF118" s="122"/>
      <c r="AG118" s="122"/>
      <c r="AH118" s="123"/>
      <c r="AI118" s="15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thickBot="1" x14ac:dyDescent="0.3">
      <c r="A119" s="94" t="s">
        <v>18</v>
      </c>
      <c r="B119" s="122" t="s">
        <v>883</v>
      </c>
      <c r="C119" s="122"/>
      <c r="D119" s="20" t="s">
        <v>694</v>
      </c>
      <c r="E119" s="31" t="s">
        <v>648</v>
      </c>
      <c r="F119" s="22" t="s">
        <v>151</v>
      </c>
      <c r="G119" s="11" t="s">
        <v>7</v>
      </c>
      <c r="H119" s="97">
        <v>24422070060228</v>
      </c>
      <c r="I119" s="122"/>
      <c r="J119" s="122"/>
      <c r="K119" s="122"/>
      <c r="L119" s="122"/>
      <c r="M119" s="73" t="e">
        <f t="shared" si="3"/>
        <v>#NUM!</v>
      </c>
      <c r="N119" s="23" t="e">
        <f t="shared" si="5"/>
        <v>#NUM!</v>
      </c>
      <c r="O119" s="73" t="e">
        <f t="shared" si="4"/>
        <v>#NUM!</v>
      </c>
      <c r="P119" s="93"/>
      <c r="Q119" s="93"/>
      <c r="R119" s="93"/>
      <c r="S119" s="93"/>
      <c r="T119" s="12" t="s">
        <v>767</v>
      </c>
      <c r="U119" s="12" t="s">
        <v>886</v>
      </c>
      <c r="V119" s="90"/>
      <c r="W119" s="28"/>
      <c r="X119" s="28"/>
      <c r="Y119" s="122"/>
      <c r="Z119" s="122"/>
      <c r="AA119" s="122"/>
      <c r="AB119" s="122"/>
      <c r="AC119" s="122"/>
      <c r="AD119" s="124"/>
      <c r="AE119" s="122"/>
      <c r="AF119" s="122"/>
      <c r="AG119" s="122"/>
      <c r="AH119" s="123"/>
      <c r="AI119" s="15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thickBot="1" x14ac:dyDescent="0.3">
      <c r="A120" s="94" t="s">
        <v>18</v>
      </c>
      <c r="B120" s="122" t="s">
        <v>883</v>
      </c>
      <c r="C120" s="122"/>
      <c r="D120" s="20" t="s">
        <v>695</v>
      </c>
      <c r="E120" s="31" t="s">
        <v>649</v>
      </c>
      <c r="F120" s="22" t="s">
        <v>151</v>
      </c>
      <c r="G120" s="11" t="s">
        <v>7</v>
      </c>
      <c r="H120" s="97">
        <v>24422070060616</v>
      </c>
      <c r="I120" s="122"/>
      <c r="J120" s="122"/>
      <c r="K120" s="122"/>
      <c r="L120" s="122"/>
      <c r="M120" s="73" t="e">
        <f t="shared" si="3"/>
        <v>#NUM!</v>
      </c>
      <c r="N120" s="23" t="e">
        <f t="shared" si="5"/>
        <v>#NUM!</v>
      </c>
      <c r="O120" s="73" t="e">
        <f t="shared" si="4"/>
        <v>#NUM!</v>
      </c>
      <c r="P120" s="93"/>
      <c r="Q120" s="93"/>
      <c r="R120" s="93"/>
      <c r="S120" s="93"/>
      <c r="T120" s="12" t="s">
        <v>767</v>
      </c>
      <c r="U120" s="12" t="s">
        <v>886</v>
      </c>
      <c r="V120" s="90"/>
      <c r="W120" s="28"/>
      <c r="X120" s="28"/>
      <c r="Y120" s="122"/>
      <c r="Z120" s="122"/>
      <c r="AA120" s="122"/>
      <c r="AB120" s="122"/>
      <c r="AC120" s="122"/>
      <c r="AD120" s="124"/>
      <c r="AE120" s="122"/>
      <c r="AF120" s="122"/>
      <c r="AG120" s="122"/>
      <c r="AH120" s="123"/>
      <c r="AI120" s="15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thickBot="1" x14ac:dyDescent="0.3">
      <c r="A121" s="94"/>
      <c r="B121" s="122" t="s">
        <v>883</v>
      </c>
      <c r="C121" s="122"/>
      <c r="D121" s="20" t="s">
        <v>696</v>
      </c>
      <c r="E121" s="130" t="s">
        <v>853</v>
      </c>
      <c r="F121" s="22" t="s">
        <v>151</v>
      </c>
      <c r="G121" s="11" t="s">
        <v>7</v>
      </c>
      <c r="H121" s="97">
        <v>23422070060610</v>
      </c>
      <c r="I121" s="122"/>
      <c r="J121" s="122"/>
      <c r="K121" s="122"/>
      <c r="L121" s="122"/>
      <c r="M121" s="73"/>
      <c r="N121" s="23"/>
      <c r="O121" s="73"/>
      <c r="P121" s="93"/>
      <c r="Q121" s="93"/>
      <c r="R121" s="93"/>
      <c r="S121" s="93"/>
      <c r="T121" s="12" t="s">
        <v>767</v>
      </c>
      <c r="U121" s="12" t="s">
        <v>886</v>
      </c>
      <c r="V121" s="90"/>
      <c r="W121" s="28"/>
      <c r="X121" s="28"/>
      <c r="Y121" s="122"/>
      <c r="Z121" s="122"/>
      <c r="AA121" s="122"/>
      <c r="AB121" s="122"/>
      <c r="AC121" s="122"/>
      <c r="AD121" s="124"/>
      <c r="AE121" s="122"/>
      <c r="AF121" s="122"/>
      <c r="AG121" s="122"/>
      <c r="AH121" s="123"/>
      <c r="AI121" s="15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thickBot="1" x14ac:dyDescent="0.3">
      <c r="A122" s="94" t="s">
        <v>18</v>
      </c>
      <c r="B122" s="122" t="s">
        <v>883</v>
      </c>
      <c r="C122" s="128">
        <v>1</v>
      </c>
      <c r="D122" s="20" t="s">
        <v>697</v>
      </c>
      <c r="E122" s="31" t="s">
        <v>650</v>
      </c>
      <c r="F122" s="22" t="s">
        <v>151</v>
      </c>
      <c r="G122" s="11" t="s">
        <v>7</v>
      </c>
      <c r="H122" s="97">
        <v>24422070060229</v>
      </c>
      <c r="I122" s="122"/>
      <c r="J122" s="122"/>
      <c r="K122" s="122"/>
      <c r="L122" s="122"/>
      <c r="M122" s="73" t="e">
        <f t="shared" si="3"/>
        <v>#NUM!</v>
      </c>
      <c r="N122" s="23" t="e">
        <f t="shared" si="5"/>
        <v>#NUM!</v>
      </c>
      <c r="O122" s="73" t="e">
        <f t="shared" si="4"/>
        <v>#NUM!</v>
      </c>
      <c r="P122" s="93"/>
      <c r="Q122" s="93"/>
      <c r="R122" s="93"/>
      <c r="S122" s="93"/>
      <c r="T122" s="12" t="s">
        <v>767</v>
      </c>
      <c r="U122" s="12" t="s">
        <v>886</v>
      </c>
      <c r="V122" s="90"/>
      <c r="W122" s="28"/>
      <c r="X122" s="28"/>
      <c r="Y122" s="122"/>
      <c r="Z122" s="122"/>
      <c r="AA122" s="122"/>
      <c r="AB122" s="122"/>
      <c r="AC122" s="122"/>
      <c r="AD122" s="124"/>
      <c r="AE122" s="122"/>
      <c r="AF122" s="122"/>
      <c r="AG122" s="122"/>
      <c r="AH122" s="123"/>
      <c r="AI122" s="15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thickBot="1" x14ac:dyDescent="0.3">
      <c r="A123" s="94" t="s">
        <v>18</v>
      </c>
      <c r="B123" s="122" t="s">
        <v>883</v>
      </c>
      <c r="C123" s="122"/>
      <c r="D123" s="20" t="s">
        <v>698</v>
      </c>
      <c r="E123" s="31" t="s">
        <v>651</v>
      </c>
      <c r="F123" s="22" t="s">
        <v>151</v>
      </c>
      <c r="G123" s="11" t="s">
        <v>7</v>
      </c>
      <c r="H123" s="97">
        <v>24422070060233</v>
      </c>
      <c r="I123" s="122"/>
      <c r="J123" s="122"/>
      <c r="K123" s="122"/>
      <c r="L123" s="122"/>
      <c r="M123" s="73" t="e">
        <f t="shared" ref="M123:M149" si="6">DATE(L123,J123,I123)</f>
        <v>#NUM!</v>
      </c>
      <c r="N123" s="23" t="e">
        <f t="shared" si="5"/>
        <v>#NUM!</v>
      </c>
      <c r="O123" s="73" t="e">
        <f t="shared" ref="O123:O149" si="7">DATE(S123,Q123,P123)</f>
        <v>#NUM!</v>
      </c>
      <c r="P123" s="93"/>
      <c r="Q123" s="93"/>
      <c r="R123" s="93"/>
      <c r="S123" s="93"/>
      <c r="T123" s="12" t="s">
        <v>767</v>
      </c>
      <c r="U123" s="12" t="s">
        <v>886</v>
      </c>
      <c r="V123" s="90"/>
      <c r="W123" s="28"/>
      <c r="X123" s="28"/>
      <c r="Y123" s="122"/>
      <c r="Z123" s="122"/>
      <c r="AA123" s="122"/>
      <c r="AB123" s="122"/>
      <c r="AC123" s="122"/>
      <c r="AD123" s="124"/>
      <c r="AE123" s="122"/>
      <c r="AF123" s="122"/>
      <c r="AG123" s="122"/>
      <c r="AH123" s="123"/>
      <c r="AI123" s="15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thickBot="1" x14ac:dyDescent="0.3">
      <c r="A124" s="94" t="s">
        <v>18</v>
      </c>
      <c r="B124" s="122" t="s">
        <v>883</v>
      </c>
      <c r="C124" s="128">
        <v>1</v>
      </c>
      <c r="D124" s="20" t="s">
        <v>699</v>
      </c>
      <c r="E124" s="31" t="s">
        <v>652</v>
      </c>
      <c r="F124" s="22" t="s">
        <v>151</v>
      </c>
      <c r="G124" s="11" t="s">
        <v>7</v>
      </c>
      <c r="H124" s="97">
        <v>24422070060234</v>
      </c>
      <c r="I124" s="122"/>
      <c r="J124" s="122"/>
      <c r="K124" s="122"/>
      <c r="L124" s="122"/>
      <c r="M124" s="73" t="e">
        <f t="shared" si="6"/>
        <v>#NUM!</v>
      </c>
      <c r="N124" s="23" t="e">
        <f t="shared" ref="N124:N149" si="8">DATEDIF(M124,O124,"m")</f>
        <v>#NUM!</v>
      </c>
      <c r="O124" s="73" t="e">
        <f t="shared" si="7"/>
        <v>#NUM!</v>
      </c>
      <c r="P124" s="93"/>
      <c r="Q124" s="93"/>
      <c r="R124" s="93"/>
      <c r="S124" s="93"/>
      <c r="T124" s="12" t="s">
        <v>767</v>
      </c>
      <c r="U124" s="12" t="s">
        <v>886</v>
      </c>
      <c r="V124" s="90"/>
      <c r="W124" s="28"/>
      <c r="X124" s="28"/>
      <c r="Y124" s="122"/>
      <c r="Z124" s="122"/>
      <c r="AA124" s="122"/>
      <c r="AB124" s="122"/>
      <c r="AC124" s="122"/>
      <c r="AD124" s="124"/>
      <c r="AE124" s="122"/>
      <c r="AF124" s="122"/>
      <c r="AG124" s="122"/>
      <c r="AH124" s="123"/>
      <c r="AI124" s="15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thickBot="1" x14ac:dyDescent="0.3">
      <c r="A125" s="94" t="s">
        <v>18</v>
      </c>
      <c r="B125" s="122" t="s">
        <v>883</v>
      </c>
      <c r="C125" s="122"/>
      <c r="D125" s="20" t="s">
        <v>700</v>
      </c>
      <c r="E125" s="31" t="s">
        <v>653</v>
      </c>
      <c r="F125" s="22" t="s">
        <v>151</v>
      </c>
      <c r="G125" s="11" t="s">
        <v>7</v>
      </c>
      <c r="H125" s="97">
        <v>24422070060235</v>
      </c>
      <c r="I125" s="122">
        <v>19</v>
      </c>
      <c r="J125" s="122">
        <v>1</v>
      </c>
      <c r="K125" s="122" t="s">
        <v>187</v>
      </c>
      <c r="L125" s="122">
        <v>2026</v>
      </c>
      <c r="M125" s="73">
        <f t="shared" si="6"/>
        <v>46041</v>
      </c>
      <c r="N125" s="23" t="e">
        <f t="shared" si="8"/>
        <v>#NUM!</v>
      </c>
      <c r="O125" s="73" t="e">
        <f t="shared" si="7"/>
        <v>#NUM!</v>
      </c>
      <c r="P125" s="93"/>
      <c r="Q125" s="93"/>
      <c r="R125" s="93"/>
      <c r="S125" s="93"/>
      <c r="T125" s="12" t="s">
        <v>767</v>
      </c>
      <c r="U125" s="12" t="s">
        <v>886</v>
      </c>
      <c r="V125" s="90" t="s">
        <v>777</v>
      </c>
      <c r="W125" s="28" t="s">
        <v>830</v>
      </c>
      <c r="X125" s="28" t="s">
        <v>155</v>
      </c>
      <c r="Y125" s="122"/>
      <c r="Z125" s="122">
        <v>1</v>
      </c>
      <c r="AA125" s="122">
        <v>1</v>
      </c>
      <c r="AB125" s="122">
        <v>1</v>
      </c>
      <c r="AC125" s="122">
        <v>1</v>
      </c>
      <c r="AD125" s="124">
        <v>1</v>
      </c>
      <c r="AE125" s="122">
        <v>2</v>
      </c>
      <c r="AF125" s="122"/>
      <c r="AG125" s="122"/>
      <c r="AH125" s="123"/>
      <c r="AI125" s="15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thickBot="1" x14ac:dyDescent="0.3">
      <c r="A126" s="94"/>
      <c r="B126" s="122" t="s">
        <v>883</v>
      </c>
      <c r="C126" s="122"/>
      <c r="D126" s="20" t="s">
        <v>855</v>
      </c>
      <c r="E126" s="130" t="s">
        <v>854</v>
      </c>
      <c r="F126" s="22" t="s">
        <v>151</v>
      </c>
      <c r="G126" s="11" t="s">
        <v>7</v>
      </c>
      <c r="H126" s="97">
        <v>23422070060348</v>
      </c>
      <c r="I126" s="122"/>
      <c r="J126" s="122"/>
      <c r="K126" s="122"/>
      <c r="L126" s="122"/>
      <c r="M126" s="73"/>
      <c r="N126" s="23"/>
      <c r="O126" s="73"/>
      <c r="P126" s="93"/>
      <c r="Q126" s="93"/>
      <c r="R126" s="93"/>
      <c r="S126" s="93"/>
      <c r="T126" s="12" t="s">
        <v>767</v>
      </c>
      <c r="U126" s="12" t="s">
        <v>886</v>
      </c>
      <c r="V126" s="90"/>
      <c r="W126" s="28"/>
      <c r="X126" s="28"/>
      <c r="Y126" s="122"/>
      <c r="Z126" s="122"/>
      <c r="AA126" s="122"/>
      <c r="AB126" s="122"/>
      <c r="AC126" s="122"/>
      <c r="AD126" s="124"/>
      <c r="AE126" s="122"/>
      <c r="AF126" s="122"/>
      <c r="AG126" s="122"/>
      <c r="AH126" s="123"/>
      <c r="AI126" s="15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thickBot="1" x14ac:dyDescent="0.3">
      <c r="A127" s="94" t="s">
        <v>18</v>
      </c>
      <c r="B127" s="122" t="s">
        <v>883</v>
      </c>
      <c r="C127" s="122"/>
      <c r="D127" s="20" t="s">
        <v>701</v>
      </c>
      <c r="E127" s="31" t="s">
        <v>654</v>
      </c>
      <c r="F127" s="22" t="s">
        <v>151</v>
      </c>
      <c r="G127" s="11" t="s">
        <v>7</v>
      </c>
      <c r="H127" s="97">
        <v>24422070060236</v>
      </c>
      <c r="I127" s="122">
        <v>2</v>
      </c>
      <c r="J127" s="122">
        <v>3</v>
      </c>
      <c r="K127" s="122" t="s">
        <v>837</v>
      </c>
      <c r="L127" s="122">
        <v>2026</v>
      </c>
      <c r="M127" s="73">
        <f t="shared" si="6"/>
        <v>46083</v>
      </c>
      <c r="N127" s="23" t="e">
        <f t="shared" si="8"/>
        <v>#NUM!</v>
      </c>
      <c r="O127" s="73" t="e">
        <f t="shared" si="7"/>
        <v>#NUM!</v>
      </c>
      <c r="P127" s="93"/>
      <c r="Q127" s="93"/>
      <c r="R127" s="93"/>
      <c r="S127" s="93"/>
      <c r="T127" s="12" t="s">
        <v>767</v>
      </c>
      <c r="U127" s="12" t="s">
        <v>886</v>
      </c>
      <c r="V127" s="90" t="s">
        <v>777</v>
      </c>
      <c r="W127" s="28" t="s">
        <v>772</v>
      </c>
      <c r="X127" s="28" t="s">
        <v>771</v>
      </c>
      <c r="Y127" s="122"/>
      <c r="Z127" s="122">
        <v>2</v>
      </c>
      <c r="AA127" s="122">
        <v>2</v>
      </c>
      <c r="AB127" s="122">
        <v>2</v>
      </c>
      <c r="AC127" s="122">
        <v>2</v>
      </c>
      <c r="AD127" s="124">
        <v>2</v>
      </c>
      <c r="AE127" s="122"/>
      <c r="AF127" s="122"/>
      <c r="AG127" s="122"/>
      <c r="AH127" s="123"/>
      <c r="AI127" s="15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thickBot="1" x14ac:dyDescent="0.3">
      <c r="A128" s="94" t="s">
        <v>18</v>
      </c>
      <c r="B128" s="122" t="s">
        <v>883</v>
      </c>
      <c r="C128" s="128">
        <v>2</v>
      </c>
      <c r="D128" s="20" t="s">
        <v>702</v>
      </c>
      <c r="E128" s="31" t="s">
        <v>655</v>
      </c>
      <c r="F128" s="22" t="s">
        <v>151</v>
      </c>
      <c r="G128" s="11" t="s">
        <v>7</v>
      </c>
      <c r="H128" s="97">
        <v>24422070060238</v>
      </c>
      <c r="I128" s="122"/>
      <c r="J128" s="122"/>
      <c r="K128" s="122"/>
      <c r="L128" s="122"/>
      <c r="M128" s="73" t="e">
        <f t="shared" si="6"/>
        <v>#NUM!</v>
      </c>
      <c r="N128" s="23" t="e">
        <f t="shared" si="8"/>
        <v>#NUM!</v>
      </c>
      <c r="O128" s="73" t="e">
        <f t="shared" si="7"/>
        <v>#NUM!</v>
      </c>
      <c r="P128" s="93"/>
      <c r="Q128" s="93"/>
      <c r="R128" s="93"/>
      <c r="S128" s="93"/>
      <c r="T128" s="12" t="s">
        <v>767</v>
      </c>
      <c r="U128" s="12" t="s">
        <v>886</v>
      </c>
      <c r="V128" s="90"/>
      <c r="W128" s="28"/>
      <c r="X128" s="28"/>
      <c r="Y128" s="122"/>
      <c r="Z128" s="122"/>
      <c r="AA128" s="122"/>
      <c r="AB128" s="122"/>
      <c r="AC128" s="122"/>
      <c r="AD128" s="124"/>
      <c r="AE128" s="122"/>
      <c r="AF128" s="122"/>
      <c r="AG128" s="122"/>
      <c r="AH128" s="123"/>
      <c r="AI128" s="15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thickBot="1" x14ac:dyDescent="0.3">
      <c r="A129" s="94" t="s">
        <v>18</v>
      </c>
      <c r="B129" s="122" t="s">
        <v>882</v>
      </c>
      <c r="C129" s="122"/>
      <c r="D129" s="20" t="s">
        <v>703</v>
      </c>
      <c r="E129" s="31" t="s">
        <v>656</v>
      </c>
      <c r="F129" s="22" t="s">
        <v>151</v>
      </c>
      <c r="G129" s="11" t="s">
        <v>7</v>
      </c>
      <c r="H129" s="97">
        <v>24422070060239</v>
      </c>
      <c r="I129" s="122">
        <v>3</v>
      </c>
      <c r="J129" s="122">
        <v>2</v>
      </c>
      <c r="K129" s="122" t="s">
        <v>798</v>
      </c>
      <c r="L129" s="122">
        <v>2026</v>
      </c>
      <c r="M129" s="73">
        <f t="shared" si="6"/>
        <v>46056</v>
      </c>
      <c r="N129" s="23" t="e">
        <f t="shared" si="8"/>
        <v>#NUM!</v>
      </c>
      <c r="O129" s="73" t="e">
        <f t="shared" si="7"/>
        <v>#NUM!</v>
      </c>
      <c r="P129" s="93"/>
      <c r="Q129" s="93"/>
      <c r="R129" s="93"/>
      <c r="S129" s="93"/>
      <c r="T129" s="12" t="s">
        <v>767</v>
      </c>
      <c r="U129" s="12" t="s">
        <v>886</v>
      </c>
      <c r="V129" s="90" t="s">
        <v>777</v>
      </c>
      <c r="W129" s="28" t="s">
        <v>772</v>
      </c>
      <c r="X129" s="28" t="s">
        <v>771</v>
      </c>
      <c r="Y129" s="122"/>
      <c r="Z129" s="122">
        <v>1</v>
      </c>
      <c r="AA129" s="122">
        <v>1</v>
      </c>
      <c r="AB129" s="122"/>
      <c r="AC129" s="122">
        <v>2</v>
      </c>
      <c r="AD129" s="124">
        <v>1</v>
      </c>
      <c r="AE129" s="122"/>
      <c r="AF129" s="122"/>
      <c r="AG129" s="122"/>
      <c r="AH129" s="123"/>
      <c r="AI129" s="15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thickBot="1" x14ac:dyDescent="0.3">
      <c r="A130" s="94" t="s">
        <v>18</v>
      </c>
      <c r="B130" s="122" t="s">
        <v>883</v>
      </c>
      <c r="C130" s="122"/>
      <c r="D130" s="20" t="s">
        <v>704</v>
      </c>
      <c r="E130" s="31" t="s">
        <v>657</v>
      </c>
      <c r="F130" s="22" t="s">
        <v>151</v>
      </c>
      <c r="G130" s="11" t="s">
        <v>7</v>
      </c>
      <c r="H130" s="97">
        <v>24422070060242</v>
      </c>
      <c r="I130" s="122"/>
      <c r="J130" s="122"/>
      <c r="K130" s="122"/>
      <c r="L130" s="122"/>
      <c r="M130" s="73" t="e">
        <f t="shared" si="6"/>
        <v>#NUM!</v>
      </c>
      <c r="N130" s="23" t="e">
        <f t="shared" si="8"/>
        <v>#NUM!</v>
      </c>
      <c r="O130" s="73" t="e">
        <f t="shared" si="7"/>
        <v>#NUM!</v>
      </c>
      <c r="P130" s="93"/>
      <c r="Q130" s="93"/>
      <c r="R130" s="93"/>
      <c r="S130" s="93"/>
      <c r="T130" s="12" t="s">
        <v>767</v>
      </c>
      <c r="U130" s="12" t="s">
        <v>886</v>
      </c>
      <c r="V130" s="90"/>
      <c r="W130" s="28"/>
      <c r="X130" s="28"/>
      <c r="Y130" s="122"/>
      <c r="Z130" s="122"/>
      <c r="AA130" s="122"/>
      <c r="AB130" s="122"/>
      <c r="AC130" s="122"/>
      <c r="AD130" s="124"/>
      <c r="AE130" s="122"/>
      <c r="AF130" s="122"/>
      <c r="AG130" s="122"/>
      <c r="AH130" s="123"/>
      <c r="AI130" s="15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thickBot="1" x14ac:dyDescent="0.3">
      <c r="A131" s="94" t="s">
        <v>18</v>
      </c>
      <c r="B131" s="122" t="s">
        <v>882</v>
      </c>
      <c r="C131" s="128">
        <v>1</v>
      </c>
      <c r="D131" s="20" t="s">
        <v>705</v>
      </c>
      <c r="E131" s="31" t="s">
        <v>658</v>
      </c>
      <c r="F131" s="22" t="s">
        <v>151</v>
      </c>
      <c r="G131" s="11" t="s">
        <v>7</v>
      </c>
      <c r="H131" s="97">
        <v>24422070060243</v>
      </c>
      <c r="I131" s="122"/>
      <c r="J131" s="122"/>
      <c r="K131" s="122"/>
      <c r="L131" s="122"/>
      <c r="M131" s="73" t="e">
        <f t="shared" si="6"/>
        <v>#NUM!</v>
      </c>
      <c r="N131" s="23" t="e">
        <f t="shared" si="8"/>
        <v>#NUM!</v>
      </c>
      <c r="O131" s="73" t="e">
        <f t="shared" si="7"/>
        <v>#NUM!</v>
      </c>
      <c r="P131" s="93"/>
      <c r="Q131" s="93"/>
      <c r="R131" s="93"/>
      <c r="S131" s="93"/>
      <c r="T131" s="12" t="s">
        <v>767</v>
      </c>
      <c r="U131" s="12" t="s">
        <v>886</v>
      </c>
      <c r="V131" s="90"/>
      <c r="W131" s="28"/>
      <c r="X131" s="28"/>
      <c r="Y131" s="122"/>
      <c r="Z131" s="122"/>
      <c r="AA131" s="122"/>
      <c r="AB131" s="122"/>
      <c r="AC131" s="122"/>
      <c r="AD131" s="124"/>
      <c r="AE131" s="122"/>
      <c r="AF131" s="122"/>
      <c r="AG131" s="122"/>
      <c r="AH131" s="123"/>
      <c r="AI131" s="15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thickBot="1" x14ac:dyDescent="0.3">
      <c r="A132" s="94" t="s">
        <v>18</v>
      </c>
      <c r="B132" s="122" t="s">
        <v>883</v>
      </c>
      <c r="C132" s="128">
        <v>3</v>
      </c>
      <c r="D132" s="20" t="s">
        <v>706</v>
      </c>
      <c r="E132" s="31" t="s">
        <v>659</v>
      </c>
      <c r="F132" s="22" t="s">
        <v>151</v>
      </c>
      <c r="G132" s="11" t="s">
        <v>7</v>
      </c>
      <c r="H132" s="97">
        <v>24422070060245</v>
      </c>
      <c r="I132" s="122"/>
      <c r="J132" s="122"/>
      <c r="K132" s="122"/>
      <c r="L132" s="122"/>
      <c r="M132" s="73" t="e">
        <f t="shared" si="6"/>
        <v>#NUM!</v>
      </c>
      <c r="N132" s="23" t="e">
        <f t="shared" si="8"/>
        <v>#NUM!</v>
      </c>
      <c r="O132" s="73" t="e">
        <f t="shared" si="7"/>
        <v>#NUM!</v>
      </c>
      <c r="P132" s="93"/>
      <c r="Q132" s="93"/>
      <c r="R132" s="93"/>
      <c r="S132" s="93"/>
      <c r="T132" s="12" t="s">
        <v>767</v>
      </c>
      <c r="U132" s="12" t="s">
        <v>886</v>
      </c>
      <c r="V132" s="90"/>
      <c r="W132" s="28"/>
      <c r="X132" s="28"/>
      <c r="Y132" s="122"/>
      <c r="Z132" s="122"/>
      <c r="AA132" s="122"/>
      <c r="AB132" s="122"/>
      <c r="AC132" s="122"/>
      <c r="AD132" s="124"/>
      <c r="AE132" s="122"/>
      <c r="AF132" s="122"/>
      <c r="AG132" s="122"/>
      <c r="AH132" s="123"/>
      <c r="AI132" s="15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thickBot="1" x14ac:dyDescent="0.3">
      <c r="A133" s="94" t="s">
        <v>18</v>
      </c>
      <c r="B133" s="122" t="s">
        <v>883</v>
      </c>
      <c r="C133" s="122"/>
      <c r="D133" s="20" t="s">
        <v>707</v>
      </c>
      <c r="E133" s="31" t="s">
        <v>660</v>
      </c>
      <c r="F133" s="22" t="s">
        <v>151</v>
      </c>
      <c r="G133" s="11" t="s">
        <v>7</v>
      </c>
      <c r="H133" s="97">
        <v>24422070060247</v>
      </c>
      <c r="I133" s="122">
        <v>16</v>
      </c>
      <c r="J133" s="122">
        <v>4</v>
      </c>
      <c r="K133" s="122" t="s">
        <v>868</v>
      </c>
      <c r="L133" s="122">
        <v>2026</v>
      </c>
      <c r="M133" s="73">
        <f t="shared" si="6"/>
        <v>46128</v>
      </c>
      <c r="N133" s="23" t="e">
        <f t="shared" si="8"/>
        <v>#NUM!</v>
      </c>
      <c r="O133" s="73" t="e">
        <f t="shared" si="7"/>
        <v>#NUM!</v>
      </c>
      <c r="P133" s="93"/>
      <c r="Q133" s="93"/>
      <c r="R133" s="93"/>
      <c r="S133" s="93"/>
      <c r="T133" s="12" t="s">
        <v>767</v>
      </c>
      <c r="U133" s="12" t="s">
        <v>886</v>
      </c>
      <c r="V133" s="90" t="s">
        <v>777</v>
      </c>
      <c r="W133" s="28" t="s">
        <v>860</v>
      </c>
      <c r="X133" s="28" t="s">
        <v>155</v>
      </c>
      <c r="Y133" s="122"/>
      <c r="Z133" s="122">
        <v>2</v>
      </c>
      <c r="AA133" s="122">
        <v>2</v>
      </c>
      <c r="AB133" s="122">
        <v>2</v>
      </c>
      <c r="AC133" s="122">
        <v>2</v>
      </c>
      <c r="AD133" s="124">
        <v>2</v>
      </c>
      <c r="AE133" s="122"/>
      <c r="AF133" s="122" t="s">
        <v>861</v>
      </c>
      <c r="AG133" s="122"/>
      <c r="AH133" s="123"/>
      <c r="AI133" s="15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thickBot="1" x14ac:dyDescent="0.3">
      <c r="A134" s="94" t="s">
        <v>18</v>
      </c>
      <c r="B134" s="122" t="s">
        <v>883</v>
      </c>
      <c r="C134" s="128">
        <v>1</v>
      </c>
      <c r="D134" s="20" t="s">
        <v>708</v>
      </c>
      <c r="E134" s="31" t="s">
        <v>661</v>
      </c>
      <c r="F134" s="22" t="s">
        <v>151</v>
      </c>
      <c r="G134" s="11" t="s">
        <v>7</v>
      </c>
      <c r="H134" s="97">
        <v>24422070060248</v>
      </c>
      <c r="I134" s="122"/>
      <c r="J134" s="122"/>
      <c r="K134" s="122"/>
      <c r="L134" s="122"/>
      <c r="M134" s="73" t="e">
        <f t="shared" si="6"/>
        <v>#NUM!</v>
      </c>
      <c r="N134" s="23" t="e">
        <f t="shared" si="8"/>
        <v>#NUM!</v>
      </c>
      <c r="O134" s="73" t="e">
        <f t="shared" si="7"/>
        <v>#NUM!</v>
      </c>
      <c r="P134" s="93"/>
      <c r="Q134" s="93"/>
      <c r="R134" s="93"/>
      <c r="S134" s="93"/>
      <c r="T134" s="12" t="s">
        <v>767</v>
      </c>
      <c r="U134" s="12" t="s">
        <v>886</v>
      </c>
      <c r="V134" s="90"/>
      <c r="W134" s="28"/>
      <c r="X134" s="28"/>
      <c r="Y134" s="122"/>
      <c r="Z134" s="122"/>
      <c r="AA134" s="122"/>
      <c r="AB134" s="122"/>
      <c r="AC134" s="122"/>
      <c r="AD134" s="124"/>
      <c r="AE134" s="122"/>
      <c r="AF134" s="122"/>
      <c r="AG134" s="122"/>
      <c r="AH134" s="123"/>
      <c r="AI134" s="15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thickBot="1" x14ac:dyDescent="0.3">
      <c r="A135" s="94" t="s">
        <v>18</v>
      </c>
      <c r="B135" s="122" t="s">
        <v>882</v>
      </c>
      <c r="C135" s="122"/>
      <c r="D135" s="20" t="s">
        <v>709</v>
      </c>
      <c r="E135" s="31" t="s">
        <v>662</v>
      </c>
      <c r="F135" s="22" t="s">
        <v>151</v>
      </c>
      <c r="G135" s="11" t="s">
        <v>7</v>
      </c>
      <c r="H135" s="97">
        <v>24422070060249</v>
      </c>
      <c r="I135" s="122">
        <v>16</v>
      </c>
      <c r="J135" s="122">
        <v>2</v>
      </c>
      <c r="K135" s="122" t="s">
        <v>798</v>
      </c>
      <c r="L135" s="122">
        <v>2026</v>
      </c>
      <c r="M135" s="73">
        <f t="shared" si="6"/>
        <v>46069</v>
      </c>
      <c r="N135" s="23" t="e">
        <f t="shared" si="8"/>
        <v>#NUM!</v>
      </c>
      <c r="O135" s="73" t="e">
        <f t="shared" si="7"/>
        <v>#NUM!</v>
      </c>
      <c r="P135" s="93"/>
      <c r="Q135" s="93"/>
      <c r="R135" s="93"/>
      <c r="S135" s="93"/>
      <c r="T135" s="12" t="s">
        <v>767</v>
      </c>
      <c r="U135" s="12" t="s">
        <v>886</v>
      </c>
      <c r="V135" s="90" t="s">
        <v>777</v>
      </c>
      <c r="W135" s="28" t="s">
        <v>161</v>
      </c>
      <c r="X135" s="28" t="s">
        <v>155</v>
      </c>
      <c r="Y135" s="122" t="s">
        <v>803</v>
      </c>
      <c r="Z135" s="122">
        <v>1</v>
      </c>
      <c r="AA135" s="122">
        <v>1</v>
      </c>
      <c r="AB135" s="122">
        <v>1</v>
      </c>
      <c r="AC135" s="122">
        <v>1</v>
      </c>
      <c r="AD135" s="124">
        <v>1</v>
      </c>
      <c r="AE135" s="122"/>
      <c r="AF135" s="122"/>
      <c r="AG135" s="122"/>
      <c r="AH135" s="123"/>
      <c r="AI135" s="15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thickBot="1" x14ac:dyDescent="0.3">
      <c r="A136" s="94" t="s">
        <v>18</v>
      </c>
      <c r="B136" s="122" t="s">
        <v>883</v>
      </c>
      <c r="C136" s="128">
        <v>1</v>
      </c>
      <c r="D136" s="20" t="s">
        <v>710</v>
      </c>
      <c r="E136" s="31" t="s">
        <v>663</v>
      </c>
      <c r="F136" s="22" t="s">
        <v>151</v>
      </c>
      <c r="G136" s="11" t="s">
        <v>7</v>
      </c>
      <c r="H136" s="97">
        <v>24422070060252</v>
      </c>
      <c r="I136" s="122"/>
      <c r="J136" s="122"/>
      <c r="K136" s="122"/>
      <c r="L136" s="122"/>
      <c r="M136" s="73" t="e">
        <f t="shared" si="6"/>
        <v>#NUM!</v>
      </c>
      <c r="N136" s="23" t="e">
        <f t="shared" si="8"/>
        <v>#NUM!</v>
      </c>
      <c r="O136" s="73" t="e">
        <f t="shared" si="7"/>
        <v>#NUM!</v>
      </c>
      <c r="P136" s="93"/>
      <c r="Q136" s="93"/>
      <c r="R136" s="93"/>
      <c r="S136" s="93"/>
      <c r="T136" s="12" t="s">
        <v>767</v>
      </c>
      <c r="U136" s="12" t="s">
        <v>886</v>
      </c>
      <c r="V136" s="90"/>
      <c r="W136" s="28"/>
      <c r="X136" s="28"/>
      <c r="Y136" s="122"/>
      <c r="Z136" s="122"/>
      <c r="AA136" s="122"/>
      <c r="AB136" s="122"/>
      <c r="AC136" s="122"/>
      <c r="AD136" s="124"/>
      <c r="AE136" s="122"/>
      <c r="AF136" s="122"/>
      <c r="AG136" s="122"/>
      <c r="AH136" s="123"/>
      <c r="AI136" s="15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thickBot="1" x14ac:dyDescent="0.3">
      <c r="A137" s="94" t="s">
        <v>18</v>
      </c>
      <c r="B137" s="122" t="s">
        <v>882</v>
      </c>
      <c r="C137" s="122"/>
      <c r="D137" s="20" t="s">
        <v>711</v>
      </c>
      <c r="E137" s="31" t="s">
        <v>664</v>
      </c>
      <c r="F137" s="22" t="s">
        <v>151</v>
      </c>
      <c r="G137" s="11" t="s">
        <v>7</v>
      </c>
      <c r="H137" s="97">
        <v>24422070060578</v>
      </c>
      <c r="I137" s="122"/>
      <c r="J137" s="122"/>
      <c r="K137" s="122"/>
      <c r="L137" s="122"/>
      <c r="M137" s="73" t="e">
        <f t="shared" si="6"/>
        <v>#NUM!</v>
      </c>
      <c r="N137" s="23" t="e">
        <f t="shared" si="8"/>
        <v>#NUM!</v>
      </c>
      <c r="O137" s="73" t="e">
        <f t="shared" si="7"/>
        <v>#NUM!</v>
      </c>
      <c r="P137" s="93"/>
      <c r="Q137" s="93"/>
      <c r="R137" s="93"/>
      <c r="S137" s="93"/>
      <c r="T137" s="12" t="s">
        <v>767</v>
      </c>
      <c r="U137" s="12" t="s">
        <v>886</v>
      </c>
      <c r="V137" s="90"/>
      <c r="W137" s="28"/>
      <c r="X137" s="28"/>
      <c r="Y137" s="122"/>
      <c r="Z137" s="122"/>
      <c r="AA137" s="122"/>
      <c r="AB137" s="122"/>
      <c r="AC137" s="122"/>
      <c r="AD137" s="124"/>
      <c r="AE137" s="122"/>
      <c r="AF137" s="122"/>
      <c r="AG137" s="122"/>
      <c r="AH137" s="123"/>
      <c r="AI137" s="15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thickBot="1" x14ac:dyDescent="0.3">
      <c r="A138" s="94" t="s">
        <v>18</v>
      </c>
      <c r="B138" s="122" t="s">
        <v>883</v>
      </c>
      <c r="C138" s="122"/>
      <c r="D138" s="20" t="s">
        <v>712</v>
      </c>
      <c r="E138" s="31" t="s">
        <v>665</v>
      </c>
      <c r="F138" s="22" t="s">
        <v>151</v>
      </c>
      <c r="G138" s="11" t="s">
        <v>7</v>
      </c>
      <c r="H138" s="97">
        <v>24422070060254</v>
      </c>
      <c r="I138" s="122">
        <v>17</v>
      </c>
      <c r="J138" s="122">
        <v>12</v>
      </c>
      <c r="K138" s="122" t="s">
        <v>768</v>
      </c>
      <c r="L138" s="122">
        <v>2025</v>
      </c>
      <c r="M138" s="73">
        <f t="shared" si="6"/>
        <v>46008</v>
      </c>
      <c r="N138" s="23" t="e">
        <f t="shared" si="8"/>
        <v>#NUM!</v>
      </c>
      <c r="O138" s="73" t="e">
        <f t="shared" si="7"/>
        <v>#NUM!</v>
      </c>
      <c r="P138" s="93"/>
      <c r="Q138" s="93"/>
      <c r="R138" s="93"/>
      <c r="S138" s="93"/>
      <c r="T138" s="12" t="s">
        <v>767</v>
      </c>
      <c r="U138" s="12" t="s">
        <v>886</v>
      </c>
      <c r="V138" s="90" t="s">
        <v>777</v>
      </c>
      <c r="W138" s="28" t="s">
        <v>772</v>
      </c>
      <c r="X138" s="28" t="s">
        <v>771</v>
      </c>
      <c r="Y138" s="122"/>
      <c r="Z138" s="122">
        <v>1</v>
      </c>
      <c r="AA138" s="122">
        <v>1</v>
      </c>
      <c r="AB138" s="122">
        <v>1</v>
      </c>
      <c r="AC138" s="122">
        <v>1</v>
      </c>
      <c r="AD138" s="124">
        <v>1</v>
      </c>
      <c r="AE138" s="122"/>
      <c r="AF138" s="122"/>
      <c r="AG138" s="122"/>
      <c r="AH138" s="123"/>
      <c r="AI138" s="15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thickBot="1" x14ac:dyDescent="0.3">
      <c r="A139" s="94" t="s">
        <v>18</v>
      </c>
      <c r="B139" s="122" t="s">
        <v>883</v>
      </c>
      <c r="C139" s="128">
        <v>3</v>
      </c>
      <c r="D139" s="20" t="s">
        <v>713</v>
      </c>
      <c r="E139" s="31" t="s">
        <v>666</v>
      </c>
      <c r="F139" s="22" t="s">
        <v>151</v>
      </c>
      <c r="G139" s="11" t="s">
        <v>7</v>
      </c>
      <c r="H139" s="97">
        <v>24422070060255</v>
      </c>
      <c r="I139" s="122"/>
      <c r="J139" s="122"/>
      <c r="K139" s="122"/>
      <c r="L139" s="122"/>
      <c r="M139" s="73" t="e">
        <f t="shared" si="6"/>
        <v>#NUM!</v>
      </c>
      <c r="N139" s="23" t="e">
        <f t="shared" si="8"/>
        <v>#NUM!</v>
      </c>
      <c r="O139" s="73" t="e">
        <f t="shared" si="7"/>
        <v>#NUM!</v>
      </c>
      <c r="P139" s="93"/>
      <c r="Q139" s="93"/>
      <c r="R139" s="93"/>
      <c r="S139" s="93"/>
      <c r="T139" s="12" t="s">
        <v>767</v>
      </c>
      <c r="U139" s="12" t="s">
        <v>886</v>
      </c>
      <c r="V139" s="90"/>
      <c r="W139" s="28"/>
      <c r="X139" s="28"/>
      <c r="Y139" s="122"/>
      <c r="Z139" s="122"/>
      <c r="AA139" s="122"/>
      <c r="AB139" s="122"/>
      <c r="AC139" s="122"/>
      <c r="AD139" s="124"/>
      <c r="AE139" s="122"/>
      <c r="AF139" s="122"/>
      <c r="AG139" s="122"/>
      <c r="AH139" s="123"/>
      <c r="AI139" s="15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thickBot="1" x14ac:dyDescent="0.3">
      <c r="A140" s="94" t="s">
        <v>18</v>
      </c>
      <c r="B140" s="122" t="s">
        <v>883</v>
      </c>
      <c r="C140" s="128">
        <v>2</v>
      </c>
      <c r="D140" s="20" t="s">
        <v>714</v>
      </c>
      <c r="E140" s="31" t="s">
        <v>667</v>
      </c>
      <c r="F140" s="22" t="s">
        <v>151</v>
      </c>
      <c r="G140" s="11" t="s">
        <v>7</v>
      </c>
      <c r="H140" s="97">
        <v>24422070060256</v>
      </c>
      <c r="I140" s="122"/>
      <c r="J140" s="122"/>
      <c r="K140" s="122"/>
      <c r="L140" s="122"/>
      <c r="M140" s="73" t="e">
        <f t="shared" si="6"/>
        <v>#NUM!</v>
      </c>
      <c r="N140" s="23" t="e">
        <f t="shared" si="8"/>
        <v>#NUM!</v>
      </c>
      <c r="O140" s="73" t="e">
        <f t="shared" si="7"/>
        <v>#NUM!</v>
      </c>
      <c r="P140" s="93"/>
      <c r="Q140" s="93"/>
      <c r="R140" s="93"/>
      <c r="S140" s="93"/>
      <c r="T140" s="12" t="s">
        <v>767</v>
      </c>
      <c r="U140" s="12" t="s">
        <v>886</v>
      </c>
      <c r="V140" s="90"/>
      <c r="W140" s="28"/>
      <c r="X140" s="28"/>
      <c r="Y140" s="122"/>
      <c r="Z140" s="122"/>
      <c r="AA140" s="122"/>
      <c r="AB140" s="122"/>
      <c r="AC140" s="122"/>
      <c r="AD140" s="124"/>
      <c r="AE140" s="122"/>
      <c r="AF140" s="122"/>
      <c r="AG140" s="122"/>
      <c r="AH140" s="123"/>
      <c r="AI140" s="15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thickBot="1" x14ac:dyDescent="0.3">
      <c r="A141" s="94" t="s">
        <v>18</v>
      </c>
      <c r="B141" s="122" t="s">
        <v>882</v>
      </c>
      <c r="C141" s="122"/>
      <c r="D141" s="20" t="s">
        <v>715</v>
      </c>
      <c r="E141" s="31" t="s">
        <v>668</v>
      </c>
      <c r="F141" s="22" t="s">
        <v>151</v>
      </c>
      <c r="G141" s="11" t="s">
        <v>7</v>
      </c>
      <c r="H141" s="97">
        <v>24422070060257</v>
      </c>
      <c r="I141" s="122">
        <v>12</v>
      </c>
      <c r="J141" s="122">
        <v>1</v>
      </c>
      <c r="K141" s="122" t="s">
        <v>187</v>
      </c>
      <c r="L141" s="122">
        <v>2026</v>
      </c>
      <c r="M141" s="73">
        <f t="shared" si="6"/>
        <v>46034</v>
      </c>
      <c r="N141" s="23" t="e">
        <f t="shared" si="8"/>
        <v>#NUM!</v>
      </c>
      <c r="O141" s="73" t="e">
        <f t="shared" si="7"/>
        <v>#NUM!</v>
      </c>
      <c r="P141" s="93"/>
      <c r="Q141" s="93"/>
      <c r="R141" s="93"/>
      <c r="S141" s="93"/>
      <c r="T141" s="12" t="s">
        <v>767</v>
      </c>
      <c r="U141" s="12" t="s">
        <v>886</v>
      </c>
      <c r="V141" s="90" t="s">
        <v>777</v>
      </c>
      <c r="W141" s="28" t="s">
        <v>161</v>
      </c>
      <c r="X141" s="28" t="s">
        <v>155</v>
      </c>
      <c r="Y141" s="122" t="s">
        <v>831</v>
      </c>
      <c r="Z141" s="122">
        <v>1</v>
      </c>
      <c r="AA141" s="122">
        <v>1</v>
      </c>
      <c r="AB141" s="122">
        <v>1</v>
      </c>
      <c r="AC141" s="122">
        <v>1</v>
      </c>
      <c r="AD141" s="124">
        <v>1</v>
      </c>
      <c r="AE141" s="122">
        <v>2</v>
      </c>
      <c r="AF141" s="122"/>
      <c r="AG141" s="122"/>
      <c r="AH141" s="123"/>
      <c r="AI141" s="15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thickBot="1" x14ac:dyDescent="0.3">
      <c r="A142" s="94" t="s">
        <v>18</v>
      </c>
      <c r="B142" s="122" t="s">
        <v>882</v>
      </c>
      <c r="C142" s="122"/>
      <c r="D142" s="20" t="s">
        <v>716</v>
      </c>
      <c r="E142" s="31" t="s">
        <v>669</v>
      </c>
      <c r="F142" s="22" t="s">
        <v>151</v>
      </c>
      <c r="G142" s="11" t="s">
        <v>7</v>
      </c>
      <c r="H142" s="97">
        <v>24422070060258</v>
      </c>
      <c r="I142" s="122"/>
      <c r="J142" s="122"/>
      <c r="K142" s="122"/>
      <c r="L142" s="122"/>
      <c r="M142" s="73" t="e">
        <f t="shared" si="6"/>
        <v>#NUM!</v>
      </c>
      <c r="N142" s="23" t="e">
        <f t="shared" si="8"/>
        <v>#NUM!</v>
      </c>
      <c r="O142" s="73" t="e">
        <f t="shared" si="7"/>
        <v>#NUM!</v>
      </c>
      <c r="P142" s="93"/>
      <c r="Q142" s="93"/>
      <c r="R142" s="93"/>
      <c r="S142" s="93"/>
      <c r="T142" s="12" t="s">
        <v>767</v>
      </c>
      <c r="U142" s="12" t="s">
        <v>886</v>
      </c>
      <c r="V142" s="90"/>
      <c r="W142" s="28"/>
      <c r="X142" s="28"/>
      <c r="Y142" s="122"/>
      <c r="Z142" s="122"/>
      <c r="AA142" s="122"/>
      <c r="AB142" s="122"/>
      <c r="AC142" s="122"/>
      <c r="AD142" s="124"/>
      <c r="AE142" s="122"/>
      <c r="AF142" s="122"/>
      <c r="AG142" s="122"/>
      <c r="AH142" s="123"/>
      <c r="AI142" s="15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thickBot="1" x14ac:dyDescent="0.3">
      <c r="A143" s="94" t="s">
        <v>18</v>
      </c>
      <c r="B143" s="122" t="s">
        <v>883</v>
      </c>
      <c r="C143" s="122"/>
      <c r="D143" s="20" t="s">
        <v>717</v>
      </c>
      <c r="E143" s="31" t="s">
        <v>670</v>
      </c>
      <c r="F143" s="22" t="s">
        <v>151</v>
      </c>
      <c r="G143" s="11" t="s">
        <v>7</v>
      </c>
      <c r="H143" s="97">
        <v>24422070060260</v>
      </c>
      <c r="I143" s="122">
        <v>16</v>
      </c>
      <c r="J143" s="122">
        <v>12</v>
      </c>
      <c r="K143" s="122" t="s">
        <v>768</v>
      </c>
      <c r="L143" s="122">
        <v>2025</v>
      </c>
      <c r="M143" s="73">
        <f t="shared" si="6"/>
        <v>46007</v>
      </c>
      <c r="N143" s="23" t="e">
        <f t="shared" si="8"/>
        <v>#NUM!</v>
      </c>
      <c r="O143" s="73" t="e">
        <f t="shared" si="7"/>
        <v>#NUM!</v>
      </c>
      <c r="P143" s="93"/>
      <c r="Q143" s="93"/>
      <c r="R143" s="93"/>
      <c r="S143" s="93"/>
      <c r="T143" s="12" t="s">
        <v>767</v>
      </c>
      <c r="U143" s="12" t="s">
        <v>886</v>
      </c>
      <c r="V143" s="90" t="s">
        <v>777</v>
      </c>
      <c r="W143" s="28" t="s">
        <v>772</v>
      </c>
      <c r="X143" s="28" t="s">
        <v>771</v>
      </c>
      <c r="Y143" s="122"/>
      <c r="Z143" s="122">
        <v>1</v>
      </c>
      <c r="AA143" s="122">
        <v>1</v>
      </c>
      <c r="AB143" s="122"/>
      <c r="AC143" s="122">
        <v>2</v>
      </c>
      <c r="AD143" s="124">
        <v>1</v>
      </c>
      <c r="AE143" s="122"/>
      <c r="AF143" s="122"/>
      <c r="AG143" s="122"/>
      <c r="AH143" s="123"/>
      <c r="AI143" s="15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thickBot="1" x14ac:dyDescent="0.3">
      <c r="A144" s="94" t="s">
        <v>18</v>
      </c>
      <c r="B144" s="122" t="s">
        <v>883</v>
      </c>
      <c r="C144" s="128">
        <v>1</v>
      </c>
      <c r="D144" s="20" t="s">
        <v>718</v>
      </c>
      <c r="E144" s="31" t="s">
        <v>671</v>
      </c>
      <c r="F144" s="22" t="s">
        <v>151</v>
      </c>
      <c r="G144" s="11" t="s">
        <v>7</v>
      </c>
      <c r="H144" s="97">
        <v>24422070060261</v>
      </c>
      <c r="I144" s="122"/>
      <c r="J144" s="122"/>
      <c r="K144" s="122"/>
      <c r="L144" s="122"/>
      <c r="M144" s="73" t="e">
        <f t="shared" si="6"/>
        <v>#NUM!</v>
      </c>
      <c r="N144" s="23" t="e">
        <f t="shared" si="8"/>
        <v>#NUM!</v>
      </c>
      <c r="O144" s="73" t="e">
        <f t="shared" si="7"/>
        <v>#NUM!</v>
      </c>
      <c r="P144" s="93"/>
      <c r="Q144" s="93"/>
      <c r="R144" s="93"/>
      <c r="S144" s="93"/>
      <c r="T144" s="12" t="s">
        <v>767</v>
      </c>
      <c r="U144" s="12" t="s">
        <v>886</v>
      </c>
      <c r="V144" s="90"/>
      <c r="W144" s="28"/>
      <c r="X144" s="28"/>
      <c r="Y144" s="122"/>
      <c r="Z144" s="122"/>
      <c r="AA144" s="122"/>
      <c r="AB144" s="122"/>
      <c r="AC144" s="122"/>
      <c r="AD144" s="124"/>
      <c r="AE144" s="122"/>
      <c r="AF144" s="122"/>
      <c r="AG144" s="122"/>
      <c r="AH144" s="123"/>
      <c r="AI144" s="15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thickBot="1" x14ac:dyDescent="0.3">
      <c r="A145" s="94" t="s">
        <v>18</v>
      </c>
      <c r="B145" s="122" t="s">
        <v>883</v>
      </c>
      <c r="C145" s="128">
        <v>2</v>
      </c>
      <c r="D145" s="20" t="s">
        <v>719</v>
      </c>
      <c r="E145" s="31" t="s">
        <v>672</v>
      </c>
      <c r="F145" s="22" t="s">
        <v>151</v>
      </c>
      <c r="G145" s="11" t="s">
        <v>7</v>
      </c>
      <c r="H145" s="97">
        <v>24422070060262</v>
      </c>
      <c r="I145" s="122"/>
      <c r="J145" s="122"/>
      <c r="K145" s="122"/>
      <c r="L145" s="122"/>
      <c r="M145" s="73" t="e">
        <f t="shared" si="6"/>
        <v>#NUM!</v>
      </c>
      <c r="N145" s="23" t="e">
        <f t="shared" si="8"/>
        <v>#NUM!</v>
      </c>
      <c r="O145" s="73" t="e">
        <f t="shared" si="7"/>
        <v>#NUM!</v>
      </c>
      <c r="P145" s="93"/>
      <c r="Q145" s="93"/>
      <c r="R145" s="93"/>
      <c r="S145" s="93"/>
      <c r="T145" s="12" t="s">
        <v>767</v>
      </c>
      <c r="U145" s="12" t="s">
        <v>886</v>
      </c>
      <c r="V145" s="90"/>
      <c r="W145" s="28"/>
      <c r="X145" s="28"/>
      <c r="Y145" s="122"/>
      <c r="Z145" s="122"/>
      <c r="AA145" s="122"/>
      <c r="AB145" s="122"/>
      <c r="AC145" s="122"/>
      <c r="AD145" s="124"/>
      <c r="AE145" s="122"/>
      <c r="AF145" s="122"/>
      <c r="AG145" s="122"/>
      <c r="AH145" s="123"/>
      <c r="AI145" s="15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thickBot="1" x14ac:dyDescent="0.3">
      <c r="A146" s="94" t="s">
        <v>18</v>
      </c>
      <c r="B146" s="122" t="s">
        <v>882</v>
      </c>
      <c r="C146" s="122"/>
      <c r="D146" s="20" t="s">
        <v>720</v>
      </c>
      <c r="E146" s="31" t="s">
        <v>673</v>
      </c>
      <c r="F146" s="22" t="s">
        <v>151</v>
      </c>
      <c r="G146" s="11" t="s">
        <v>7</v>
      </c>
      <c r="H146" s="97">
        <v>24422070060263</v>
      </c>
      <c r="I146" s="122"/>
      <c r="J146" s="122"/>
      <c r="K146" s="122"/>
      <c r="L146" s="122"/>
      <c r="M146" s="73" t="e">
        <f t="shared" si="6"/>
        <v>#NUM!</v>
      </c>
      <c r="N146" s="23" t="e">
        <f t="shared" si="8"/>
        <v>#NUM!</v>
      </c>
      <c r="O146" s="73" t="e">
        <f t="shared" si="7"/>
        <v>#NUM!</v>
      </c>
      <c r="P146" s="93"/>
      <c r="Q146" s="93"/>
      <c r="R146" s="93"/>
      <c r="S146" s="93"/>
      <c r="T146" s="12" t="s">
        <v>767</v>
      </c>
      <c r="U146" s="12" t="s">
        <v>886</v>
      </c>
      <c r="V146" s="90" t="s">
        <v>777</v>
      </c>
      <c r="W146" s="28" t="s">
        <v>772</v>
      </c>
      <c r="X146" s="28" t="s">
        <v>771</v>
      </c>
      <c r="Y146" s="122"/>
      <c r="Z146" s="122">
        <v>2</v>
      </c>
      <c r="AA146" s="122">
        <v>2</v>
      </c>
      <c r="AB146" s="122"/>
      <c r="AC146" s="122"/>
      <c r="AD146" s="124">
        <v>2</v>
      </c>
      <c r="AE146" s="122"/>
      <c r="AF146" s="122"/>
      <c r="AG146" s="122"/>
      <c r="AH146" s="123"/>
      <c r="AI146" s="15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thickBot="1" x14ac:dyDescent="0.3">
      <c r="A147" s="94" t="s">
        <v>18</v>
      </c>
      <c r="B147" s="122" t="s">
        <v>883</v>
      </c>
      <c r="C147" s="128">
        <v>1</v>
      </c>
      <c r="D147" s="20" t="s">
        <v>721</v>
      </c>
      <c r="E147" s="31" t="s">
        <v>674</v>
      </c>
      <c r="F147" s="22" t="s">
        <v>151</v>
      </c>
      <c r="G147" s="11" t="s">
        <v>7</v>
      </c>
      <c r="H147" s="97">
        <v>24422070060264</v>
      </c>
      <c r="I147" s="122"/>
      <c r="J147" s="122"/>
      <c r="K147" s="122"/>
      <c r="L147" s="122"/>
      <c r="M147" s="73" t="e">
        <f t="shared" si="6"/>
        <v>#NUM!</v>
      </c>
      <c r="N147" s="23" t="e">
        <f t="shared" si="8"/>
        <v>#NUM!</v>
      </c>
      <c r="O147" s="73" t="e">
        <f t="shared" si="7"/>
        <v>#NUM!</v>
      </c>
      <c r="P147" s="93"/>
      <c r="Q147" s="93"/>
      <c r="R147" s="93"/>
      <c r="S147" s="93"/>
      <c r="T147" s="12" t="s">
        <v>767</v>
      </c>
      <c r="U147" s="12" t="s">
        <v>886</v>
      </c>
      <c r="V147" s="90"/>
      <c r="W147" s="28"/>
      <c r="X147" s="28"/>
      <c r="Y147" s="122"/>
      <c r="Z147" s="122"/>
      <c r="AA147" s="122"/>
      <c r="AB147" s="122"/>
      <c r="AC147" s="122"/>
      <c r="AD147" s="124"/>
      <c r="AE147" s="122"/>
      <c r="AF147" s="122"/>
      <c r="AG147" s="122"/>
      <c r="AH147" s="123"/>
      <c r="AI147" s="15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thickBot="1" x14ac:dyDescent="0.3">
      <c r="A148" s="94" t="s">
        <v>18</v>
      </c>
      <c r="B148" s="122" t="s">
        <v>883</v>
      </c>
      <c r="C148" s="122"/>
      <c r="D148" s="20" t="s">
        <v>722</v>
      </c>
      <c r="E148" s="31" t="s">
        <v>675</v>
      </c>
      <c r="F148" s="22" t="s">
        <v>151</v>
      </c>
      <c r="G148" s="11" t="s">
        <v>7</v>
      </c>
      <c r="H148" s="97">
        <v>24422070060265</v>
      </c>
      <c r="I148" s="122">
        <v>12</v>
      </c>
      <c r="J148" s="122">
        <v>1</v>
      </c>
      <c r="K148" s="122" t="s">
        <v>187</v>
      </c>
      <c r="L148" s="122">
        <v>2026</v>
      </c>
      <c r="M148" s="73">
        <f t="shared" si="6"/>
        <v>46034</v>
      </c>
      <c r="N148" s="23" t="e">
        <f t="shared" si="8"/>
        <v>#NUM!</v>
      </c>
      <c r="O148" s="73" t="e">
        <f t="shared" si="7"/>
        <v>#NUM!</v>
      </c>
      <c r="P148" s="93"/>
      <c r="Q148" s="93"/>
      <c r="R148" s="93"/>
      <c r="S148" s="93"/>
      <c r="T148" s="12" t="s">
        <v>767</v>
      </c>
      <c r="U148" s="12" t="s">
        <v>886</v>
      </c>
      <c r="V148" s="90" t="s">
        <v>777</v>
      </c>
      <c r="W148" s="28" t="s">
        <v>161</v>
      </c>
      <c r="X148" s="28" t="s">
        <v>155</v>
      </c>
      <c r="Y148" s="122" t="s">
        <v>831</v>
      </c>
      <c r="Z148" s="122">
        <v>1</v>
      </c>
      <c r="AA148" s="122">
        <v>1</v>
      </c>
      <c r="AB148" s="122">
        <v>1</v>
      </c>
      <c r="AC148" s="122">
        <v>1</v>
      </c>
      <c r="AD148" s="124">
        <v>1</v>
      </c>
      <c r="AE148" s="122">
        <v>2</v>
      </c>
      <c r="AF148" s="122"/>
      <c r="AG148" s="122"/>
      <c r="AH148" s="123"/>
      <c r="AI148" s="15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thickBot="1" x14ac:dyDescent="0.3">
      <c r="A149" s="94" t="s">
        <v>18</v>
      </c>
      <c r="B149" s="122" t="s">
        <v>883</v>
      </c>
      <c r="C149" s="122"/>
      <c r="D149" s="20" t="s">
        <v>856</v>
      </c>
      <c r="E149" s="31" t="s">
        <v>676</v>
      </c>
      <c r="F149" s="22" t="s">
        <v>151</v>
      </c>
      <c r="G149" s="11" t="s">
        <v>7</v>
      </c>
      <c r="H149" s="97">
        <v>24422070060266</v>
      </c>
      <c r="I149" s="122">
        <v>2</v>
      </c>
      <c r="J149" s="122">
        <v>3</v>
      </c>
      <c r="K149" s="122" t="s">
        <v>837</v>
      </c>
      <c r="L149" s="122">
        <v>2026</v>
      </c>
      <c r="M149" s="73">
        <f t="shared" si="6"/>
        <v>46083</v>
      </c>
      <c r="N149" s="23" t="e">
        <f t="shared" si="8"/>
        <v>#NUM!</v>
      </c>
      <c r="O149" s="73" t="e">
        <f t="shared" si="7"/>
        <v>#NUM!</v>
      </c>
      <c r="P149" s="93"/>
      <c r="Q149" s="93"/>
      <c r="R149" s="93"/>
      <c r="S149" s="93"/>
      <c r="T149" s="12" t="s">
        <v>767</v>
      </c>
      <c r="U149" s="12" t="s">
        <v>886</v>
      </c>
      <c r="V149" s="90" t="s">
        <v>777</v>
      </c>
      <c r="W149" s="28" t="s">
        <v>772</v>
      </c>
      <c r="X149" s="28" t="s">
        <v>771</v>
      </c>
      <c r="Y149" s="122"/>
      <c r="Z149" s="122">
        <v>2</v>
      </c>
      <c r="AA149" s="122">
        <v>2</v>
      </c>
      <c r="AB149" s="122">
        <v>2</v>
      </c>
      <c r="AC149" s="122">
        <v>2</v>
      </c>
      <c r="AD149" s="124">
        <v>2</v>
      </c>
      <c r="AE149" s="122"/>
      <c r="AF149" s="122"/>
      <c r="AG149" s="122"/>
      <c r="AH149" s="123"/>
      <c r="AI149" s="15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84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</row>
    <row r="233" spans="1:46" ht="15.75" customHeight="1" x14ac:dyDescent="0.25"/>
    <row r="234" spans="1:46" ht="15.75" customHeight="1" x14ac:dyDescent="0.25"/>
    <row r="235" spans="1:46" ht="15.75" customHeight="1" x14ac:dyDescent="0.25"/>
    <row r="236" spans="1:46" ht="15.75" customHeight="1" x14ac:dyDescent="0.25"/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autoFilter ref="A1:AV149"/>
  <conditionalFormatting sqref="N2:N149">
    <cfRule type="cellIs" dxfId="4" priority="1" operator="greaterThan">
      <formula>5</formula>
    </cfRule>
    <cfRule type="cellIs" dxfId="3" priority="2" operator="lessThan">
      <formula>6</formula>
    </cfRule>
    <cfRule type="cellIs" dxfId="2" priority="4" operator="greaterThan">
      <formula>6</formula>
    </cfRule>
    <cfRule type="cellIs" dxfId="1" priority="5" operator="lessThan">
      <formula>6</formula>
    </cfRule>
  </conditionalFormatting>
  <conditionalFormatting sqref="N1:N1048576">
    <cfRule type="cellIs" dxfId="0" priority="3" operator="greaterThan">
      <formula>6</formula>
    </cfRule>
  </conditionalFormatting>
  <dataValidations count="2">
    <dataValidation type="list" allowBlank="1" showInputMessage="1" showErrorMessage="1" sqref="X2:X149">
      <formula1>"EDU, OTROS, SALUD, SEDESOL"</formula1>
    </dataValidation>
    <dataValidation type="list" allowBlank="1" showInputMessage="1" showErrorMessage="1" sqref="T2:T149">
      <formula1>$T$2:$T$3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32" max="48" man="1"/>
    <brk id="76" max="48" man="1"/>
    <brk id="112" max="48" man="1"/>
  </rowBreaks>
  <colBreaks count="2" manualBreakCount="2">
    <brk id="21" max="241" man="1"/>
    <brk id="35" max="241" man="1"/>
  </colBreaks>
  <ignoredErrors>
    <ignoredError sqref="C116 C87 C130 C91 C93 C97 C104 C112 C120 C123 C127 C133 C135 C137 C142 C146 C149 D2:D33 D113 C125 C86 C88 C90 C99 C98 C102 C100 C101 C106 C105 C108 C107 C117 C129 C138 C141 C143 C148 C110 C111 C119" numberStoredAsText="1"/>
    <ignoredError sqref="M68:O80 M2:O38 M127:O149 M40:O58 M60:O66 M82:O120 M122:O125 M67:O67" evalError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V2:V149</xm:sqref>
        </x14:dataValidation>
        <x14:dataValidation type="list" allowBlank="1" showInputMessage="1" showErrorMessage="1">
          <x14:formula1>
            <xm:f>CATALOGO!$A$2:$A$87</xm:f>
          </x14:formula1>
          <xm:sqref>W2:W149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6"/>
  <sheetViews>
    <sheetView zoomScale="70" zoomScaleNormal="70" workbookViewId="0">
      <selection activeCell="I9" sqref="I9"/>
    </sheetView>
  </sheetViews>
  <sheetFormatPr baseColWidth="10" defaultRowHeight="15" x14ac:dyDescent="0.25"/>
  <cols>
    <col min="1" max="1" width="19.28515625" customWidth="1"/>
    <col min="2" max="2" width="36.42578125" bestFit="1" customWidth="1"/>
    <col min="3" max="3" width="38.7109375" bestFit="1" customWidth="1"/>
    <col min="4" max="4" width="38.7109375" style="7" customWidth="1"/>
    <col min="5" max="5" width="7.28515625" bestFit="1" customWidth="1"/>
    <col min="6" max="6" width="7.7109375" customWidth="1"/>
  </cols>
  <sheetData>
    <row r="1" spans="1:8" ht="15.75" thickBot="1" x14ac:dyDescent="0.3">
      <c r="A1" s="35" t="s">
        <v>122</v>
      </c>
      <c r="B1" s="35" t="s">
        <v>123</v>
      </c>
      <c r="C1" s="75" t="s">
        <v>199</v>
      </c>
      <c r="D1" s="75" t="s">
        <v>200</v>
      </c>
      <c r="E1" s="35" t="s">
        <v>124</v>
      </c>
      <c r="F1" s="35" t="s">
        <v>6</v>
      </c>
    </row>
    <row r="2" spans="1:8" ht="15.75" thickBot="1" x14ac:dyDescent="0.3">
      <c r="A2" s="31"/>
      <c r="B2" s="31"/>
      <c r="C2" s="31"/>
      <c r="D2" s="31"/>
      <c r="E2" s="40" t="s">
        <v>125</v>
      </c>
      <c r="F2" s="39" t="s">
        <v>126</v>
      </c>
      <c r="G2" s="79"/>
      <c r="H2" s="6"/>
    </row>
    <row r="3" spans="1:8" ht="15.75" thickBot="1" x14ac:dyDescent="0.3">
      <c r="A3" s="31"/>
      <c r="B3" s="31"/>
      <c r="C3" s="31"/>
      <c r="D3" s="31"/>
      <c r="E3" s="40" t="s">
        <v>125</v>
      </c>
      <c r="F3" s="39" t="s">
        <v>126</v>
      </c>
    </row>
    <row r="4" spans="1:8" ht="15.75" thickBot="1" x14ac:dyDescent="0.3">
      <c r="A4" s="31"/>
      <c r="B4" s="31"/>
      <c r="C4" s="31"/>
      <c r="D4" s="31"/>
      <c r="E4" s="40" t="s">
        <v>125</v>
      </c>
      <c r="F4" s="39" t="s">
        <v>126</v>
      </c>
    </row>
    <row r="5" spans="1:8" ht="15.75" thickBot="1" x14ac:dyDescent="0.3">
      <c r="A5" s="31"/>
      <c r="B5" s="31"/>
      <c r="C5" s="31"/>
      <c r="D5" s="31"/>
      <c r="E5" s="40" t="s">
        <v>125</v>
      </c>
      <c r="F5" s="39" t="s">
        <v>126</v>
      </c>
    </row>
    <row r="6" spans="1:8" ht="15.75" thickBot="1" x14ac:dyDescent="0.3">
      <c r="A6" s="31"/>
      <c r="B6" s="31"/>
      <c r="C6" s="31"/>
      <c r="D6" s="31"/>
      <c r="E6" s="40" t="s">
        <v>125</v>
      </c>
      <c r="F6" s="39" t="s">
        <v>126</v>
      </c>
    </row>
    <row r="7" spans="1:8" ht="15.75" thickBot="1" x14ac:dyDescent="0.3">
      <c r="A7" s="31"/>
      <c r="B7" s="31"/>
      <c r="C7" s="31"/>
      <c r="D7" s="31"/>
      <c r="E7" s="40" t="s">
        <v>125</v>
      </c>
      <c r="F7" s="39" t="s">
        <v>126</v>
      </c>
    </row>
    <row r="8" spans="1:8" ht="15.75" thickBot="1" x14ac:dyDescent="0.3">
      <c r="A8" s="31"/>
      <c r="B8" s="31"/>
      <c r="C8" s="31"/>
      <c r="D8" s="31"/>
      <c r="E8" s="40" t="s">
        <v>125</v>
      </c>
      <c r="F8" s="39" t="s">
        <v>126</v>
      </c>
    </row>
    <row r="9" spans="1:8" ht="15.75" thickBot="1" x14ac:dyDescent="0.3">
      <c r="A9" s="31"/>
      <c r="B9" s="31"/>
      <c r="C9" s="31"/>
      <c r="D9" s="31"/>
      <c r="E9" s="40" t="s">
        <v>125</v>
      </c>
      <c r="F9" s="39" t="s">
        <v>126</v>
      </c>
    </row>
    <row r="10" spans="1:8" ht="15.75" thickBot="1" x14ac:dyDescent="0.3">
      <c r="A10" s="31"/>
      <c r="B10" s="31"/>
      <c r="C10" s="31"/>
      <c r="D10" s="31"/>
      <c r="E10" s="40" t="s">
        <v>125</v>
      </c>
      <c r="F10" s="39" t="s">
        <v>126</v>
      </c>
    </row>
    <row r="11" spans="1:8" ht="15.75" thickBot="1" x14ac:dyDescent="0.3">
      <c r="A11" s="31"/>
      <c r="B11" s="31"/>
      <c r="C11" s="31"/>
      <c r="D11" s="31"/>
      <c r="E11" s="40" t="s">
        <v>125</v>
      </c>
      <c r="F11" s="39" t="s">
        <v>126</v>
      </c>
    </row>
    <row r="12" spans="1:8" ht="15.75" thickBot="1" x14ac:dyDescent="0.3">
      <c r="A12" s="31"/>
      <c r="B12" s="31"/>
      <c r="C12" s="31"/>
      <c r="D12" s="31"/>
      <c r="E12" s="40" t="s">
        <v>125</v>
      </c>
      <c r="F12" s="39" t="s">
        <v>126</v>
      </c>
    </row>
    <row r="13" spans="1:8" ht="15.75" thickBot="1" x14ac:dyDescent="0.3">
      <c r="A13" s="31"/>
      <c r="B13" s="31"/>
      <c r="C13" s="31"/>
      <c r="D13" s="31"/>
      <c r="E13" s="40" t="s">
        <v>125</v>
      </c>
      <c r="F13" s="39" t="s">
        <v>126</v>
      </c>
    </row>
    <row r="14" spans="1:8" ht="15.75" thickBot="1" x14ac:dyDescent="0.3">
      <c r="A14" s="31"/>
      <c r="B14" s="31"/>
      <c r="C14" s="31"/>
      <c r="D14" s="31"/>
      <c r="E14" s="40" t="s">
        <v>125</v>
      </c>
      <c r="F14" s="39" t="s">
        <v>126</v>
      </c>
    </row>
    <row r="15" spans="1:8" ht="15.75" thickBot="1" x14ac:dyDescent="0.3">
      <c r="A15" s="31"/>
      <c r="B15" s="31"/>
      <c r="C15" s="31"/>
      <c r="D15" s="31"/>
      <c r="E15" s="40" t="s">
        <v>125</v>
      </c>
      <c r="F15" s="39" t="s">
        <v>126</v>
      </c>
    </row>
    <row r="16" spans="1:8" ht="15.75" thickBot="1" x14ac:dyDescent="0.3">
      <c r="A16" s="31"/>
      <c r="B16" s="31"/>
      <c r="C16" s="31"/>
      <c r="D16" s="31"/>
      <c r="E16" s="40" t="s">
        <v>125</v>
      </c>
      <c r="F16" s="39" t="s">
        <v>126</v>
      </c>
    </row>
    <row r="17" spans="1:6" ht="15.75" thickBot="1" x14ac:dyDescent="0.3">
      <c r="A17" s="31"/>
      <c r="B17" s="31"/>
      <c r="C17" s="31"/>
      <c r="D17" s="31"/>
      <c r="E17" s="40" t="s">
        <v>125</v>
      </c>
      <c r="F17" s="39" t="s">
        <v>126</v>
      </c>
    </row>
    <row r="18" spans="1:6" ht="15.75" thickBot="1" x14ac:dyDescent="0.3">
      <c r="A18" s="31"/>
      <c r="B18" s="31"/>
      <c r="C18" s="31"/>
      <c r="D18" s="31"/>
      <c r="E18" s="40" t="s">
        <v>125</v>
      </c>
      <c r="F18" s="39" t="s">
        <v>126</v>
      </c>
    </row>
    <row r="19" spans="1:6" ht="15.75" thickBot="1" x14ac:dyDescent="0.3">
      <c r="A19" s="31"/>
      <c r="B19" s="31"/>
      <c r="C19" s="31"/>
      <c r="D19" s="31"/>
      <c r="E19" s="40" t="s">
        <v>125</v>
      </c>
      <c r="F19" s="39" t="s">
        <v>126</v>
      </c>
    </row>
    <row r="20" spans="1:6" ht="15.75" thickBot="1" x14ac:dyDescent="0.3">
      <c r="A20" s="31"/>
      <c r="B20" s="31"/>
      <c r="C20" s="31"/>
      <c r="D20" s="31"/>
      <c r="E20" s="40" t="s">
        <v>125</v>
      </c>
      <c r="F20" s="39" t="s">
        <v>126</v>
      </c>
    </row>
    <row r="21" spans="1:6" ht="15.75" thickBot="1" x14ac:dyDescent="0.3">
      <c r="A21" s="31"/>
      <c r="B21" s="31"/>
      <c r="C21" s="31"/>
      <c r="D21" s="31"/>
      <c r="E21" s="40" t="s">
        <v>125</v>
      </c>
      <c r="F21" s="39" t="s">
        <v>126</v>
      </c>
    </row>
    <row r="22" spans="1:6" ht="15.75" thickBot="1" x14ac:dyDescent="0.3">
      <c r="A22" s="31"/>
      <c r="B22" s="31"/>
      <c r="C22" s="31"/>
      <c r="D22" s="31"/>
      <c r="E22" s="40" t="s">
        <v>125</v>
      </c>
      <c r="F22" s="39" t="s">
        <v>126</v>
      </c>
    </row>
    <row r="23" spans="1:6" ht="15.75" thickBot="1" x14ac:dyDescent="0.3">
      <c r="A23" s="31"/>
      <c r="B23" s="31"/>
      <c r="C23" s="31"/>
      <c r="D23" s="31"/>
      <c r="E23" s="40" t="s">
        <v>125</v>
      </c>
      <c r="F23" s="39" t="s">
        <v>126</v>
      </c>
    </row>
    <row r="24" spans="1:6" ht="15.75" thickBot="1" x14ac:dyDescent="0.3">
      <c r="A24" s="31"/>
      <c r="B24" s="31"/>
      <c r="C24" s="31"/>
      <c r="D24" s="31"/>
      <c r="E24" s="40" t="s">
        <v>125</v>
      </c>
      <c r="F24" s="39" t="s">
        <v>126</v>
      </c>
    </row>
    <row r="25" spans="1:6" ht="15.75" thickBot="1" x14ac:dyDescent="0.3">
      <c r="A25" s="31"/>
      <c r="B25" s="31"/>
      <c r="C25" s="31"/>
      <c r="D25" s="31"/>
      <c r="E25" s="40" t="s">
        <v>125</v>
      </c>
      <c r="F25" s="39" t="s">
        <v>126</v>
      </c>
    </row>
    <row r="26" spans="1:6" ht="15.75" thickBot="1" x14ac:dyDescent="0.3">
      <c r="A26" s="31"/>
      <c r="B26" s="31"/>
      <c r="C26" s="31"/>
      <c r="D26" s="31"/>
      <c r="E26" s="40" t="s">
        <v>125</v>
      </c>
      <c r="F26" s="39" t="s">
        <v>126</v>
      </c>
    </row>
    <row r="27" spans="1:6" ht="15.75" thickBot="1" x14ac:dyDescent="0.3">
      <c r="A27" s="31"/>
      <c r="B27" s="31"/>
      <c r="C27" s="31"/>
      <c r="D27" s="31"/>
      <c r="E27" s="40" t="s">
        <v>125</v>
      </c>
      <c r="F27" s="39" t="s">
        <v>126</v>
      </c>
    </row>
    <row r="28" spans="1:6" ht="15.75" thickBot="1" x14ac:dyDescent="0.3">
      <c r="A28" s="31"/>
      <c r="B28" s="31"/>
      <c r="C28" s="31"/>
      <c r="D28" s="31"/>
      <c r="E28" s="40" t="s">
        <v>125</v>
      </c>
      <c r="F28" s="39" t="s">
        <v>126</v>
      </c>
    </row>
    <row r="29" spans="1:6" ht="15.75" thickBot="1" x14ac:dyDescent="0.3">
      <c r="A29" s="31"/>
      <c r="B29" s="31"/>
      <c r="C29" s="31"/>
      <c r="D29" s="31"/>
      <c r="E29" s="40" t="s">
        <v>125</v>
      </c>
      <c r="F29" s="39" t="s">
        <v>126</v>
      </c>
    </row>
    <row r="30" spans="1:6" ht="15.75" thickBot="1" x14ac:dyDescent="0.3">
      <c r="A30" s="31"/>
      <c r="B30" s="31"/>
      <c r="C30" s="31"/>
      <c r="D30" s="31"/>
      <c r="E30" s="40" t="s">
        <v>125</v>
      </c>
      <c r="F30" s="39" t="s">
        <v>126</v>
      </c>
    </row>
    <row r="31" spans="1:6" ht="15.75" thickBot="1" x14ac:dyDescent="0.3">
      <c r="A31" s="31"/>
      <c r="B31" s="31"/>
      <c r="C31" s="31"/>
      <c r="D31" s="31"/>
      <c r="E31" s="40" t="s">
        <v>125</v>
      </c>
      <c r="F31" s="39" t="s">
        <v>126</v>
      </c>
    </row>
    <row r="32" spans="1:6" ht="15.75" thickBot="1" x14ac:dyDescent="0.3">
      <c r="A32" s="31"/>
      <c r="B32" s="31"/>
      <c r="C32" s="31"/>
      <c r="D32" s="31"/>
      <c r="E32" s="40" t="s">
        <v>125</v>
      </c>
      <c r="F32" s="39" t="s">
        <v>126</v>
      </c>
    </row>
    <row r="33" spans="1:6" ht="15.75" thickBot="1" x14ac:dyDescent="0.3">
      <c r="A33" s="31"/>
      <c r="B33" s="31"/>
      <c r="C33" s="31"/>
      <c r="D33" s="31"/>
      <c r="E33" s="40" t="s">
        <v>125</v>
      </c>
      <c r="F33" s="39" t="s">
        <v>126</v>
      </c>
    </row>
    <row r="34" spans="1:6" ht="15.75" thickBot="1" x14ac:dyDescent="0.3">
      <c r="A34" s="31"/>
      <c r="B34" s="31"/>
      <c r="C34" s="31"/>
      <c r="D34" s="31"/>
      <c r="E34" s="40" t="s">
        <v>125</v>
      </c>
      <c r="F34" s="39" t="s">
        <v>126</v>
      </c>
    </row>
    <row r="35" spans="1:6" ht="15.75" thickBot="1" x14ac:dyDescent="0.3">
      <c r="A35" s="31"/>
      <c r="B35" s="31"/>
      <c r="C35" s="31"/>
      <c r="D35" s="31"/>
      <c r="E35" s="40" t="s">
        <v>125</v>
      </c>
      <c r="F35" s="39" t="s">
        <v>126</v>
      </c>
    </row>
    <row r="36" spans="1:6" ht="15.75" thickBot="1" x14ac:dyDescent="0.3">
      <c r="A36" s="31"/>
      <c r="B36" s="31"/>
      <c r="C36" s="31"/>
      <c r="D36" s="31"/>
      <c r="E36" s="40" t="s">
        <v>125</v>
      </c>
      <c r="F36" s="39" t="s">
        <v>126</v>
      </c>
    </row>
    <row r="37" spans="1:6" ht="15.75" thickBot="1" x14ac:dyDescent="0.3">
      <c r="A37" s="31"/>
      <c r="B37" s="31"/>
      <c r="C37" s="31"/>
      <c r="D37" s="31"/>
      <c r="E37" s="40" t="s">
        <v>125</v>
      </c>
      <c r="F37" s="39" t="s">
        <v>126</v>
      </c>
    </row>
    <row r="38" spans="1:6" ht="15.75" thickBot="1" x14ac:dyDescent="0.3">
      <c r="A38" s="31"/>
      <c r="B38" s="31"/>
      <c r="C38" s="31"/>
      <c r="D38" s="31"/>
      <c r="E38" s="40" t="s">
        <v>125</v>
      </c>
      <c r="F38" s="39" t="s">
        <v>126</v>
      </c>
    </row>
    <row r="39" spans="1:6" ht="15.75" thickBot="1" x14ac:dyDescent="0.3">
      <c r="A39" s="31"/>
      <c r="B39" s="31"/>
      <c r="C39" s="31"/>
      <c r="D39" s="31"/>
      <c r="E39" s="40" t="s">
        <v>125</v>
      </c>
      <c r="F39" s="39" t="s">
        <v>126</v>
      </c>
    </row>
    <row r="40" spans="1:6" ht="15.75" thickBot="1" x14ac:dyDescent="0.3">
      <c r="A40" s="31"/>
      <c r="B40" s="31"/>
      <c r="C40" s="31"/>
      <c r="D40" s="31"/>
      <c r="E40" s="40" t="s">
        <v>125</v>
      </c>
      <c r="F40" s="39" t="s">
        <v>126</v>
      </c>
    </row>
    <row r="41" spans="1:6" ht="15.75" thickBot="1" x14ac:dyDescent="0.3">
      <c r="A41" s="31"/>
      <c r="B41" s="31"/>
      <c r="C41" s="31"/>
      <c r="D41" s="31"/>
      <c r="E41" s="40" t="s">
        <v>125</v>
      </c>
      <c r="F41" s="39" t="s">
        <v>126</v>
      </c>
    </row>
    <row r="42" spans="1:6" ht="15.75" thickBot="1" x14ac:dyDescent="0.3">
      <c r="A42" s="31"/>
      <c r="B42" s="31"/>
      <c r="C42" s="31"/>
      <c r="D42" s="31"/>
      <c r="E42" s="40" t="s">
        <v>125</v>
      </c>
      <c r="F42" s="39" t="s">
        <v>126</v>
      </c>
    </row>
    <row r="43" spans="1:6" ht="15.75" thickBot="1" x14ac:dyDescent="0.3">
      <c r="A43" s="31"/>
      <c r="B43" s="31"/>
      <c r="C43" s="31"/>
      <c r="D43" s="31"/>
      <c r="E43" s="40" t="s">
        <v>125</v>
      </c>
      <c r="F43" s="39" t="s">
        <v>126</v>
      </c>
    </row>
    <row r="44" spans="1:6" ht="15.75" thickBot="1" x14ac:dyDescent="0.3">
      <c r="A44" s="31"/>
      <c r="B44" s="31"/>
      <c r="C44" s="31"/>
      <c r="D44" s="31"/>
      <c r="E44" s="40" t="s">
        <v>125</v>
      </c>
      <c r="F44" s="39" t="s">
        <v>126</v>
      </c>
    </row>
    <row r="45" spans="1:6" ht="15.75" thickBot="1" x14ac:dyDescent="0.3">
      <c r="A45" s="31"/>
      <c r="B45" s="31"/>
      <c r="C45" s="31"/>
      <c r="D45" s="31"/>
      <c r="E45" s="40" t="s">
        <v>125</v>
      </c>
      <c r="F45" s="39" t="s">
        <v>126</v>
      </c>
    </row>
    <row r="46" spans="1:6" ht="15.75" thickBot="1" x14ac:dyDescent="0.3">
      <c r="A46" s="31"/>
      <c r="B46" s="31"/>
      <c r="C46" s="31"/>
      <c r="D46" s="31"/>
      <c r="E46" s="40" t="s">
        <v>125</v>
      </c>
      <c r="F46" s="39" t="s">
        <v>126</v>
      </c>
    </row>
    <row r="47" spans="1:6" ht="15.75" thickBot="1" x14ac:dyDescent="0.3">
      <c r="A47" s="31"/>
      <c r="B47" s="31"/>
      <c r="C47" s="31"/>
      <c r="D47" s="31"/>
      <c r="E47" s="40" t="s">
        <v>125</v>
      </c>
      <c r="F47" s="39" t="s">
        <v>126</v>
      </c>
    </row>
    <row r="48" spans="1:6" ht="15.75" thickBot="1" x14ac:dyDescent="0.3">
      <c r="A48" s="31"/>
      <c r="B48" s="31"/>
      <c r="C48" s="31"/>
      <c r="D48" s="31"/>
      <c r="E48" s="40" t="s">
        <v>125</v>
      </c>
      <c r="F48" s="39" t="s">
        <v>126</v>
      </c>
    </row>
    <row r="49" spans="1:6" ht="15.75" thickBot="1" x14ac:dyDescent="0.3">
      <c r="A49" s="31"/>
      <c r="B49" s="31"/>
      <c r="C49" s="31"/>
      <c r="D49" s="31"/>
      <c r="E49" s="40" t="s">
        <v>125</v>
      </c>
      <c r="F49" s="39" t="s">
        <v>126</v>
      </c>
    </row>
    <row r="50" spans="1:6" ht="15.75" thickBot="1" x14ac:dyDescent="0.3">
      <c r="A50" s="31"/>
      <c r="B50" s="31"/>
      <c r="C50" s="31"/>
      <c r="D50" s="31"/>
      <c r="E50" s="40" t="s">
        <v>125</v>
      </c>
      <c r="F50" s="39" t="s">
        <v>17</v>
      </c>
    </row>
    <row r="51" spans="1:6" ht="15.75" thickBot="1" x14ac:dyDescent="0.3">
      <c r="A51" s="31"/>
      <c r="B51" s="31"/>
      <c r="C51" s="31"/>
      <c r="D51" s="31"/>
      <c r="E51" s="40" t="s">
        <v>125</v>
      </c>
      <c r="F51" s="39" t="s">
        <v>17</v>
      </c>
    </row>
    <row r="52" spans="1:6" ht="15.75" thickBot="1" x14ac:dyDescent="0.3">
      <c r="A52" s="31"/>
      <c r="B52" s="31"/>
      <c r="C52" s="31"/>
      <c r="D52" s="31"/>
      <c r="E52" s="40" t="s">
        <v>125</v>
      </c>
      <c r="F52" s="39" t="s">
        <v>17</v>
      </c>
    </row>
    <row r="53" spans="1:6" ht="15.75" thickBot="1" x14ac:dyDescent="0.3">
      <c r="A53" s="31"/>
      <c r="B53" s="31"/>
      <c r="C53" s="31"/>
      <c r="D53" s="31"/>
      <c r="E53" s="40" t="s">
        <v>125</v>
      </c>
      <c r="F53" s="39" t="s">
        <v>17</v>
      </c>
    </row>
    <row r="54" spans="1:6" ht="15.75" thickBot="1" x14ac:dyDescent="0.3">
      <c r="A54" s="31"/>
      <c r="B54" s="31"/>
      <c r="C54" s="31"/>
      <c r="D54" s="31"/>
      <c r="E54" s="40" t="s">
        <v>125</v>
      </c>
      <c r="F54" s="39" t="s">
        <v>17</v>
      </c>
    </row>
    <row r="55" spans="1:6" ht="15.75" thickBot="1" x14ac:dyDescent="0.3">
      <c r="A55" s="31"/>
      <c r="B55" s="31"/>
      <c r="C55" s="31"/>
      <c r="D55" s="31"/>
      <c r="E55" s="40" t="s">
        <v>125</v>
      </c>
      <c r="F55" s="39" t="s">
        <v>17</v>
      </c>
    </row>
    <row r="56" spans="1:6" ht="15.75" thickBot="1" x14ac:dyDescent="0.3">
      <c r="A56" s="31"/>
      <c r="B56" s="31"/>
      <c r="C56" s="31"/>
      <c r="D56" s="31"/>
      <c r="E56" s="40" t="s">
        <v>125</v>
      </c>
      <c r="F56" s="39" t="s">
        <v>17</v>
      </c>
    </row>
    <row r="57" spans="1:6" ht="15.75" thickBot="1" x14ac:dyDescent="0.3">
      <c r="A57" s="31"/>
      <c r="B57" s="31"/>
      <c r="C57" s="31"/>
      <c r="D57" s="31"/>
      <c r="E57" s="40" t="s">
        <v>125</v>
      </c>
      <c r="F57" s="39" t="s">
        <v>17</v>
      </c>
    </row>
    <row r="58" spans="1:6" ht="15.75" thickBot="1" x14ac:dyDescent="0.3">
      <c r="A58" s="31"/>
      <c r="B58" s="31"/>
      <c r="C58" s="31"/>
      <c r="D58" s="31"/>
      <c r="E58" s="40" t="s">
        <v>125</v>
      </c>
      <c r="F58" s="39" t="s">
        <v>17</v>
      </c>
    </row>
    <row r="59" spans="1:6" ht="15.75" thickBot="1" x14ac:dyDescent="0.3">
      <c r="A59" s="31"/>
      <c r="B59" s="31"/>
      <c r="C59" s="31"/>
      <c r="D59" s="31"/>
      <c r="E59" s="40" t="s">
        <v>125</v>
      </c>
      <c r="F59" s="39" t="s">
        <v>17</v>
      </c>
    </row>
    <row r="60" spans="1:6" ht="15.75" thickBot="1" x14ac:dyDescent="0.3">
      <c r="A60" s="31"/>
      <c r="B60" s="31"/>
      <c r="C60" s="31"/>
      <c r="D60" s="31"/>
      <c r="E60" s="40" t="s">
        <v>125</v>
      </c>
      <c r="F60" s="39" t="s">
        <v>17</v>
      </c>
    </row>
    <row r="61" spans="1:6" ht="15.75" thickBot="1" x14ac:dyDescent="0.3">
      <c r="A61" s="31"/>
      <c r="B61" s="31"/>
      <c r="C61" s="31"/>
      <c r="D61" s="31"/>
      <c r="E61" s="40" t="s">
        <v>125</v>
      </c>
      <c r="F61" s="39" t="s">
        <v>17</v>
      </c>
    </row>
    <row r="62" spans="1:6" ht="15.75" thickBot="1" x14ac:dyDescent="0.3">
      <c r="A62" s="31"/>
      <c r="B62" s="31"/>
      <c r="C62" s="31"/>
      <c r="D62" s="31"/>
      <c r="E62" s="40" t="s">
        <v>125</v>
      </c>
      <c r="F62" s="39" t="s">
        <v>17</v>
      </c>
    </row>
    <row r="63" spans="1:6" ht="15.75" thickBot="1" x14ac:dyDescent="0.3">
      <c r="A63" s="31"/>
      <c r="B63" s="31"/>
      <c r="C63" s="31"/>
      <c r="D63" s="31"/>
      <c r="E63" s="40" t="s">
        <v>125</v>
      </c>
      <c r="F63" s="39" t="s">
        <v>17</v>
      </c>
    </row>
    <row r="64" spans="1:6" ht="15.75" thickBot="1" x14ac:dyDescent="0.3">
      <c r="A64" s="31"/>
      <c r="B64" s="32"/>
      <c r="C64" s="31"/>
      <c r="D64" s="31"/>
      <c r="E64" s="40" t="s">
        <v>125</v>
      </c>
      <c r="F64" s="39" t="s">
        <v>17</v>
      </c>
    </row>
    <row r="65" spans="1:6" ht="15.75" thickBot="1" x14ac:dyDescent="0.3">
      <c r="A65" s="31"/>
      <c r="B65" s="31"/>
      <c r="C65" s="31"/>
      <c r="D65" s="31"/>
      <c r="E65" s="40" t="s">
        <v>125</v>
      </c>
      <c r="F65" s="39" t="s">
        <v>17</v>
      </c>
    </row>
    <row r="66" spans="1:6" ht="15.75" thickBot="1" x14ac:dyDescent="0.3">
      <c r="A66" s="31"/>
      <c r="B66" s="31"/>
      <c r="C66" s="31"/>
      <c r="D66" s="31"/>
      <c r="E66" s="40" t="s">
        <v>125</v>
      </c>
      <c r="F66" s="39" t="s">
        <v>17</v>
      </c>
    </row>
    <row r="67" spans="1:6" ht="15.75" thickBot="1" x14ac:dyDescent="0.3">
      <c r="A67" s="31"/>
      <c r="B67" s="31"/>
      <c r="C67" s="31"/>
      <c r="D67" s="31"/>
      <c r="E67" s="40" t="s">
        <v>125</v>
      </c>
      <c r="F67" s="39" t="s">
        <v>17</v>
      </c>
    </row>
    <row r="68" spans="1:6" ht="15.75" thickBot="1" x14ac:dyDescent="0.3">
      <c r="A68" s="31"/>
      <c r="B68" s="31"/>
      <c r="C68" s="31"/>
      <c r="D68" s="31"/>
      <c r="E68" s="40" t="s">
        <v>125</v>
      </c>
      <c r="F68" s="39" t="s">
        <v>17</v>
      </c>
    </row>
    <row r="69" spans="1:6" ht="15.75" thickBot="1" x14ac:dyDescent="0.3">
      <c r="A69" s="31"/>
      <c r="B69" s="31"/>
      <c r="C69" s="31"/>
      <c r="D69" s="31"/>
      <c r="E69" s="40" t="s">
        <v>125</v>
      </c>
      <c r="F69" s="39" t="s">
        <v>17</v>
      </c>
    </row>
    <row r="70" spans="1:6" ht="15.75" thickBot="1" x14ac:dyDescent="0.3">
      <c r="A70" s="31"/>
      <c r="B70" s="31"/>
      <c r="C70" s="31"/>
      <c r="D70" s="31"/>
      <c r="E70" s="40" t="s">
        <v>125</v>
      </c>
      <c r="F70" s="39" t="s">
        <v>17</v>
      </c>
    </row>
    <row r="71" spans="1:6" ht="15.75" thickBot="1" x14ac:dyDescent="0.3">
      <c r="A71" s="31"/>
      <c r="B71" s="31"/>
      <c r="C71" s="31"/>
      <c r="D71" s="31"/>
      <c r="E71" s="40" t="s">
        <v>125</v>
      </c>
      <c r="F71" s="39" t="s">
        <v>17</v>
      </c>
    </row>
    <row r="72" spans="1:6" ht="15.75" thickBot="1" x14ac:dyDescent="0.3">
      <c r="A72" s="31"/>
      <c r="B72" s="31"/>
      <c r="C72" s="31"/>
      <c r="D72" s="31"/>
      <c r="E72" s="40" t="s">
        <v>125</v>
      </c>
      <c r="F72" s="39" t="s">
        <v>17</v>
      </c>
    </row>
    <row r="73" spans="1:6" ht="15.75" thickBot="1" x14ac:dyDescent="0.3">
      <c r="A73" s="31"/>
      <c r="B73" s="31"/>
      <c r="C73" s="31"/>
      <c r="D73" s="31"/>
      <c r="E73" s="40" t="s">
        <v>125</v>
      </c>
      <c r="F73" s="39" t="s">
        <v>17</v>
      </c>
    </row>
    <row r="74" spans="1:6" ht="15.75" thickBot="1" x14ac:dyDescent="0.3">
      <c r="A74" s="31"/>
      <c r="B74" s="31"/>
      <c r="C74" s="31"/>
      <c r="D74" s="31"/>
      <c r="E74" s="40" t="s">
        <v>125</v>
      </c>
      <c r="F74" s="39" t="s">
        <v>17</v>
      </c>
    </row>
    <row r="75" spans="1:6" ht="15.75" thickBot="1" x14ac:dyDescent="0.3">
      <c r="A75" s="31"/>
      <c r="B75" s="31"/>
      <c r="C75" s="31"/>
      <c r="D75" s="31"/>
      <c r="E75" s="40" t="s">
        <v>125</v>
      </c>
      <c r="F75" s="39" t="s">
        <v>17</v>
      </c>
    </row>
    <row r="76" spans="1:6" ht="15.75" thickBot="1" x14ac:dyDescent="0.3">
      <c r="A76" s="31"/>
      <c r="B76" s="31"/>
      <c r="C76" s="31"/>
      <c r="D76" s="31"/>
      <c r="E76" s="40" t="s">
        <v>125</v>
      </c>
      <c r="F76" s="39" t="s">
        <v>17</v>
      </c>
    </row>
    <row r="77" spans="1:6" ht="15.75" thickBot="1" x14ac:dyDescent="0.3">
      <c r="A77" s="31"/>
      <c r="B77" s="31"/>
      <c r="C77" s="31"/>
      <c r="D77" s="31"/>
      <c r="E77" s="40" t="s">
        <v>125</v>
      </c>
      <c r="F77" s="39" t="s">
        <v>17</v>
      </c>
    </row>
    <row r="78" spans="1:6" ht="15.75" thickBot="1" x14ac:dyDescent="0.3">
      <c r="A78" s="31"/>
      <c r="B78" s="31"/>
      <c r="C78" s="31"/>
      <c r="D78" s="31"/>
      <c r="E78" s="40" t="s">
        <v>125</v>
      </c>
      <c r="F78" s="39" t="s">
        <v>17</v>
      </c>
    </row>
    <row r="79" spans="1:6" ht="15.75" thickBot="1" x14ac:dyDescent="0.3">
      <c r="A79" s="31"/>
      <c r="B79" s="31"/>
      <c r="C79" s="31"/>
      <c r="D79" s="31"/>
      <c r="E79" s="40" t="s">
        <v>125</v>
      </c>
      <c r="F79" s="39" t="s">
        <v>17</v>
      </c>
    </row>
    <row r="80" spans="1:6" ht="15.75" thickBot="1" x14ac:dyDescent="0.3">
      <c r="A80" s="31"/>
      <c r="B80" s="31"/>
      <c r="C80" s="31"/>
      <c r="D80" s="31"/>
      <c r="E80" s="40" t="s">
        <v>125</v>
      </c>
      <c r="F80" s="39" t="s">
        <v>17</v>
      </c>
    </row>
    <row r="81" spans="1:6" ht="15.75" thickBot="1" x14ac:dyDescent="0.3">
      <c r="A81" s="31"/>
      <c r="B81" s="31"/>
      <c r="C81" s="31"/>
      <c r="D81" s="31"/>
      <c r="E81" s="40" t="s">
        <v>125</v>
      </c>
      <c r="F81" s="39" t="s">
        <v>17</v>
      </c>
    </row>
    <row r="82" spans="1:6" ht="15.75" thickBot="1" x14ac:dyDescent="0.3">
      <c r="A82" s="31"/>
      <c r="B82" s="31"/>
      <c r="C82" s="31"/>
      <c r="D82" s="31"/>
      <c r="E82" s="40" t="s">
        <v>125</v>
      </c>
      <c r="F82" s="39" t="s">
        <v>17</v>
      </c>
    </row>
    <row r="83" spans="1:6" ht="15.75" thickBot="1" x14ac:dyDescent="0.3">
      <c r="A83" s="31"/>
      <c r="B83" s="31"/>
      <c r="C83" s="31"/>
      <c r="D83" s="31"/>
      <c r="E83" s="40" t="s">
        <v>125</v>
      </c>
      <c r="F83" s="39" t="s">
        <v>17</v>
      </c>
    </row>
    <row r="84" spans="1:6" ht="15.75" thickBot="1" x14ac:dyDescent="0.3">
      <c r="A84" s="31"/>
      <c r="B84" s="32"/>
      <c r="C84" s="31"/>
      <c r="D84" s="31"/>
      <c r="E84" s="40" t="s">
        <v>125</v>
      </c>
      <c r="F84" s="39" t="s">
        <v>17</v>
      </c>
    </row>
    <row r="85" spans="1:6" ht="15.75" thickBot="1" x14ac:dyDescent="0.3">
      <c r="A85" s="31"/>
      <c r="B85" s="31"/>
      <c r="C85" s="31"/>
      <c r="D85" s="31"/>
      <c r="E85" s="40" t="s">
        <v>125</v>
      </c>
      <c r="F85" s="39" t="s">
        <v>17</v>
      </c>
    </row>
    <row r="86" spans="1:6" ht="15.75" thickBot="1" x14ac:dyDescent="0.3">
      <c r="A86" s="31"/>
      <c r="B86" s="31"/>
      <c r="C86" s="31"/>
      <c r="D86" s="31"/>
      <c r="E86" s="40" t="s">
        <v>125</v>
      </c>
      <c r="F86" s="39" t="s">
        <v>17</v>
      </c>
    </row>
    <row r="87" spans="1:6" ht="15.75" thickBot="1" x14ac:dyDescent="0.3">
      <c r="A87" s="31"/>
      <c r="B87" s="31"/>
      <c r="C87" s="31"/>
      <c r="D87" s="31"/>
      <c r="E87" s="40" t="s">
        <v>125</v>
      </c>
      <c r="F87" s="39" t="s">
        <v>17</v>
      </c>
    </row>
    <row r="88" spans="1:6" ht="15.75" thickBot="1" x14ac:dyDescent="0.3">
      <c r="A88" s="31"/>
      <c r="B88" s="31"/>
      <c r="C88" s="31"/>
      <c r="D88" s="31"/>
      <c r="E88" s="40" t="s">
        <v>125</v>
      </c>
      <c r="F88" s="39" t="s">
        <v>17</v>
      </c>
    </row>
    <row r="89" spans="1:6" ht="15.75" thickBot="1" x14ac:dyDescent="0.3">
      <c r="A89" s="31"/>
      <c r="B89" s="31"/>
      <c r="C89" s="31"/>
      <c r="D89" s="31"/>
      <c r="E89" s="40" t="s">
        <v>125</v>
      </c>
      <c r="F89" s="39" t="s">
        <v>17</v>
      </c>
    </row>
    <row r="90" spans="1:6" ht="15.75" thickBot="1" x14ac:dyDescent="0.3">
      <c r="A90" s="31"/>
      <c r="B90" s="31"/>
      <c r="C90" s="31"/>
      <c r="D90" s="31"/>
      <c r="E90" s="40" t="s">
        <v>125</v>
      </c>
      <c r="F90" s="39" t="s">
        <v>17</v>
      </c>
    </row>
    <row r="91" spans="1:6" ht="15.75" thickBot="1" x14ac:dyDescent="0.3">
      <c r="A91" s="31"/>
      <c r="B91" s="31"/>
      <c r="C91" s="31"/>
      <c r="D91" s="31"/>
      <c r="E91" s="40" t="s">
        <v>125</v>
      </c>
      <c r="F91" s="39" t="s">
        <v>17</v>
      </c>
    </row>
    <row r="92" spans="1:6" ht="15.75" thickBot="1" x14ac:dyDescent="0.3">
      <c r="A92" s="33"/>
      <c r="B92" s="30"/>
      <c r="C92" s="31"/>
      <c r="D92" s="31"/>
      <c r="E92" s="40" t="s">
        <v>127</v>
      </c>
      <c r="F92" s="39" t="s">
        <v>126</v>
      </c>
    </row>
    <row r="93" spans="1:6" ht="15.75" thickBot="1" x14ac:dyDescent="0.3">
      <c r="A93" s="33"/>
      <c r="B93" s="30"/>
      <c r="C93" s="31"/>
      <c r="D93" s="31"/>
      <c r="E93" s="40" t="s">
        <v>127</v>
      </c>
      <c r="F93" s="39" t="s">
        <v>126</v>
      </c>
    </row>
    <row r="94" spans="1:6" ht="15.75" thickBot="1" x14ac:dyDescent="0.3">
      <c r="A94" s="33"/>
      <c r="B94" s="30"/>
      <c r="C94" s="31"/>
      <c r="D94" s="31"/>
      <c r="E94" s="40" t="s">
        <v>127</v>
      </c>
      <c r="F94" s="39" t="s">
        <v>126</v>
      </c>
    </row>
    <row r="95" spans="1:6" ht="15.75" thickBot="1" x14ac:dyDescent="0.3">
      <c r="A95" s="33"/>
      <c r="B95" s="30"/>
      <c r="C95" s="31"/>
      <c r="D95" s="31"/>
      <c r="E95" s="40" t="s">
        <v>127</v>
      </c>
      <c r="F95" s="39" t="s">
        <v>126</v>
      </c>
    </row>
    <row r="96" spans="1:6" ht="15.75" thickBot="1" x14ac:dyDescent="0.3">
      <c r="A96" s="33"/>
      <c r="B96" s="30"/>
      <c r="C96" s="31"/>
      <c r="D96" s="31"/>
      <c r="E96" s="40" t="s">
        <v>127</v>
      </c>
      <c r="F96" s="39" t="s">
        <v>126</v>
      </c>
    </row>
    <row r="97" spans="1:6" ht="15.75" thickBot="1" x14ac:dyDescent="0.3">
      <c r="A97" s="33"/>
      <c r="B97" s="30"/>
      <c r="C97" s="31"/>
      <c r="D97" s="31"/>
      <c r="E97" s="40" t="s">
        <v>127</v>
      </c>
      <c r="F97" s="39" t="s">
        <v>126</v>
      </c>
    </row>
    <row r="98" spans="1:6" ht="15.75" thickBot="1" x14ac:dyDescent="0.3">
      <c r="A98" s="33"/>
      <c r="B98" s="30"/>
      <c r="C98" s="31"/>
      <c r="D98" s="31"/>
      <c r="E98" s="40" t="s">
        <v>127</v>
      </c>
      <c r="F98" s="39" t="s">
        <v>126</v>
      </c>
    </row>
    <row r="99" spans="1:6" ht="15.75" thickBot="1" x14ac:dyDescent="0.3">
      <c r="A99" s="33"/>
      <c r="B99" s="30"/>
      <c r="C99" s="31"/>
      <c r="D99" s="31"/>
      <c r="E99" s="40" t="s">
        <v>127</v>
      </c>
      <c r="F99" s="39" t="s">
        <v>126</v>
      </c>
    </row>
    <row r="100" spans="1:6" ht="15.75" thickBot="1" x14ac:dyDescent="0.3">
      <c r="A100" s="33"/>
      <c r="B100" s="30"/>
      <c r="C100" s="31"/>
      <c r="D100" s="31"/>
      <c r="E100" s="40" t="s">
        <v>127</v>
      </c>
      <c r="F100" s="39" t="s">
        <v>126</v>
      </c>
    </row>
    <row r="101" spans="1:6" ht="15.75" thickBot="1" x14ac:dyDescent="0.3">
      <c r="A101" s="33"/>
      <c r="B101" s="30"/>
      <c r="C101" s="31"/>
      <c r="D101" s="31"/>
      <c r="E101" s="40" t="s">
        <v>127</v>
      </c>
      <c r="F101" s="39" t="s">
        <v>126</v>
      </c>
    </row>
    <row r="102" spans="1:6" ht="15.75" thickBot="1" x14ac:dyDescent="0.3">
      <c r="A102" s="33"/>
      <c r="B102" s="30"/>
      <c r="C102" s="34"/>
      <c r="D102" s="34"/>
      <c r="E102" s="40" t="s">
        <v>127</v>
      </c>
      <c r="F102" s="39" t="s">
        <v>126</v>
      </c>
    </row>
    <row r="103" spans="1:6" ht="15.75" thickBot="1" x14ac:dyDescent="0.3">
      <c r="A103" s="33"/>
      <c r="B103" s="30"/>
      <c r="C103" s="31"/>
      <c r="D103" s="31"/>
      <c r="E103" s="40" t="s">
        <v>127</v>
      </c>
      <c r="F103" s="39" t="s">
        <v>126</v>
      </c>
    </row>
    <row r="104" spans="1:6" ht="15.75" thickBot="1" x14ac:dyDescent="0.3">
      <c r="A104" s="33"/>
      <c r="B104" s="30"/>
      <c r="C104" s="31"/>
      <c r="D104" s="31"/>
      <c r="E104" s="40" t="s">
        <v>127</v>
      </c>
      <c r="F104" s="39" t="s">
        <v>126</v>
      </c>
    </row>
    <row r="105" spans="1:6" ht="15.75" thickBot="1" x14ac:dyDescent="0.3">
      <c r="A105" s="33"/>
      <c r="B105" s="30"/>
      <c r="C105" s="31"/>
      <c r="D105" s="31"/>
      <c r="E105" s="40" t="s">
        <v>127</v>
      </c>
      <c r="F105" s="39" t="s">
        <v>126</v>
      </c>
    </row>
    <row r="106" spans="1:6" ht="15.75" thickBot="1" x14ac:dyDescent="0.3">
      <c r="A106" s="33"/>
      <c r="B106" s="30"/>
      <c r="C106" s="31"/>
      <c r="D106" s="31"/>
      <c r="E106" s="40" t="s">
        <v>127</v>
      </c>
      <c r="F106" s="39" t="s">
        <v>126</v>
      </c>
    </row>
    <row r="107" spans="1:6" ht="15.75" thickBot="1" x14ac:dyDescent="0.3">
      <c r="A107" s="33"/>
      <c r="B107" s="30"/>
      <c r="C107" s="31"/>
      <c r="D107" s="31"/>
      <c r="E107" s="40" t="s">
        <v>127</v>
      </c>
      <c r="F107" s="39" t="s">
        <v>126</v>
      </c>
    </row>
    <row r="108" spans="1:6" ht="15.75" thickBot="1" x14ac:dyDescent="0.3">
      <c r="A108" s="33"/>
      <c r="B108" s="30"/>
      <c r="C108" s="31"/>
      <c r="D108" s="31"/>
      <c r="E108" s="40" t="s">
        <v>127</v>
      </c>
      <c r="F108" s="39" t="s">
        <v>126</v>
      </c>
    </row>
    <row r="109" spans="1:6" ht="15.75" thickBot="1" x14ac:dyDescent="0.3">
      <c r="A109" s="33"/>
      <c r="B109" s="30"/>
      <c r="C109" s="31"/>
      <c r="D109" s="31"/>
      <c r="E109" s="40" t="s">
        <v>127</v>
      </c>
      <c r="F109" s="39" t="s">
        <v>126</v>
      </c>
    </row>
    <row r="110" spans="1:6" ht="15.75" thickBot="1" x14ac:dyDescent="0.3">
      <c r="A110" s="33"/>
      <c r="B110" s="30"/>
      <c r="C110" s="31"/>
      <c r="D110" s="31"/>
      <c r="E110" s="40" t="s">
        <v>127</v>
      </c>
      <c r="F110" s="39" t="s">
        <v>126</v>
      </c>
    </row>
    <row r="111" spans="1:6" ht="15.75" thickBot="1" x14ac:dyDescent="0.3">
      <c r="A111" s="33"/>
      <c r="B111" s="30"/>
      <c r="C111" s="31"/>
      <c r="D111" s="31"/>
      <c r="E111" s="40" t="s">
        <v>127</v>
      </c>
      <c r="F111" s="39" t="s">
        <v>126</v>
      </c>
    </row>
    <row r="112" spans="1:6" ht="15.75" thickBot="1" x14ac:dyDescent="0.3">
      <c r="A112" s="33"/>
      <c r="B112" s="30"/>
      <c r="C112" s="31"/>
      <c r="D112" s="31"/>
      <c r="E112" s="40" t="s">
        <v>127</v>
      </c>
      <c r="F112" s="39" t="s">
        <v>126</v>
      </c>
    </row>
    <row r="113" spans="1:6" ht="15.75" thickBot="1" x14ac:dyDescent="0.3">
      <c r="A113" s="33"/>
      <c r="B113" s="30"/>
      <c r="C113" s="31"/>
      <c r="D113" s="31"/>
      <c r="E113" s="40" t="s">
        <v>127</v>
      </c>
      <c r="F113" s="39" t="s">
        <v>126</v>
      </c>
    </row>
    <row r="114" spans="1:6" ht="15.75" thickBot="1" x14ac:dyDescent="0.3">
      <c r="A114" s="33"/>
      <c r="B114" s="30"/>
      <c r="C114" s="31"/>
      <c r="D114" s="31"/>
      <c r="E114" s="40" t="s">
        <v>127</v>
      </c>
      <c r="F114" s="39" t="s">
        <v>126</v>
      </c>
    </row>
    <row r="115" spans="1:6" ht="15.75" thickBot="1" x14ac:dyDescent="0.3">
      <c r="A115" s="33"/>
      <c r="B115" s="30"/>
      <c r="C115" s="31"/>
      <c r="D115" s="31"/>
      <c r="E115" s="40" t="s">
        <v>127</v>
      </c>
      <c r="F115" s="39" t="s">
        <v>126</v>
      </c>
    </row>
    <row r="116" spans="1:6" ht="15.75" thickBot="1" x14ac:dyDescent="0.3">
      <c r="A116" s="33"/>
      <c r="B116" s="30"/>
      <c r="C116" s="31"/>
      <c r="D116" s="31"/>
      <c r="E116" s="40" t="s">
        <v>127</v>
      </c>
      <c r="F116" s="39" t="s">
        <v>126</v>
      </c>
    </row>
    <row r="117" spans="1:6" ht="15.75" thickBot="1" x14ac:dyDescent="0.3">
      <c r="A117" s="33"/>
      <c r="B117" s="30"/>
      <c r="C117" s="31"/>
      <c r="D117" s="31"/>
      <c r="E117" s="40" t="s">
        <v>127</v>
      </c>
      <c r="F117" s="39" t="s">
        <v>126</v>
      </c>
    </row>
    <row r="118" spans="1:6" ht="15.75" thickBot="1" x14ac:dyDescent="0.3">
      <c r="A118" s="33"/>
      <c r="B118" s="30"/>
      <c r="C118" s="31"/>
      <c r="D118" s="31"/>
      <c r="E118" s="40" t="s">
        <v>127</v>
      </c>
      <c r="F118" s="39" t="s">
        <v>126</v>
      </c>
    </row>
    <row r="119" spans="1:6" ht="15.75" thickBot="1" x14ac:dyDescent="0.3">
      <c r="A119" s="33"/>
      <c r="B119" s="30"/>
      <c r="C119" s="31"/>
      <c r="D119" s="31"/>
      <c r="E119" s="40" t="s">
        <v>127</v>
      </c>
      <c r="F119" s="39" t="s">
        <v>126</v>
      </c>
    </row>
    <row r="120" spans="1:6" ht="15.75" thickBot="1" x14ac:dyDescent="0.3">
      <c r="A120" s="33"/>
      <c r="B120" s="30"/>
      <c r="C120" s="31"/>
      <c r="D120" s="31"/>
      <c r="E120" s="40" t="s">
        <v>127</v>
      </c>
      <c r="F120" s="39" t="s">
        <v>126</v>
      </c>
    </row>
    <row r="121" spans="1:6" ht="15.75" thickBot="1" x14ac:dyDescent="0.3">
      <c r="A121" s="33"/>
      <c r="B121" s="30"/>
      <c r="C121" s="31"/>
      <c r="D121" s="31"/>
      <c r="E121" s="40" t="s">
        <v>127</v>
      </c>
      <c r="F121" s="39" t="s">
        <v>126</v>
      </c>
    </row>
    <row r="122" spans="1:6" ht="15.75" thickBot="1" x14ac:dyDescent="0.3">
      <c r="A122" s="33"/>
      <c r="B122" s="30"/>
      <c r="C122" s="31"/>
      <c r="D122" s="31"/>
      <c r="E122" s="40" t="s">
        <v>127</v>
      </c>
      <c r="F122" s="39" t="s">
        <v>126</v>
      </c>
    </row>
    <row r="123" spans="1:6" ht="15.75" thickBot="1" x14ac:dyDescent="0.3">
      <c r="A123" s="33"/>
      <c r="B123" s="30"/>
      <c r="C123" s="31"/>
      <c r="D123" s="31"/>
      <c r="E123" s="40" t="s">
        <v>127</v>
      </c>
      <c r="F123" s="39" t="s">
        <v>126</v>
      </c>
    </row>
    <row r="124" spans="1:6" ht="15.75" thickBot="1" x14ac:dyDescent="0.3">
      <c r="A124" s="33"/>
      <c r="B124" s="30"/>
      <c r="C124" s="31"/>
      <c r="D124" s="31"/>
      <c r="E124" s="40" t="s">
        <v>127</v>
      </c>
      <c r="F124" s="39" t="s">
        <v>126</v>
      </c>
    </row>
    <row r="125" spans="1:6" ht="15.75" thickBot="1" x14ac:dyDescent="0.3">
      <c r="A125" s="33"/>
      <c r="B125" s="30"/>
      <c r="C125" s="31"/>
      <c r="D125" s="31"/>
      <c r="E125" s="40" t="s">
        <v>127</v>
      </c>
      <c r="F125" s="39" t="s">
        <v>126</v>
      </c>
    </row>
    <row r="126" spans="1:6" ht="15.75" thickBot="1" x14ac:dyDescent="0.3">
      <c r="A126" s="33"/>
      <c r="B126" s="30"/>
      <c r="C126" s="31"/>
      <c r="D126" s="31"/>
      <c r="E126" s="40" t="s">
        <v>127</v>
      </c>
      <c r="F126" s="39" t="s">
        <v>126</v>
      </c>
    </row>
    <row r="127" spans="1:6" ht="15.75" thickBot="1" x14ac:dyDescent="0.3">
      <c r="A127" s="33"/>
      <c r="B127" s="30"/>
      <c r="C127" s="31"/>
      <c r="D127" s="31"/>
      <c r="E127" s="40" t="s">
        <v>127</v>
      </c>
      <c r="F127" s="39" t="s">
        <v>126</v>
      </c>
    </row>
    <row r="128" spans="1:6" ht="15.75" thickBot="1" x14ac:dyDescent="0.3">
      <c r="A128" s="33"/>
      <c r="B128" s="30"/>
      <c r="C128" s="31"/>
      <c r="D128" s="31"/>
      <c r="E128" s="40" t="s">
        <v>127</v>
      </c>
      <c r="F128" s="39" t="s">
        <v>126</v>
      </c>
    </row>
    <row r="129" spans="1:6" ht="15.75" thickBot="1" x14ac:dyDescent="0.3">
      <c r="A129" s="33"/>
      <c r="B129" s="30"/>
      <c r="C129" s="31"/>
      <c r="D129" s="31"/>
      <c r="E129" s="40" t="s">
        <v>127</v>
      </c>
      <c r="F129" s="39" t="s">
        <v>126</v>
      </c>
    </row>
    <row r="130" spans="1:6" ht="15.75" thickBot="1" x14ac:dyDescent="0.3">
      <c r="A130" s="33"/>
      <c r="B130" s="30"/>
      <c r="C130" s="31"/>
      <c r="D130" s="31"/>
      <c r="E130" s="40" t="s">
        <v>127</v>
      </c>
      <c r="F130" s="39" t="s">
        <v>126</v>
      </c>
    </row>
    <row r="131" spans="1:6" ht="15.75" thickBot="1" x14ac:dyDescent="0.3">
      <c r="A131" s="33"/>
      <c r="B131" s="30"/>
      <c r="C131" s="31"/>
      <c r="D131" s="31"/>
      <c r="E131" s="40" t="s">
        <v>127</v>
      </c>
      <c r="F131" s="39" t="s">
        <v>126</v>
      </c>
    </row>
    <row r="132" spans="1:6" ht="15.75" thickBot="1" x14ac:dyDescent="0.3">
      <c r="A132" s="33"/>
      <c r="B132" s="30"/>
      <c r="C132" s="31"/>
      <c r="D132" s="31"/>
      <c r="E132" s="40" t="s">
        <v>127</v>
      </c>
      <c r="F132" s="39" t="s">
        <v>126</v>
      </c>
    </row>
    <row r="133" spans="1:6" ht="15.75" thickBot="1" x14ac:dyDescent="0.3">
      <c r="A133" s="33"/>
      <c r="B133" s="30"/>
      <c r="C133" s="31"/>
      <c r="D133" s="31"/>
      <c r="E133" s="40" t="s">
        <v>127</v>
      </c>
      <c r="F133" s="39" t="s">
        <v>126</v>
      </c>
    </row>
    <row r="134" spans="1:6" ht="15.75" thickBot="1" x14ac:dyDescent="0.3">
      <c r="A134" s="33"/>
      <c r="B134" s="30"/>
      <c r="C134" s="31"/>
      <c r="D134" s="31"/>
      <c r="E134" s="40" t="s">
        <v>127</v>
      </c>
      <c r="F134" s="39" t="s">
        <v>126</v>
      </c>
    </row>
    <row r="135" spans="1:6" ht="15.75" thickBot="1" x14ac:dyDescent="0.3">
      <c r="A135" s="33"/>
      <c r="B135" s="30"/>
      <c r="C135" s="31"/>
      <c r="D135" s="31"/>
      <c r="E135" s="40" t="s">
        <v>127</v>
      </c>
      <c r="F135" s="39" t="s">
        <v>126</v>
      </c>
    </row>
    <row r="136" spans="1:6" ht="15.75" thickBot="1" x14ac:dyDescent="0.3">
      <c r="A136" s="33"/>
      <c r="B136" s="30"/>
      <c r="C136" s="31"/>
      <c r="D136" s="31"/>
      <c r="E136" s="40" t="s">
        <v>127</v>
      </c>
      <c r="F136" s="39" t="s">
        <v>126</v>
      </c>
    </row>
    <row r="137" spans="1:6" ht="15.75" thickBot="1" x14ac:dyDescent="0.3">
      <c r="A137" s="33"/>
      <c r="B137" s="30"/>
      <c r="C137" s="31"/>
      <c r="D137" s="31"/>
      <c r="E137" s="40" t="s">
        <v>127</v>
      </c>
      <c r="F137" s="39" t="s">
        <v>126</v>
      </c>
    </row>
    <row r="138" spans="1:6" ht="15.75" thickBot="1" x14ac:dyDescent="0.3">
      <c r="A138" s="33"/>
      <c r="B138" s="30"/>
      <c r="C138" s="31"/>
      <c r="D138" s="31"/>
      <c r="E138" s="40" t="s">
        <v>127</v>
      </c>
      <c r="F138" s="39" t="s">
        <v>126</v>
      </c>
    </row>
    <row r="139" spans="1:6" ht="15.75" thickBot="1" x14ac:dyDescent="0.3">
      <c r="A139" s="33"/>
      <c r="B139" s="30"/>
      <c r="C139" s="31"/>
      <c r="D139" s="31"/>
      <c r="E139" s="40" t="s">
        <v>127</v>
      </c>
      <c r="F139" s="39" t="s">
        <v>126</v>
      </c>
    </row>
    <row r="140" spans="1:6" ht="15.75" thickBot="1" x14ac:dyDescent="0.3">
      <c r="A140" s="31"/>
      <c r="B140" s="31"/>
      <c r="C140" s="31"/>
      <c r="D140" s="31"/>
      <c r="E140" s="40" t="s">
        <v>127</v>
      </c>
      <c r="F140" s="41" t="s">
        <v>17</v>
      </c>
    </row>
    <row r="141" spans="1:6" ht="15.75" thickBot="1" x14ac:dyDescent="0.3">
      <c r="A141" s="31"/>
      <c r="B141" s="31"/>
      <c r="C141" s="31"/>
      <c r="D141" s="31"/>
      <c r="E141" s="40" t="s">
        <v>127</v>
      </c>
      <c r="F141" s="41" t="s">
        <v>17</v>
      </c>
    </row>
    <row r="142" spans="1:6" ht="15.75" thickBot="1" x14ac:dyDescent="0.3">
      <c r="A142" s="31"/>
      <c r="B142" s="31"/>
      <c r="C142" s="31"/>
      <c r="D142" s="31"/>
      <c r="E142" s="40" t="s">
        <v>127</v>
      </c>
      <c r="F142" s="41" t="s">
        <v>17</v>
      </c>
    </row>
    <row r="143" spans="1:6" ht="15.75" thickBot="1" x14ac:dyDescent="0.3">
      <c r="A143" s="31"/>
      <c r="B143" s="31"/>
      <c r="C143" s="31"/>
      <c r="D143" s="31"/>
      <c r="E143" s="40" t="s">
        <v>127</v>
      </c>
      <c r="F143" s="41" t="s">
        <v>17</v>
      </c>
    </row>
    <row r="144" spans="1:6" ht="15.75" thickBot="1" x14ac:dyDescent="0.3">
      <c r="A144" s="31"/>
      <c r="B144" s="31"/>
      <c r="C144" s="31"/>
      <c r="D144" s="31"/>
      <c r="E144" s="40" t="s">
        <v>127</v>
      </c>
      <c r="F144" s="41" t="s">
        <v>17</v>
      </c>
    </row>
    <row r="145" spans="1:6" ht="15.75" thickBot="1" x14ac:dyDescent="0.3">
      <c r="A145" s="31"/>
      <c r="B145" s="31"/>
      <c r="C145" s="31"/>
      <c r="D145" s="31"/>
      <c r="E145" s="40" t="s">
        <v>127</v>
      </c>
      <c r="F145" s="41" t="s">
        <v>17</v>
      </c>
    </row>
    <row r="146" spans="1:6" ht="15.75" thickBot="1" x14ac:dyDescent="0.3">
      <c r="A146" s="31"/>
      <c r="B146" s="31"/>
      <c r="C146" s="31"/>
      <c r="D146" s="31"/>
      <c r="E146" s="40" t="s">
        <v>127</v>
      </c>
      <c r="F146" s="41" t="s">
        <v>17</v>
      </c>
    </row>
    <row r="147" spans="1:6" ht="15.75" thickBot="1" x14ac:dyDescent="0.3">
      <c r="A147" s="31"/>
      <c r="B147" s="32"/>
      <c r="C147" s="31"/>
      <c r="D147" s="31"/>
      <c r="E147" s="40" t="s">
        <v>127</v>
      </c>
      <c r="F147" s="41" t="s">
        <v>17</v>
      </c>
    </row>
    <row r="148" spans="1:6" ht="15.75" thickBot="1" x14ac:dyDescent="0.3">
      <c r="A148" s="31"/>
      <c r="B148" s="31"/>
      <c r="C148" s="31"/>
      <c r="D148" s="31"/>
      <c r="E148" s="40" t="s">
        <v>127</v>
      </c>
      <c r="F148" s="41" t="s">
        <v>17</v>
      </c>
    </row>
    <row r="149" spans="1:6" ht="15.75" thickBot="1" x14ac:dyDescent="0.3">
      <c r="A149" s="31"/>
      <c r="B149" s="31"/>
      <c r="C149" s="31"/>
      <c r="D149" s="31"/>
      <c r="E149" s="40" t="s">
        <v>127</v>
      </c>
      <c r="F149" s="41" t="s">
        <v>17</v>
      </c>
    </row>
    <row r="150" spans="1:6" ht="15.75" thickBot="1" x14ac:dyDescent="0.3">
      <c r="A150" s="31"/>
      <c r="B150" s="31"/>
      <c r="C150" s="31"/>
      <c r="D150" s="31"/>
      <c r="E150" s="40" t="s">
        <v>127</v>
      </c>
      <c r="F150" s="41" t="s">
        <v>17</v>
      </c>
    </row>
    <row r="151" spans="1:6" ht="15.75" thickBot="1" x14ac:dyDescent="0.3">
      <c r="A151" s="31"/>
      <c r="B151" s="31"/>
      <c r="C151" s="31"/>
      <c r="D151" s="31"/>
      <c r="E151" s="40" t="s">
        <v>127</v>
      </c>
      <c r="F151" s="41" t="s">
        <v>17</v>
      </c>
    </row>
    <row r="152" spans="1:6" ht="15.75" thickBot="1" x14ac:dyDescent="0.3">
      <c r="A152" s="31"/>
      <c r="B152" s="31"/>
      <c r="C152" s="31"/>
      <c r="D152" s="31"/>
      <c r="E152" s="40" t="s">
        <v>127</v>
      </c>
      <c r="F152" s="41" t="s">
        <v>17</v>
      </c>
    </row>
    <row r="153" spans="1:6" ht="15.75" thickBot="1" x14ac:dyDescent="0.3">
      <c r="A153" s="31"/>
      <c r="B153" s="31"/>
      <c r="C153" s="31"/>
      <c r="D153" s="31"/>
      <c r="E153" s="40" t="s">
        <v>127</v>
      </c>
      <c r="F153" s="41" t="s">
        <v>17</v>
      </c>
    </row>
    <row r="154" spans="1:6" ht="15.75" thickBot="1" x14ac:dyDescent="0.3">
      <c r="A154" s="31"/>
      <c r="B154" s="32"/>
      <c r="C154" s="31"/>
      <c r="D154" s="31"/>
      <c r="E154" s="40" t="s">
        <v>127</v>
      </c>
      <c r="F154" s="41" t="s">
        <v>17</v>
      </c>
    </row>
    <row r="155" spans="1:6" ht="15.75" thickBot="1" x14ac:dyDescent="0.3">
      <c r="A155" s="31"/>
      <c r="B155" s="31"/>
      <c r="C155" s="31"/>
      <c r="D155" s="31"/>
      <c r="E155" s="40" t="s">
        <v>127</v>
      </c>
      <c r="F155" s="41" t="s">
        <v>17</v>
      </c>
    </row>
    <row r="156" spans="1:6" ht="15.75" thickBot="1" x14ac:dyDescent="0.3">
      <c r="A156" s="31"/>
      <c r="B156" s="31"/>
      <c r="C156" s="31"/>
      <c r="D156" s="31"/>
      <c r="E156" s="40" t="s">
        <v>127</v>
      </c>
      <c r="F156" s="41" t="s">
        <v>17</v>
      </c>
    </row>
    <row r="157" spans="1:6" ht="15.75" thickBot="1" x14ac:dyDescent="0.3">
      <c r="A157" s="31"/>
      <c r="B157" s="31"/>
      <c r="C157" s="31"/>
      <c r="D157" s="31"/>
      <c r="E157" s="40" t="s">
        <v>127</v>
      </c>
      <c r="F157" s="41" t="s">
        <v>17</v>
      </c>
    </row>
    <row r="158" spans="1:6" ht="15.75" thickBot="1" x14ac:dyDescent="0.3">
      <c r="A158" s="31"/>
      <c r="B158" s="31"/>
      <c r="C158" s="31"/>
      <c r="D158" s="31"/>
      <c r="E158" s="40" t="s">
        <v>127</v>
      </c>
      <c r="F158" s="41" t="s">
        <v>17</v>
      </c>
    </row>
    <row r="159" spans="1:6" ht="15.75" thickBot="1" x14ac:dyDescent="0.3">
      <c r="A159" s="31"/>
      <c r="B159" s="31"/>
      <c r="C159" s="31"/>
      <c r="D159" s="31"/>
      <c r="E159" s="40" t="s">
        <v>127</v>
      </c>
      <c r="F159" s="41" t="s">
        <v>17</v>
      </c>
    </row>
    <row r="160" spans="1:6" ht="15.75" thickBot="1" x14ac:dyDescent="0.3">
      <c r="A160" s="31"/>
      <c r="B160" s="31"/>
      <c r="C160" s="31"/>
      <c r="D160" s="31"/>
      <c r="E160" s="40" t="s">
        <v>127</v>
      </c>
      <c r="F160" s="41" t="s">
        <v>17</v>
      </c>
    </row>
    <row r="161" spans="1:6" ht="15.75" thickBot="1" x14ac:dyDescent="0.3">
      <c r="A161" s="31"/>
      <c r="B161" s="31"/>
      <c r="C161" s="31"/>
      <c r="D161" s="31"/>
      <c r="E161" s="40" t="s">
        <v>127</v>
      </c>
      <c r="F161" s="41" t="s">
        <v>17</v>
      </c>
    </row>
    <row r="162" spans="1:6" ht="15.75" thickBot="1" x14ac:dyDescent="0.3">
      <c r="A162" s="31"/>
      <c r="B162" s="32"/>
      <c r="C162" s="31"/>
      <c r="D162" s="31"/>
      <c r="E162" s="40" t="s">
        <v>127</v>
      </c>
      <c r="F162" s="41" t="s">
        <v>17</v>
      </c>
    </row>
    <row r="163" spans="1:6" ht="15.75" thickBot="1" x14ac:dyDescent="0.3">
      <c r="A163" s="31"/>
      <c r="B163" s="31"/>
      <c r="C163" s="31"/>
      <c r="D163" s="31"/>
      <c r="E163" s="40" t="s">
        <v>127</v>
      </c>
      <c r="F163" s="41" t="s">
        <v>17</v>
      </c>
    </row>
    <row r="164" spans="1:6" ht="15.75" thickBot="1" x14ac:dyDescent="0.3">
      <c r="A164" s="31"/>
      <c r="B164" s="31"/>
      <c r="C164" s="31"/>
      <c r="D164" s="31"/>
      <c r="E164" s="40" t="s">
        <v>127</v>
      </c>
      <c r="F164" s="41" t="s">
        <v>17</v>
      </c>
    </row>
    <row r="165" spans="1:6" ht="15.75" thickBot="1" x14ac:dyDescent="0.3">
      <c r="A165" s="31"/>
      <c r="B165" s="31"/>
      <c r="C165" s="31"/>
      <c r="D165" s="31"/>
      <c r="E165" s="40" t="s">
        <v>127</v>
      </c>
      <c r="F165" s="41" t="s">
        <v>17</v>
      </c>
    </row>
    <row r="166" spans="1:6" ht="15.75" thickBot="1" x14ac:dyDescent="0.3">
      <c r="A166" s="31"/>
      <c r="B166" s="31"/>
      <c r="C166" s="31"/>
      <c r="D166" s="31"/>
      <c r="E166" s="40" t="s">
        <v>127</v>
      </c>
      <c r="F166" s="41" t="s">
        <v>17</v>
      </c>
    </row>
    <row r="167" spans="1:6" ht="15.75" thickBot="1" x14ac:dyDescent="0.3">
      <c r="A167" s="31"/>
      <c r="B167" s="31"/>
      <c r="C167" s="31"/>
      <c r="D167" s="31"/>
      <c r="E167" s="40" t="s">
        <v>127</v>
      </c>
      <c r="F167" s="41" t="s">
        <v>17</v>
      </c>
    </row>
    <row r="168" spans="1:6" ht="15.75" thickBot="1" x14ac:dyDescent="0.3">
      <c r="A168" s="31"/>
      <c r="B168" s="31"/>
      <c r="C168" s="31"/>
      <c r="D168" s="31"/>
      <c r="E168" s="40" t="s">
        <v>127</v>
      </c>
      <c r="F168" s="41" t="s">
        <v>17</v>
      </c>
    </row>
    <row r="169" spans="1:6" ht="15.75" thickBot="1" x14ac:dyDescent="0.3">
      <c r="A169" s="31"/>
      <c r="B169" s="31"/>
      <c r="C169" s="31"/>
      <c r="D169" s="31"/>
      <c r="E169" s="40" t="s">
        <v>127</v>
      </c>
      <c r="F169" s="41" t="s">
        <v>17</v>
      </c>
    </row>
    <row r="170" spans="1:6" ht="15.75" thickBot="1" x14ac:dyDescent="0.3">
      <c r="A170" s="31"/>
      <c r="B170" s="31"/>
      <c r="C170" s="31"/>
      <c r="D170" s="31"/>
      <c r="E170" s="40" t="s">
        <v>127</v>
      </c>
      <c r="F170" s="41" t="s">
        <v>17</v>
      </c>
    </row>
    <row r="171" spans="1:6" ht="15.75" thickBot="1" x14ac:dyDescent="0.3">
      <c r="A171" s="31"/>
      <c r="B171" s="31"/>
      <c r="C171" s="31"/>
      <c r="D171" s="31"/>
      <c r="E171" s="40" t="s">
        <v>127</v>
      </c>
      <c r="F171" s="41" t="s">
        <v>17</v>
      </c>
    </row>
    <row r="172" spans="1:6" ht="15.75" thickBot="1" x14ac:dyDescent="0.3">
      <c r="A172" s="31"/>
      <c r="B172" s="31"/>
      <c r="C172" s="31"/>
      <c r="D172" s="31"/>
      <c r="E172" s="40" t="s">
        <v>127</v>
      </c>
      <c r="F172" s="41" t="s">
        <v>17</v>
      </c>
    </row>
    <row r="173" spans="1:6" ht="15.75" thickBot="1" x14ac:dyDescent="0.3">
      <c r="A173" s="31"/>
      <c r="B173" s="31"/>
      <c r="C173" s="31"/>
      <c r="D173" s="31"/>
      <c r="E173" s="40" t="s">
        <v>127</v>
      </c>
      <c r="F173" s="41" t="s">
        <v>17</v>
      </c>
    </row>
    <row r="174" spans="1:6" ht="15.75" thickBot="1" x14ac:dyDescent="0.3">
      <c r="A174" s="31"/>
      <c r="B174" s="31"/>
      <c r="C174" s="31"/>
      <c r="D174" s="31"/>
      <c r="E174" s="40" t="s">
        <v>127</v>
      </c>
      <c r="F174" s="41" t="s">
        <v>17</v>
      </c>
    </row>
    <row r="175" spans="1:6" ht="15.75" thickBot="1" x14ac:dyDescent="0.3">
      <c r="A175" s="31"/>
      <c r="B175" s="31"/>
      <c r="C175" s="31"/>
      <c r="D175" s="31"/>
      <c r="E175" s="40" t="s">
        <v>127</v>
      </c>
      <c r="F175" s="41" t="s">
        <v>17</v>
      </c>
    </row>
    <row r="176" spans="1:6" ht="15.75" thickBot="1" x14ac:dyDescent="0.3">
      <c r="A176" s="31"/>
      <c r="B176" s="31"/>
      <c r="C176" s="31"/>
      <c r="D176" s="31"/>
      <c r="E176" s="40" t="s">
        <v>127</v>
      </c>
      <c r="F176" s="41" t="s">
        <v>17</v>
      </c>
    </row>
    <row r="177" spans="1:6" ht="15.75" thickBot="1" x14ac:dyDescent="0.3">
      <c r="A177" s="31"/>
      <c r="B177" s="31"/>
      <c r="C177" s="31"/>
      <c r="D177" s="31"/>
      <c r="E177" s="40" t="s">
        <v>127</v>
      </c>
      <c r="F177" s="41" t="s">
        <v>17</v>
      </c>
    </row>
    <row r="178" spans="1:6" ht="15.75" thickBot="1" x14ac:dyDescent="0.3">
      <c r="A178" s="31"/>
      <c r="B178" s="31"/>
      <c r="C178" s="31"/>
      <c r="D178" s="31"/>
      <c r="E178" s="40" t="s">
        <v>127</v>
      </c>
      <c r="F178" s="41" t="s">
        <v>17</v>
      </c>
    </row>
    <row r="179" spans="1:6" ht="15.75" thickBot="1" x14ac:dyDescent="0.3">
      <c r="A179" s="31"/>
      <c r="B179" s="31"/>
      <c r="C179" s="31"/>
      <c r="D179" s="31"/>
      <c r="E179" s="40" t="s">
        <v>127</v>
      </c>
      <c r="F179" s="41" t="s">
        <v>17</v>
      </c>
    </row>
    <row r="180" spans="1:6" ht="15.75" thickBot="1" x14ac:dyDescent="0.3">
      <c r="A180" s="31"/>
      <c r="B180" s="31"/>
      <c r="C180" s="31"/>
      <c r="D180" s="31"/>
      <c r="E180" s="40" t="s">
        <v>128</v>
      </c>
      <c r="F180" s="41" t="s">
        <v>126</v>
      </c>
    </row>
    <row r="181" spans="1:6" ht="15.75" thickBot="1" x14ac:dyDescent="0.3">
      <c r="A181" s="31"/>
      <c r="B181" s="31"/>
      <c r="C181" s="31"/>
      <c r="D181" s="31"/>
      <c r="E181" s="40" t="s">
        <v>128</v>
      </c>
      <c r="F181" s="41" t="s">
        <v>126</v>
      </c>
    </row>
    <row r="182" spans="1:6" ht="15.75" thickBot="1" x14ac:dyDescent="0.3">
      <c r="A182" s="31"/>
      <c r="B182" s="31"/>
      <c r="C182" s="31"/>
      <c r="D182" s="31"/>
      <c r="E182" s="40" t="s">
        <v>128</v>
      </c>
      <c r="F182" s="41" t="s">
        <v>126</v>
      </c>
    </row>
    <row r="183" spans="1:6" ht="15.75" thickBot="1" x14ac:dyDescent="0.3">
      <c r="A183" s="31"/>
      <c r="B183" s="31"/>
      <c r="C183" s="31"/>
      <c r="D183" s="31"/>
      <c r="E183" s="40" t="s">
        <v>128</v>
      </c>
      <c r="F183" s="41" t="s">
        <v>126</v>
      </c>
    </row>
    <row r="184" spans="1:6" ht="15.75" thickBot="1" x14ac:dyDescent="0.3">
      <c r="A184" s="31"/>
      <c r="B184" s="31"/>
      <c r="C184" s="31"/>
      <c r="D184" s="31"/>
      <c r="E184" s="40" t="s">
        <v>128</v>
      </c>
      <c r="F184" s="41" t="s">
        <v>126</v>
      </c>
    </row>
    <row r="185" spans="1:6" ht="15.75" thickBot="1" x14ac:dyDescent="0.3">
      <c r="A185" s="31"/>
      <c r="B185" s="31"/>
      <c r="C185" s="31"/>
      <c r="D185" s="31"/>
      <c r="E185" s="40" t="s">
        <v>128</v>
      </c>
      <c r="F185" s="41" t="s">
        <v>126</v>
      </c>
    </row>
    <row r="186" spans="1:6" ht="15.75" thickBot="1" x14ac:dyDescent="0.3">
      <c r="A186" s="31"/>
      <c r="B186" s="31"/>
      <c r="C186" s="31"/>
      <c r="D186" s="31"/>
      <c r="E186" s="40" t="s">
        <v>128</v>
      </c>
      <c r="F186" s="41" t="s">
        <v>126</v>
      </c>
    </row>
    <row r="187" spans="1:6" ht="15.75" thickBot="1" x14ac:dyDescent="0.3">
      <c r="A187" s="31"/>
      <c r="B187" s="31"/>
      <c r="C187" s="31"/>
      <c r="D187" s="31"/>
      <c r="E187" s="40" t="s">
        <v>128</v>
      </c>
      <c r="F187" s="41" t="s">
        <v>126</v>
      </c>
    </row>
    <row r="188" spans="1:6" ht="15.75" thickBot="1" x14ac:dyDescent="0.3">
      <c r="A188" s="31"/>
      <c r="B188" s="31"/>
      <c r="C188" s="31"/>
      <c r="D188" s="31"/>
      <c r="E188" s="40" t="s">
        <v>128</v>
      </c>
      <c r="F188" s="41" t="s">
        <v>126</v>
      </c>
    </row>
    <row r="189" spans="1:6" ht="15.75" thickBot="1" x14ac:dyDescent="0.3">
      <c r="A189" s="31"/>
      <c r="B189" s="31"/>
      <c r="C189" s="31"/>
      <c r="D189" s="31"/>
      <c r="E189" s="40" t="s">
        <v>128</v>
      </c>
      <c r="F189" s="41" t="s">
        <v>126</v>
      </c>
    </row>
    <row r="190" spans="1:6" ht="15.75" thickBot="1" x14ac:dyDescent="0.3">
      <c r="A190" s="31"/>
      <c r="B190" s="31"/>
      <c r="C190" s="31"/>
      <c r="D190" s="31"/>
      <c r="E190" s="40" t="s">
        <v>128</v>
      </c>
      <c r="F190" s="41" t="s">
        <v>126</v>
      </c>
    </row>
    <row r="191" spans="1:6" ht="15.75" thickBot="1" x14ac:dyDescent="0.3">
      <c r="A191" s="31"/>
      <c r="B191" s="31"/>
      <c r="C191" s="31"/>
      <c r="D191" s="31"/>
      <c r="E191" s="40" t="s">
        <v>128</v>
      </c>
      <c r="F191" s="41" t="s">
        <v>126</v>
      </c>
    </row>
    <row r="192" spans="1:6" ht="15.75" thickBot="1" x14ac:dyDescent="0.3">
      <c r="A192" s="31"/>
      <c r="B192" s="31"/>
      <c r="C192" s="31"/>
      <c r="D192" s="31"/>
      <c r="E192" s="40" t="s">
        <v>128</v>
      </c>
      <c r="F192" s="41" t="s">
        <v>126</v>
      </c>
    </row>
    <row r="193" spans="1:6" ht="15.75" thickBot="1" x14ac:dyDescent="0.3">
      <c r="A193" s="31"/>
      <c r="B193" s="31"/>
      <c r="C193" s="31"/>
      <c r="D193" s="31"/>
      <c r="E193" s="40" t="s">
        <v>128</v>
      </c>
      <c r="F193" s="41" t="s">
        <v>126</v>
      </c>
    </row>
    <row r="194" spans="1:6" ht="15.75" thickBot="1" x14ac:dyDescent="0.3">
      <c r="A194" s="31"/>
      <c r="B194" s="31"/>
      <c r="C194" s="31"/>
      <c r="D194" s="31"/>
      <c r="E194" s="40" t="s">
        <v>128</v>
      </c>
      <c r="F194" s="41" t="s">
        <v>126</v>
      </c>
    </row>
    <row r="195" spans="1:6" ht="15.75" thickBot="1" x14ac:dyDescent="0.3">
      <c r="A195" s="31"/>
      <c r="B195" s="31"/>
      <c r="C195" s="31"/>
      <c r="D195" s="31"/>
      <c r="E195" s="40" t="s">
        <v>128</v>
      </c>
      <c r="F195" s="41" t="s">
        <v>126</v>
      </c>
    </row>
    <row r="196" spans="1:6" ht="15.75" thickBot="1" x14ac:dyDescent="0.3">
      <c r="A196" s="31"/>
      <c r="B196" s="31"/>
      <c r="C196" s="31"/>
      <c r="D196" s="31"/>
      <c r="E196" s="40" t="s">
        <v>128</v>
      </c>
      <c r="F196" s="41" t="s">
        <v>126</v>
      </c>
    </row>
    <row r="197" spans="1:6" ht="15.75" thickBot="1" x14ac:dyDescent="0.3">
      <c r="A197" s="31"/>
      <c r="B197" s="31"/>
      <c r="C197" s="31"/>
      <c r="D197" s="31"/>
      <c r="E197" s="40" t="s">
        <v>128</v>
      </c>
      <c r="F197" s="41" t="s">
        <v>126</v>
      </c>
    </row>
    <row r="198" spans="1:6" ht="15.75" thickBot="1" x14ac:dyDescent="0.3">
      <c r="A198" s="31"/>
      <c r="B198" s="31"/>
      <c r="C198" s="31"/>
      <c r="D198" s="31"/>
      <c r="E198" s="40" t="s">
        <v>128</v>
      </c>
      <c r="F198" s="41" t="s">
        <v>126</v>
      </c>
    </row>
    <row r="199" spans="1:6" ht="15.75" thickBot="1" x14ac:dyDescent="0.3">
      <c r="A199" s="31"/>
      <c r="B199" s="31"/>
      <c r="C199" s="31"/>
      <c r="D199" s="31"/>
      <c r="E199" s="40" t="s">
        <v>128</v>
      </c>
      <c r="F199" s="41" t="s">
        <v>126</v>
      </c>
    </row>
    <row r="200" spans="1:6" ht="15.75" thickBot="1" x14ac:dyDescent="0.3">
      <c r="A200" s="31"/>
      <c r="B200" s="31"/>
      <c r="C200" s="31"/>
      <c r="D200" s="31"/>
      <c r="E200" s="40" t="s">
        <v>128</v>
      </c>
      <c r="F200" s="41" t="s">
        <v>126</v>
      </c>
    </row>
    <row r="201" spans="1:6" ht="15.75" thickBot="1" x14ac:dyDescent="0.3">
      <c r="A201" s="31"/>
      <c r="B201" s="31"/>
      <c r="C201" s="31"/>
      <c r="D201" s="31"/>
      <c r="E201" s="40" t="s">
        <v>128</v>
      </c>
      <c r="F201" s="41" t="s">
        <v>126</v>
      </c>
    </row>
    <row r="202" spans="1:6" ht="15.75" thickBot="1" x14ac:dyDescent="0.3">
      <c r="A202" s="31"/>
      <c r="B202" s="31"/>
      <c r="C202" s="31"/>
      <c r="D202" s="31"/>
      <c r="E202" s="40" t="s">
        <v>128</v>
      </c>
      <c r="F202" s="41" t="s">
        <v>126</v>
      </c>
    </row>
    <row r="203" spans="1:6" ht="15.75" thickBot="1" x14ac:dyDescent="0.3">
      <c r="A203" s="31"/>
      <c r="B203" s="31"/>
      <c r="C203" s="31"/>
      <c r="D203" s="31"/>
      <c r="E203" s="40" t="s">
        <v>128</v>
      </c>
      <c r="F203" s="41" t="s">
        <v>126</v>
      </c>
    </row>
    <row r="204" spans="1:6" ht="15.75" thickBot="1" x14ac:dyDescent="0.3">
      <c r="A204" s="31"/>
      <c r="B204" s="31"/>
      <c r="C204" s="31"/>
      <c r="D204" s="31"/>
      <c r="E204" s="40" t="s">
        <v>128</v>
      </c>
      <c r="F204" s="41" t="s">
        <v>126</v>
      </c>
    </row>
    <row r="205" spans="1:6" ht="15.75" thickBot="1" x14ac:dyDescent="0.3">
      <c r="A205" s="31"/>
      <c r="B205" s="31"/>
      <c r="C205" s="31"/>
      <c r="D205" s="31"/>
      <c r="E205" s="40" t="s">
        <v>128</v>
      </c>
      <c r="F205" s="41" t="s">
        <v>126</v>
      </c>
    </row>
    <row r="206" spans="1:6" ht="15.75" thickBot="1" x14ac:dyDescent="0.3">
      <c r="A206" s="31"/>
      <c r="B206" s="31"/>
      <c r="C206" s="31"/>
      <c r="D206" s="31"/>
      <c r="E206" s="40" t="s">
        <v>128</v>
      </c>
      <c r="F206" s="41" t="s">
        <v>126</v>
      </c>
    </row>
    <row r="207" spans="1:6" ht="15.75" thickBot="1" x14ac:dyDescent="0.3">
      <c r="A207" s="31"/>
      <c r="B207" s="31"/>
      <c r="C207" s="31"/>
      <c r="D207" s="31"/>
      <c r="E207" s="40" t="s">
        <v>128</v>
      </c>
      <c r="F207" s="41" t="s">
        <v>126</v>
      </c>
    </row>
    <row r="208" spans="1:6" ht="15.75" thickBot="1" x14ac:dyDescent="0.3">
      <c r="A208" s="31"/>
      <c r="B208" s="31"/>
      <c r="C208" s="31"/>
      <c r="D208" s="31"/>
      <c r="E208" s="40" t="s">
        <v>128</v>
      </c>
      <c r="F208" s="41" t="s">
        <v>126</v>
      </c>
    </row>
    <row r="209" spans="1:6" ht="15.75" thickBot="1" x14ac:dyDescent="0.3">
      <c r="A209" s="31"/>
      <c r="B209" s="31"/>
      <c r="C209" s="31"/>
      <c r="D209" s="31"/>
      <c r="E209" s="40" t="s">
        <v>128</v>
      </c>
      <c r="F209" s="41" t="s">
        <v>126</v>
      </c>
    </row>
    <row r="210" spans="1:6" ht="15.75" thickBot="1" x14ac:dyDescent="0.3">
      <c r="A210" s="31"/>
      <c r="B210" s="31"/>
      <c r="C210" s="31"/>
      <c r="D210" s="31"/>
      <c r="E210" s="40" t="s">
        <v>128</v>
      </c>
      <c r="F210" s="41" t="s">
        <v>126</v>
      </c>
    </row>
    <row r="211" spans="1:6" ht="15.75" thickBot="1" x14ac:dyDescent="0.3">
      <c r="A211" s="31"/>
      <c r="B211" s="31"/>
      <c r="C211" s="31"/>
      <c r="D211" s="31"/>
      <c r="E211" s="40" t="s">
        <v>128</v>
      </c>
      <c r="F211" s="41" t="s">
        <v>126</v>
      </c>
    </row>
    <row r="212" spans="1:6" ht="15.75" thickBot="1" x14ac:dyDescent="0.3">
      <c r="A212" s="31"/>
      <c r="B212" s="31"/>
      <c r="C212" s="31"/>
      <c r="D212" s="31"/>
      <c r="E212" s="40" t="s">
        <v>128</v>
      </c>
      <c r="F212" s="41" t="s">
        <v>126</v>
      </c>
    </row>
    <row r="213" spans="1:6" ht="15.75" thickBot="1" x14ac:dyDescent="0.3">
      <c r="A213" s="31"/>
      <c r="B213" s="31"/>
      <c r="C213" s="31"/>
      <c r="D213" s="31"/>
      <c r="E213" s="40" t="s">
        <v>128</v>
      </c>
      <c r="F213" s="41" t="s">
        <v>126</v>
      </c>
    </row>
    <row r="214" spans="1:6" ht="15.75" thickBot="1" x14ac:dyDescent="0.3">
      <c r="A214" s="31"/>
      <c r="B214" s="31"/>
      <c r="C214" s="31"/>
      <c r="D214" s="31"/>
      <c r="E214" s="40" t="s">
        <v>128</v>
      </c>
      <c r="F214" s="41" t="s">
        <v>126</v>
      </c>
    </row>
    <row r="215" spans="1:6" ht="15.75" thickBot="1" x14ac:dyDescent="0.3">
      <c r="A215" s="31"/>
      <c r="B215" s="31"/>
      <c r="C215" s="31"/>
      <c r="D215" s="31"/>
      <c r="E215" s="40" t="s">
        <v>128</v>
      </c>
      <c r="F215" s="40" t="s">
        <v>16</v>
      </c>
    </row>
    <row r="216" spans="1:6" ht="15.75" thickBot="1" x14ac:dyDescent="0.3">
      <c r="A216" s="31"/>
      <c r="B216" s="31"/>
      <c r="C216" s="31"/>
      <c r="D216" s="31"/>
      <c r="E216" s="40" t="s">
        <v>128</v>
      </c>
      <c r="F216" s="40" t="s">
        <v>16</v>
      </c>
    </row>
    <row r="217" spans="1:6" ht="15.75" thickBot="1" x14ac:dyDescent="0.3">
      <c r="A217" s="31"/>
      <c r="B217" s="31"/>
      <c r="C217" s="31"/>
      <c r="D217" s="31"/>
      <c r="E217" s="40" t="s">
        <v>128</v>
      </c>
      <c r="F217" s="40" t="s">
        <v>16</v>
      </c>
    </row>
    <row r="218" spans="1:6" ht="15.75" thickBot="1" x14ac:dyDescent="0.3">
      <c r="A218" s="31"/>
      <c r="B218" s="31"/>
      <c r="C218" s="31"/>
      <c r="D218" s="31"/>
      <c r="E218" s="40" t="s">
        <v>128</v>
      </c>
      <c r="F218" s="40" t="s">
        <v>16</v>
      </c>
    </row>
    <row r="219" spans="1:6" ht="15.75" thickBot="1" x14ac:dyDescent="0.3">
      <c r="A219" s="31"/>
      <c r="B219" s="31"/>
      <c r="C219" s="31"/>
      <c r="D219" s="31"/>
      <c r="E219" s="40" t="s">
        <v>128</v>
      </c>
      <c r="F219" s="40" t="s">
        <v>16</v>
      </c>
    </row>
    <row r="220" spans="1:6" ht="15.75" thickBot="1" x14ac:dyDescent="0.3">
      <c r="A220" s="31"/>
      <c r="B220" s="31"/>
      <c r="C220" s="31"/>
      <c r="D220" s="31"/>
      <c r="E220" s="40" t="s">
        <v>128</v>
      </c>
      <c r="F220" s="40" t="s">
        <v>16</v>
      </c>
    </row>
    <row r="221" spans="1:6" ht="15.75" thickBot="1" x14ac:dyDescent="0.3">
      <c r="A221" s="31"/>
      <c r="B221" s="31"/>
      <c r="C221" s="31"/>
      <c r="D221" s="31"/>
      <c r="E221" s="40" t="s">
        <v>128</v>
      </c>
      <c r="F221" s="40" t="s">
        <v>16</v>
      </c>
    </row>
    <row r="222" spans="1:6" ht="15.75" thickBot="1" x14ac:dyDescent="0.3">
      <c r="A222" s="31"/>
      <c r="B222" s="31"/>
      <c r="C222" s="31"/>
      <c r="D222" s="31"/>
      <c r="E222" s="40" t="s">
        <v>128</v>
      </c>
      <c r="F222" s="40" t="s">
        <v>16</v>
      </c>
    </row>
    <row r="223" spans="1:6" ht="15.75" thickBot="1" x14ac:dyDescent="0.3">
      <c r="A223" s="31"/>
      <c r="B223" s="31"/>
      <c r="C223" s="31"/>
      <c r="D223" s="31"/>
      <c r="E223" s="40" t="s">
        <v>128</v>
      </c>
      <c r="F223" s="40" t="s">
        <v>16</v>
      </c>
    </row>
    <row r="224" spans="1:6" ht="15.75" thickBot="1" x14ac:dyDescent="0.3">
      <c r="A224" s="31"/>
      <c r="B224" s="31"/>
      <c r="C224" s="31"/>
      <c r="D224" s="31"/>
      <c r="E224" s="40" t="s">
        <v>128</v>
      </c>
      <c r="F224" s="40" t="s">
        <v>16</v>
      </c>
    </row>
    <row r="225" spans="1:6" ht="15.75" thickBot="1" x14ac:dyDescent="0.3">
      <c r="A225" s="31"/>
      <c r="B225" s="31"/>
      <c r="C225" s="31"/>
      <c r="D225" s="31"/>
      <c r="E225" s="40" t="s">
        <v>128</v>
      </c>
      <c r="F225" s="40" t="s">
        <v>16</v>
      </c>
    </row>
    <row r="226" spans="1:6" ht="15.75" thickBot="1" x14ac:dyDescent="0.3">
      <c r="A226" s="31"/>
      <c r="B226" s="31"/>
      <c r="C226" s="31"/>
      <c r="D226" s="31"/>
      <c r="E226" s="40" t="s">
        <v>128</v>
      </c>
      <c r="F226" s="40" t="s">
        <v>16</v>
      </c>
    </row>
    <row r="227" spans="1:6" ht="15.75" thickBot="1" x14ac:dyDescent="0.3">
      <c r="A227" s="31"/>
      <c r="B227" s="31"/>
      <c r="C227" s="31"/>
      <c r="D227" s="31"/>
      <c r="E227" s="40" t="s">
        <v>128</v>
      </c>
      <c r="F227" s="40" t="s">
        <v>16</v>
      </c>
    </row>
    <row r="228" spans="1:6" ht="15.75" thickBot="1" x14ac:dyDescent="0.3">
      <c r="A228" s="31"/>
      <c r="B228" s="31"/>
      <c r="C228" s="31"/>
      <c r="D228" s="31"/>
      <c r="E228" s="40" t="s">
        <v>128</v>
      </c>
      <c r="F228" s="40" t="s">
        <v>16</v>
      </c>
    </row>
    <row r="229" spans="1:6" ht="15.75" thickBot="1" x14ac:dyDescent="0.3">
      <c r="A229" s="31"/>
      <c r="B229" s="31"/>
      <c r="C229" s="31"/>
      <c r="D229" s="31"/>
      <c r="E229" s="40" t="s">
        <v>128</v>
      </c>
      <c r="F229" s="40" t="s">
        <v>16</v>
      </c>
    </row>
    <row r="230" spans="1:6" ht="15.75" thickBot="1" x14ac:dyDescent="0.3">
      <c r="A230" s="31"/>
      <c r="B230" s="31"/>
      <c r="C230" s="31"/>
      <c r="D230" s="31"/>
      <c r="E230" s="40" t="s">
        <v>128</v>
      </c>
      <c r="F230" s="40" t="s">
        <v>16</v>
      </c>
    </row>
    <row r="231" spans="1:6" ht="15.75" thickBot="1" x14ac:dyDescent="0.3">
      <c r="A231" s="31"/>
      <c r="B231" s="31"/>
      <c r="C231" s="31"/>
      <c r="D231" s="31"/>
      <c r="E231" s="40" t="s">
        <v>128</v>
      </c>
      <c r="F231" s="40" t="s">
        <v>16</v>
      </c>
    </row>
    <row r="232" spans="1:6" ht="15.75" thickBot="1" x14ac:dyDescent="0.3">
      <c r="A232" s="31"/>
      <c r="B232" s="31"/>
      <c r="C232" s="31"/>
      <c r="D232" s="31"/>
      <c r="E232" s="40" t="s">
        <v>128</v>
      </c>
      <c r="F232" s="40" t="s">
        <v>16</v>
      </c>
    </row>
    <row r="233" spans="1:6" ht="15.75" thickBot="1" x14ac:dyDescent="0.3">
      <c r="A233" s="31"/>
      <c r="B233" s="31"/>
      <c r="C233" s="31"/>
      <c r="D233" s="31"/>
      <c r="E233" s="40" t="s">
        <v>128</v>
      </c>
      <c r="F233" s="40" t="s">
        <v>16</v>
      </c>
    </row>
    <row r="234" spans="1:6" ht="15.75" thickBot="1" x14ac:dyDescent="0.3">
      <c r="A234" s="31"/>
      <c r="B234" s="31"/>
      <c r="C234" s="31"/>
      <c r="D234" s="31"/>
      <c r="E234" s="40" t="s">
        <v>128</v>
      </c>
      <c r="F234" s="40" t="s">
        <v>16</v>
      </c>
    </row>
    <row r="235" spans="1:6" ht="15.75" thickBot="1" x14ac:dyDescent="0.3">
      <c r="A235" s="31"/>
      <c r="B235" s="31"/>
      <c r="C235" s="31"/>
      <c r="D235" s="31"/>
      <c r="E235" s="40" t="s">
        <v>128</v>
      </c>
      <c r="F235" s="40" t="s">
        <v>16</v>
      </c>
    </row>
    <row r="236" spans="1:6" ht="15.75" thickBot="1" x14ac:dyDescent="0.3">
      <c r="A236" s="31"/>
      <c r="B236" s="31"/>
      <c r="C236" s="31"/>
      <c r="D236" s="31"/>
      <c r="E236" s="40" t="s">
        <v>128</v>
      </c>
      <c r="F236" s="40" t="s">
        <v>16</v>
      </c>
    </row>
    <row r="237" spans="1:6" ht="15.75" thickBot="1" x14ac:dyDescent="0.3">
      <c r="A237" s="31"/>
      <c r="B237" s="31"/>
      <c r="C237" s="31"/>
      <c r="D237" s="31"/>
      <c r="E237" s="40" t="s">
        <v>128</v>
      </c>
      <c r="F237" s="40" t="s">
        <v>16</v>
      </c>
    </row>
    <row r="238" spans="1:6" ht="15.75" thickBot="1" x14ac:dyDescent="0.3">
      <c r="A238" s="31"/>
      <c r="B238" s="31"/>
      <c r="C238" s="31"/>
      <c r="D238" s="31"/>
      <c r="E238" s="40" t="s">
        <v>128</v>
      </c>
      <c r="F238" s="40" t="s">
        <v>16</v>
      </c>
    </row>
    <row r="239" spans="1:6" ht="15.75" thickBot="1" x14ac:dyDescent="0.3">
      <c r="A239" s="31"/>
      <c r="B239" s="31"/>
      <c r="C239" s="31"/>
      <c r="D239" s="31"/>
      <c r="E239" s="40" t="s">
        <v>128</v>
      </c>
      <c r="F239" s="40" t="s">
        <v>16</v>
      </c>
    </row>
    <row r="240" spans="1:6" ht="15.75" thickBot="1" x14ac:dyDescent="0.3">
      <c r="A240" s="31"/>
      <c r="B240" s="31"/>
      <c r="C240" s="31"/>
      <c r="D240" s="31"/>
      <c r="E240" s="40" t="s">
        <v>128</v>
      </c>
      <c r="F240" s="40" t="s">
        <v>16</v>
      </c>
    </row>
    <row r="241" spans="1:6" ht="15.75" thickBot="1" x14ac:dyDescent="0.3">
      <c r="A241" s="31"/>
      <c r="B241" s="31"/>
      <c r="C241" s="31"/>
      <c r="D241" s="31"/>
      <c r="E241" s="40" t="s">
        <v>128</v>
      </c>
      <c r="F241" s="40" t="s">
        <v>16</v>
      </c>
    </row>
    <row r="242" spans="1:6" ht="15.75" thickBot="1" x14ac:dyDescent="0.3">
      <c r="A242" s="31"/>
      <c r="B242" s="31"/>
      <c r="C242" s="31"/>
      <c r="D242" s="31"/>
      <c r="E242" s="40" t="s">
        <v>128</v>
      </c>
      <c r="F242" s="40" t="s">
        <v>16</v>
      </c>
    </row>
    <row r="243" spans="1:6" ht="15.75" thickBot="1" x14ac:dyDescent="0.3">
      <c r="A243" s="31"/>
      <c r="B243" s="31"/>
      <c r="C243" s="31"/>
      <c r="D243" s="31"/>
      <c r="E243" s="40" t="s">
        <v>128</v>
      </c>
      <c r="F243" s="40" t="s">
        <v>16</v>
      </c>
    </row>
    <row r="244" spans="1:6" ht="15.75" thickBot="1" x14ac:dyDescent="0.3">
      <c r="A244" s="31"/>
      <c r="B244" s="31"/>
      <c r="C244" s="31"/>
      <c r="D244" s="31"/>
      <c r="E244" s="40" t="s">
        <v>128</v>
      </c>
      <c r="F244" s="40" t="s">
        <v>16</v>
      </c>
    </row>
    <row r="245" spans="1:6" ht="15.75" thickBot="1" x14ac:dyDescent="0.3">
      <c r="A245" s="31"/>
      <c r="B245" s="31"/>
      <c r="C245" s="31"/>
      <c r="D245" s="31"/>
      <c r="E245" s="40" t="s">
        <v>128</v>
      </c>
      <c r="F245" s="40" t="s">
        <v>16</v>
      </c>
    </row>
    <row r="246" spans="1:6" ht="15.75" thickBot="1" x14ac:dyDescent="0.3">
      <c r="A246" s="31"/>
      <c r="B246" s="31"/>
      <c r="C246" s="31"/>
      <c r="D246" s="31"/>
      <c r="E246" s="40" t="s">
        <v>128</v>
      </c>
      <c r="F246" s="40" t="s">
        <v>16</v>
      </c>
    </row>
    <row r="247" spans="1:6" ht="15.75" thickBot="1" x14ac:dyDescent="0.3">
      <c r="A247" s="31"/>
      <c r="B247" s="31"/>
      <c r="C247" s="31"/>
      <c r="D247" s="31"/>
      <c r="E247" s="40" t="s">
        <v>128</v>
      </c>
      <c r="F247" s="40" t="s">
        <v>16</v>
      </c>
    </row>
    <row r="248" spans="1:6" ht="15.75" thickBot="1" x14ac:dyDescent="0.3">
      <c r="A248" s="31"/>
      <c r="B248" s="31"/>
      <c r="C248" s="31"/>
      <c r="D248" s="31"/>
      <c r="E248" s="40" t="s">
        <v>128</v>
      </c>
      <c r="F248" s="40" t="s">
        <v>16</v>
      </c>
    </row>
    <row r="249" spans="1:6" ht="15.75" thickBot="1" x14ac:dyDescent="0.3">
      <c r="A249" s="31"/>
      <c r="B249" s="31"/>
      <c r="C249" s="31"/>
      <c r="D249" s="31"/>
      <c r="E249" s="40" t="s">
        <v>128</v>
      </c>
      <c r="F249" s="40" t="s">
        <v>16</v>
      </c>
    </row>
    <row r="250" spans="1:6" ht="15.75" thickBot="1" x14ac:dyDescent="0.3">
      <c r="A250" s="31"/>
      <c r="B250" s="31"/>
      <c r="C250" s="31"/>
      <c r="D250" s="31"/>
      <c r="E250" s="40" t="s">
        <v>128</v>
      </c>
      <c r="F250" s="40" t="s">
        <v>16</v>
      </c>
    </row>
    <row r="251" spans="1:6" ht="15.75" thickBot="1" x14ac:dyDescent="0.3">
      <c r="A251" s="31"/>
      <c r="B251" s="31"/>
      <c r="C251" s="31"/>
      <c r="D251" s="31"/>
      <c r="E251" s="40" t="s">
        <v>128</v>
      </c>
      <c r="F251" s="40" t="s">
        <v>16</v>
      </c>
    </row>
    <row r="252" spans="1:6" ht="15.75" thickBot="1" x14ac:dyDescent="0.3">
      <c r="A252" s="31"/>
      <c r="B252" s="31"/>
      <c r="C252" s="31"/>
      <c r="D252" s="31"/>
      <c r="E252" s="40" t="s">
        <v>128</v>
      </c>
      <c r="F252" s="40" t="s">
        <v>16</v>
      </c>
    </row>
    <row r="253" spans="1:6" ht="15.75" thickBot="1" x14ac:dyDescent="0.3">
      <c r="A253" s="31"/>
      <c r="B253" s="31"/>
      <c r="C253" s="31"/>
      <c r="D253" s="31"/>
      <c r="E253" s="40" t="s">
        <v>128</v>
      </c>
      <c r="F253" s="40" t="s">
        <v>16</v>
      </c>
    </row>
    <row r="254" spans="1:6" ht="15.75" thickBot="1" x14ac:dyDescent="0.3">
      <c r="A254" s="31"/>
      <c r="B254" s="31"/>
      <c r="C254" s="31"/>
      <c r="D254" s="31"/>
      <c r="E254" s="40" t="s">
        <v>128</v>
      </c>
      <c r="F254" s="40" t="s">
        <v>16</v>
      </c>
    </row>
    <row r="255" spans="1:6" ht="15.75" thickBot="1" x14ac:dyDescent="0.3">
      <c r="A255" s="31"/>
      <c r="B255" s="31"/>
      <c r="C255" s="31"/>
      <c r="D255" s="31"/>
      <c r="E255" s="40" t="s">
        <v>128</v>
      </c>
      <c r="F255" s="40" t="s">
        <v>16</v>
      </c>
    </row>
    <row r="256" spans="1:6" ht="15.75" thickBot="1" x14ac:dyDescent="0.3">
      <c r="A256" s="31"/>
      <c r="B256" s="31"/>
      <c r="C256" s="31"/>
      <c r="D256" s="31"/>
      <c r="E256" s="40" t="s">
        <v>128</v>
      </c>
      <c r="F256" s="40" t="s">
        <v>16</v>
      </c>
    </row>
    <row r="257" spans="1:6" ht="15.75" thickBot="1" x14ac:dyDescent="0.3">
      <c r="A257" s="31"/>
      <c r="B257" s="31"/>
      <c r="C257" s="31"/>
      <c r="D257" s="31"/>
      <c r="E257" s="40" t="s">
        <v>128</v>
      </c>
      <c r="F257" s="40" t="s">
        <v>16</v>
      </c>
    </row>
    <row r="258" spans="1:6" ht="15.75" thickBot="1" x14ac:dyDescent="0.3">
      <c r="A258" s="31"/>
      <c r="B258" s="31"/>
      <c r="C258" s="31"/>
      <c r="D258" s="31"/>
      <c r="E258" s="40" t="s">
        <v>128</v>
      </c>
      <c r="F258" s="40" t="s">
        <v>16</v>
      </c>
    </row>
    <row r="259" spans="1:6" ht="15.75" thickBot="1" x14ac:dyDescent="0.3">
      <c r="A259" s="31"/>
      <c r="B259" s="31"/>
      <c r="C259" s="31"/>
      <c r="D259" s="31"/>
      <c r="E259" s="40" t="s">
        <v>128</v>
      </c>
      <c r="F259" s="40" t="s">
        <v>16</v>
      </c>
    </row>
    <row r="260" spans="1:6" ht="15.75" thickBot="1" x14ac:dyDescent="0.3">
      <c r="A260" s="31"/>
      <c r="B260" s="31"/>
      <c r="C260" s="31"/>
      <c r="D260" s="31"/>
      <c r="E260" s="40" t="s">
        <v>128</v>
      </c>
      <c r="F260" s="40" t="s">
        <v>16</v>
      </c>
    </row>
    <row r="261" spans="1:6" ht="15.75" thickBot="1" x14ac:dyDescent="0.3">
      <c r="A261" s="31"/>
      <c r="B261" s="31"/>
      <c r="C261" s="31"/>
      <c r="D261" s="31"/>
      <c r="E261" s="40" t="s">
        <v>128</v>
      </c>
      <c r="F261" s="40" t="s">
        <v>16</v>
      </c>
    </row>
    <row r="262" spans="1:6" ht="15.75" thickBot="1" x14ac:dyDescent="0.3">
      <c r="A262" s="31"/>
      <c r="B262" s="31"/>
      <c r="C262" s="31"/>
      <c r="D262" s="31"/>
      <c r="E262" s="40" t="s">
        <v>128</v>
      </c>
      <c r="F262" s="40" t="s">
        <v>17</v>
      </c>
    </row>
    <row r="263" spans="1:6" ht="15.75" thickBot="1" x14ac:dyDescent="0.3">
      <c r="A263" s="31"/>
      <c r="B263" s="31"/>
      <c r="C263" s="31"/>
      <c r="D263" s="31"/>
      <c r="E263" s="40" t="s">
        <v>128</v>
      </c>
      <c r="F263" s="40" t="s">
        <v>17</v>
      </c>
    </row>
    <row r="264" spans="1:6" ht="15.75" thickBot="1" x14ac:dyDescent="0.3">
      <c r="A264" s="31"/>
      <c r="B264" s="31"/>
      <c r="C264" s="31"/>
      <c r="D264" s="31"/>
      <c r="E264" s="40" t="s">
        <v>128</v>
      </c>
      <c r="F264" s="40" t="s">
        <v>17</v>
      </c>
    </row>
    <row r="265" spans="1:6" ht="15.75" thickBot="1" x14ac:dyDescent="0.3">
      <c r="A265" s="31"/>
      <c r="B265" s="32"/>
      <c r="C265" s="31"/>
      <c r="D265" s="31"/>
      <c r="E265" s="40" t="s">
        <v>128</v>
      </c>
      <c r="F265" s="40" t="s">
        <v>17</v>
      </c>
    </row>
    <row r="266" spans="1:6" ht="15.75" thickBot="1" x14ac:dyDescent="0.3">
      <c r="A266" s="31"/>
      <c r="B266" s="31"/>
      <c r="C266" s="31"/>
      <c r="D266" s="31"/>
      <c r="E266" s="40" t="s">
        <v>128</v>
      </c>
      <c r="F266" s="40" t="s">
        <v>17</v>
      </c>
    </row>
    <row r="267" spans="1:6" ht="15.75" thickBot="1" x14ac:dyDescent="0.3">
      <c r="A267" s="31"/>
      <c r="B267" s="31"/>
      <c r="C267" s="31"/>
      <c r="D267" s="31"/>
      <c r="E267" s="40" t="s">
        <v>128</v>
      </c>
      <c r="F267" s="40" t="s">
        <v>17</v>
      </c>
    </row>
    <row r="268" spans="1:6" ht="15.75" thickBot="1" x14ac:dyDescent="0.3">
      <c r="A268" s="31"/>
      <c r="B268" s="31"/>
      <c r="C268" s="31"/>
      <c r="D268" s="31"/>
      <c r="E268" s="40" t="s">
        <v>128</v>
      </c>
      <c r="F268" s="40" t="s">
        <v>17</v>
      </c>
    </row>
    <row r="269" spans="1:6" ht="15.75" thickBot="1" x14ac:dyDescent="0.3">
      <c r="A269" s="31"/>
      <c r="B269" s="31"/>
      <c r="C269" s="31"/>
      <c r="D269" s="31"/>
      <c r="E269" s="40" t="s">
        <v>128</v>
      </c>
      <c r="F269" s="40" t="s">
        <v>17</v>
      </c>
    </row>
    <row r="270" spans="1:6" ht="15.75" thickBot="1" x14ac:dyDescent="0.3">
      <c r="A270" s="31"/>
      <c r="B270" s="31"/>
      <c r="C270" s="31"/>
      <c r="D270" s="31"/>
      <c r="E270" s="40" t="s">
        <v>128</v>
      </c>
      <c r="F270" s="40" t="s">
        <v>17</v>
      </c>
    </row>
    <row r="271" spans="1:6" ht="15.75" thickBot="1" x14ac:dyDescent="0.3">
      <c r="A271" s="31"/>
      <c r="B271" s="31"/>
      <c r="C271" s="31"/>
      <c r="D271" s="31"/>
      <c r="E271" s="40" t="s">
        <v>128</v>
      </c>
      <c r="F271" s="40" t="s">
        <v>17</v>
      </c>
    </row>
    <row r="272" spans="1:6" ht="15.75" thickBot="1" x14ac:dyDescent="0.3">
      <c r="A272" s="31"/>
      <c r="B272" s="31"/>
      <c r="C272" s="31"/>
      <c r="D272" s="31"/>
      <c r="E272" s="40" t="s">
        <v>128</v>
      </c>
      <c r="F272" s="40" t="s">
        <v>17</v>
      </c>
    </row>
    <row r="273" spans="1:6" ht="15.75" thickBot="1" x14ac:dyDescent="0.3">
      <c r="A273" s="31"/>
      <c r="B273" s="31"/>
      <c r="C273" s="31"/>
      <c r="D273" s="31"/>
      <c r="E273" s="40" t="s">
        <v>128</v>
      </c>
      <c r="F273" s="40" t="s">
        <v>17</v>
      </c>
    </row>
    <row r="274" spans="1:6" ht="15.75" thickBot="1" x14ac:dyDescent="0.3">
      <c r="A274" s="31"/>
      <c r="B274" s="31"/>
      <c r="C274" s="31"/>
      <c r="D274" s="31"/>
      <c r="E274" s="40" t="s">
        <v>128</v>
      </c>
      <c r="F274" s="40" t="s">
        <v>17</v>
      </c>
    </row>
    <row r="275" spans="1:6" ht="15.75" thickBot="1" x14ac:dyDescent="0.3">
      <c r="A275" s="31"/>
      <c r="B275" s="31"/>
      <c r="C275" s="31"/>
      <c r="D275" s="31"/>
      <c r="E275" s="40" t="s">
        <v>128</v>
      </c>
      <c r="F275" s="40" t="s">
        <v>17</v>
      </c>
    </row>
    <row r="276" spans="1:6" ht="15.75" thickBot="1" x14ac:dyDescent="0.3">
      <c r="A276" s="31"/>
      <c r="B276" s="31"/>
      <c r="C276" s="31"/>
      <c r="D276" s="31"/>
      <c r="E276" s="40" t="s">
        <v>128</v>
      </c>
      <c r="F276" s="40" t="s">
        <v>17</v>
      </c>
    </row>
    <row r="277" spans="1:6" ht="15.75" thickBot="1" x14ac:dyDescent="0.3">
      <c r="A277" s="31"/>
      <c r="B277" s="31"/>
      <c r="C277" s="31"/>
      <c r="D277" s="31"/>
      <c r="E277" s="40" t="s">
        <v>128</v>
      </c>
      <c r="F277" s="40" t="s">
        <v>17</v>
      </c>
    </row>
    <row r="278" spans="1:6" ht="15.75" thickBot="1" x14ac:dyDescent="0.3">
      <c r="A278" s="31"/>
      <c r="B278" s="31"/>
      <c r="C278" s="31"/>
      <c r="D278" s="31"/>
      <c r="E278" s="40" t="s">
        <v>128</v>
      </c>
      <c r="F278" s="40" t="s">
        <v>17</v>
      </c>
    </row>
    <row r="279" spans="1:6" ht="15.75" thickBot="1" x14ac:dyDescent="0.3">
      <c r="A279" s="31"/>
      <c r="B279" s="32"/>
      <c r="C279" s="31"/>
      <c r="D279" s="31"/>
      <c r="E279" s="40" t="s">
        <v>128</v>
      </c>
      <c r="F279" s="40" t="s">
        <v>17</v>
      </c>
    </row>
    <row r="280" spans="1:6" ht="15.75" thickBot="1" x14ac:dyDescent="0.3">
      <c r="A280" s="31"/>
      <c r="B280" s="31"/>
      <c r="C280" s="31"/>
      <c r="D280" s="31"/>
      <c r="E280" s="40" t="s">
        <v>128</v>
      </c>
      <c r="F280" s="40" t="s">
        <v>17</v>
      </c>
    </row>
    <row r="281" spans="1:6" ht="15.75" thickBot="1" x14ac:dyDescent="0.3">
      <c r="A281" s="31"/>
      <c r="B281" s="31"/>
      <c r="C281" s="31"/>
      <c r="D281" s="31"/>
      <c r="E281" s="40" t="s">
        <v>128</v>
      </c>
      <c r="F281" s="40" t="s">
        <v>17</v>
      </c>
    </row>
    <row r="282" spans="1:6" ht="15.75" thickBot="1" x14ac:dyDescent="0.3">
      <c r="A282" s="31"/>
      <c r="B282" s="31"/>
      <c r="C282" s="31"/>
      <c r="D282" s="31"/>
      <c r="E282" s="40" t="s">
        <v>128</v>
      </c>
      <c r="F282" s="40" t="s">
        <v>17</v>
      </c>
    </row>
    <row r="283" spans="1:6" ht="15.75" thickBot="1" x14ac:dyDescent="0.3">
      <c r="A283" s="31"/>
      <c r="B283" s="31"/>
      <c r="C283" s="31"/>
      <c r="D283" s="31"/>
      <c r="E283" s="40" t="s">
        <v>128</v>
      </c>
      <c r="F283" s="40" t="s">
        <v>17</v>
      </c>
    </row>
    <row r="284" spans="1:6" ht="15.75" thickBot="1" x14ac:dyDescent="0.3">
      <c r="A284" s="31"/>
      <c r="B284" s="31"/>
      <c r="C284" s="31"/>
      <c r="D284" s="31"/>
      <c r="E284" s="40" t="s">
        <v>128</v>
      </c>
      <c r="F284" s="40" t="s">
        <v>17</v>
      </c>
    </row>
    <row r="285" spans="1:6" ht="15.75" thickBot="1" x14ac:dyDescent="0.3">
      <c r="A285" s="31"/>
      <c r="B285" s="31"/>
      <c r="C285" s="31"/>
      <c r="D285" s="31"/>
      <c r="E285" s="40" t="s">
        <v>128</v>
      </c>
      <c r="F285" s="40" t="s">
        <v>17</v>
      </c>
    </row>
    <row r="286" spans="1:6" ht="15.75" thickBot="1" x14ac:dyDescent="0.3">
      <c r="A286" s="31"/>
      <c r="B286" s="31"/>
      <c r="C286" s="31"/>
      <c r="D286" s="31"/>
      <c r="E286" s="40" t="s">
        <v>128</v>
      </c>
      <c r="F286" s="40" t="s">
        <v>17</v>
      </c>
    </row>
    <row r="287" spans="1:6" ht="15.75" thickBot="1" x14ac:dyDescent="0.3">
      <c r="A287" s="31"/>
      <c r="B287" s="31"/>
      <c r="C287" s="31"/>
      <c r="D287" s="31"/>
      <c r="E287" s="40" t="s">
        <v>128</v>
      </c>
      <c r="F287" s="40" t="s">
        <v>17</v>
      </c>
    </row>
    <row r="288" spans="1:6" ht="15.75" thickBot="1" x14ac:dyDescent="0.3">
      <c r="A288" s="31"/>
      <c r="B288" s="31"/>
      <c r="C288" s="31"/>
      <c r="D288" s="31"/>
      <c r="E288" s="40" t="s">
        <v>128</v>
      </c>
      <c r="F288" s="40" t="s">
        <v>17</v>
      </c>
    </row>
    <row r="289" spans="1:6" ht="15.75" thickBot="1" x14ac:dyDescent="0.3">
      <c r="A289" s="31"/>
      <c r="B289" s="31"/>
      <c r="C289" s="31"/>
      <c r="D289" s="31"/>
      <c r="E289" s="40" t="s">
        <v>128</v>
      </c>
      <c r="F289" s="40" t="s">
        <v>17</v>
      </c>
    </row>
    <row r="290" spans="1:6" ht="15.75" thickBot="1" x14ac:dyDescent="0.3">
      <c r="A290" s="31"/>
      <c r="B290" s="31"/>
      <c r="C290" s="31"/>
      <c r="D290" s="31"/>
      <c r="E290" s="40" t="s">
        <v>128</v>
      </c>
      <c r="F290" s="40" t="s">
        <v>17</v>
      </c>
    </row>
    <row r="291" spans="1:6" ht="15.75" thickBot="1" x14ac:dyDescent="0.3">
      <c r="A291" s="31"/>
      <c r="B291" s="31"/>
      <c r="C291" s="31"/>
      <c r="D291" s="31"/>
      <c r="E291" s="40" t="s">
        <v>128</v>
      </c>
      <c r="F291" s="40" t="s">
        <v>17</v>
      </c>
    </row>
    <row r="292" spans="1:6" ht="15.75" thickBot="1" x14ac:dyDescent="0.3">
      <c r="A292" s="31"/>
      <c r="B292" s="31"/>
      <c r="C292" s="31"/>
      <c r="D292" s="31"/>
      <c r="E292" s="40" t="s">
        <v>128</v>
      </c>
      <c r="F292" s="40" t="s">
        <v>17</v>
      </c>
    </row>
    <row r="293" spans="1:6" ht="15.75" thickBot="1" x14ac:dyDescent="0.3">
      <c r="A293" s="31"/>
      <c r="B293" s="31"/>
      <c r="C293" s="31"/>
      <c r="D293" s="31"/>
      <c r="E293" s="40" t="s">
        <v>128</v>
      </c>
      <c r="F293" s="40" t="s">
        <v>17</v>
      </c>
    </row>
    <row r="294" spans="1:6" ht="15.75" thickBot="1" x14ac:dyDescent="0.3">
      <c r="A294" s="31"/>
      <c r="B294" s="31"/>
      <c r="C294" s="31"/>
      <c r="D294" s="31"/>
      <c r="E294" s="40" t="s">
        <v>128</v>
      </c>
      <c r="F294" s="40" t="s">
        <v>17</v>
      </c>
    </row>
    <row r="295" spans="1:6" ht="15.75" thickBot="1" x14ac:dyDescent="0.3">
      <c r="A295" s="31"/>
      <c r="B295" s="31"/>
      <c r="C295" s="31"/>
      <c r="D295" s="31"/>
      <c r="E295" s="40" t="s">
        <v>128</v>
      </c>
      <c r="F295" s="40" t="s">
        <v>17</v>
      </c>
    </row>
    <row r="296" spans="1:6" ht="15.75" thickBot="1" x14ac:dyDescent="0.3">
      <c r="A296" s="31"/>
      <c r="B296" s="31"/>
      <c r="C296" s="31"/>
      <c r="D296" s="31"/>
      <c r="E296" s="40" t="s">
        <v>128</v>
      </c>
      <c r="F296" s="40" t="s">
        <v>17</v>
      </c>
    </row>
    <row r="297" spans="1:6" ht="15.75" thickBot="1" x14ac:dyDescent="0.3">
      <c r="A297" s="31"/>
      <c r="B297" s="31"/>
      <c r="C297" s="31"/>
      <c r="D297" s="31"/>
      <c r="E297" s="40" t="s">
        <v>128</v>
      </c>
      <c r="F297" s="40" t="s">
        <v>17</v>
      </c>
    </row>
    <row r="298" spans="1:6" ht="15.75" thickBot="1" x14ac:dyDescent="0.3">
      <c r="A298" s="31"/>
      <c r="B298" s="31"/>
      <c r="C298" s="31"/>
      <c r="D298" s="31"/>
      <c r="E298" s="40" t="s">
        <v>128</v>
      </c>
      <c r="F298" s="40" t="s">
        <v>18</v>
      </c>
    </row>
    <row r="299" spans="1:6" ht="15.75" thickBot="1" x14ac:dyDescent="0.3">
      <c r="A299" s="31"/>
      <c r="B299" s="31"/>
      <c r="C299" s="31"/>
      <c r="D299" s="31"/>
      <c r="E299" s="40" t="s">
        <v>128</v>
      </c>
      <c r="F299" s="40" t="s">
        <v>18</v>
      </c>
    </row>
    <row r="300" spans="1:6" ht="15.75" thickBot="1" x14ac:dyDescent="0.3">
      <c r="A300" s="31"/>
      <c r="B300" s="31"/>
      <c r="C300" s="31"/>
      <c r="D300" s="31"/>
      <c r="E300" s="40" t="s">
        <v>128</v>
      </c>
      <c r="F300" s="40" t="s">
        <v>18</v>
      </c>
    </row>
    <row r="301" spans="1:6" ht="15.75" thickBot="1" x14ac:dyDescent="0.3">
      <c r="A301" s="31"/>
      <c r="B301" s="31"/>
      <c r="C301" s="31"/>
      <c r="D301" s="31"/>
      <c r="E301" s="40" t="s">
        <v>128</v>
      </c>
      <c r="F301" s="40" t="s">
        <v>18</v>
      </c>
    </row>
    <row r="302" spans="1:6" ht="15.75" thickBot="1" x14ac:dyDescent="0.3">
      <c r="A302" s="31"/>
      <c r="B302" s="31"/>
      <c r="C302" s="31"/>
      <c r="D302" s="31"/>
      <c r="E302" s="40" t="s">
        <v>128</v>
      </c>
      <c r="F302" s="40" t="s">
        <v>18</v>
      </c>
    </row>
    <row r="303" spans="1:6" ht="15.75" thickBot="1" x14ac:dyDescent="0.3">
      <c r="A303" s="31"/>
      <c r="B303" s="31"/>
      <c r="C303" s="31"/>
      <c r="D303" s="31"/>
      <c r="E303" s="40" t="s">
        <v>128</v>
      </c>
      <c r="F303" s="40" t="s">
        <v>18</v>
      </c>
    </row>
    <row r="304" spans="1:6" ht="15.75" thickBot="1" x14ac:dyDescent="0.3">
      <c r="A304" s="31"/>
      <c r="B304" s="31"/>
      <c r="C304" s="31"/>
      <c r="D304" s="31"/>
      <c r="E304" s="40" t="s">
        <v>128</v>
      </c>
      <c r="F304" s="40" t="s">
        <v>18</v>
      </c>
    </row>
    <row r="305" spans="1:6" ht="15.75" thickBot="1" x14ac:dyDescent="0.3">
      <c r="A305" s="31"/>
      <c r="B305" s="31"/>
      <c r="C305" s="31"/>
      <c r="D305" s="31"/>
      <c r="E305" s="40" t="s">
        <v>128</v>
      </c>
      <c r="F305" s="40" t="s">
        <v>18</v>
      </c>
    </row>
    <row r="306" spans="1:6" ht="15.75" thickBot="1" x14ac:dyDescent="0.3">
      <c r="A306" s="31"/>
      <c r="B306" s="31"/>
      <c r="C306" s="31"/>
      <c r="D306" s="31"/>
      <c r="E306" s="40" t="s">
        <v>128</v>
      </c>
      <c r="F306" s="40" t="s">
        <v>18</v>
      </c>
    </row>
    <row r="307" spans="1:6" ht="15.75" thickBot="1" x14ac:dyDescent="0.3">
      <c r="A307" s="31"/>
      <c r="B307" s="31"/>
      <c r="C307" s="31"/>
      <c r="D307" s="31"/>
      <c r="E307" s="40" t="s">
        <v>128</v>
      </c>
      <c r="F307" s="40" t="s">
        <v>18</v>
      </c>
    </row>
    <row r="308" spans="1:6" ht="15.75" thickBot="1" x14ac:dyDescent="0.3">
      <c r="A308" s="31"/>
      <c r="B308" s="31"/>
      <c r="C308" s="31"/>
      <c r="D308" s="31"/>
      <c r="E308" s="40" t="s">
        <v>128</v>
      </c>
      <c r="F308" s="40" t="s">
        <v>18</v>
      </c>
    </row>
    <row r="309" spans="1:6" ht="15.75" thickBot="1" x14ac:dyDescent="0.3">
      <c r="A309" s="31"/>
      <c r="B309" s="31"/>
      <c r="C309" s="31"/>
      <c r="D309" s="31"/>
      <c r="E309" s="40" t="s">
        <v>128</v>
      </c>
      <c r="F309" s="40" t="s">
        <v>18</v>
      </c>
    </row>
    <row r="310" spans="1:6" ht="15.75" thickBot="1" x14ac:dyDescent="0.3">
      <c r="A310" s="31"/>
      <c r="B310" s="32"/>
      <c r="C310" s="31"/>
      <c r="D310" s="31"/>
      <c r="E310" s="40" t="s">
        <v>128</v>
      </c>
      <c r="F310" s="40" t="s">
        <v>18</v>
      </c>
    </row>
    <row r="311" spans="1:6" ht="15.75" thickBot="1" x14ac:dyDescent="0.3">
      <c r="A311" s="31"/>
      <c r="B311" s="31"/>
      <c r="C311" s="31"/>
      <c r="D311" s="31"/>
      <c r="E311" s="40" t="s">
        <v>128</v>
      </c>
      <c r="F311" s="40" t="s">
        <v>18</v>
      </c>
    </row>
    <row r="312" spans="1:6" ht="15.75" thickBot="1" x14ac:dyDescent="0.3">
      <c r="A312" s="31"/>
      <c r="B312" s="31"/>
      <c r="C312" s="31"/>
      <c r="D312" s="31"/>
      <c r="E312" s="40" t="s">
        <v>128</v>
      </c>
      <c r="F312" s="40" t="s">
        <v>18</v>
      </c>
    </row>
    <row r="313" spans="1:6" ht="15.75" thickBot="1" x14ac:dyDescent="0.3">
      <c r="A313" s="31"/>
      <c r="B313" s="31"/>
      <c r="C313" s="31"/>
      <c r="D313" s="31"/>
      <c r="E313" s="40" t="s">
        <v>128</v>
      </c>
      <c r="F313" s="40" t="s">
        <v>18</v>
      </c>
    </row>
    <row r="314" spans="1:6" ht="15.75" thickBot="1" x14ac:dyDescent="0.3">
      <c r="A314" s="31"/>
      <c r="B314" s="31"/>
      <c r="C314" s="31"/>
      <c r="D314" s="31"/>
      <c r="E314" s="40" t="s">
        <v>128</v>
      </c>
      <c r="F314" s="40" t="s">
        <v>18</v>
      </c>
    </row>
    <row r="315" spans="1:6" ht="15.75" thickBot="1" x14ac:dyDescent="0.3">
      <c r="A315" s="31"/>
      <c r="B315" s="31"/>
      <c r="C315" s="31"/>
      <c r="D315" s="31"/>
      <c r="E315" s="40" t="s">
        <v>128</v>
      </c>
      <c r="F315" s="40" t="s">
        <v>18</v>
      </c>
    </row>
    <row r="316" spans="1:6" ht="15.75" thickBot="1" x14ac:dyDescent="0.3">
      <c r="A316" s="31"/>
      <c r="B316" s="31"/>
      <c r="C316" s="31"/>
      <c r="D316" s="31"/>
      <c r="E316" s="40" t="s">
        <v>128</v>
      </c>
      <c r="F316" s="40" t="s">
        <v>18</v>
      </c>
    </row>
    <row r="317" spans="1:6" ht="15.75" thickBot="1" x14ac:dyDescent="0.3">
      <c r="A317" s="31"/>
      <c r="B317" s="31"/>
      <c r="C317" s="31"/>
      <c r="D317" s="31"/>
      <c r="E317" s="40" t="s">
        <v>128</v>
      </c>
      <c r="F317" s="40" t="s">
        <v>18</v>
      </c>
    </row>
    <row r="318" spans="1:6" ht="15.75" thickBot="1" x14ac:dyDescent="0.3">
      <c r="A318" s="31"/>
      <c r="B318" s="32"/>
      <c r="C318" s="31"/>
      <c r="D318" s="31"/>
      <c r="E318" s="40" t="s">
        <v>128</v>
      </c>
      <c r="F318" s="40" t="s">
        <v>18</v>
      </c>
    </row>
    <row r="319" spans="1:6" ht="15.75" thickBot="1" x14ac:dyDescent="0.3">
      <c r="A319" s="31"/>
      <c r="B319" s="31"/>
      <c r="C319" s="31"/>
      <c r="D319" s="31"/>
      <c r="E319" s="40" t="s">
        <v>128</v>
      </c>
      <c r="F319" s="40" t="s">
        <v>18</v>
      </c>
    </row>
    <row r="320" spans="1:6" ht="15.75" thickBot="1" x14ac:dyDescent="0.3">
      <c r="A320" s="31"/>
      <c r="B320" s="32"/>
      <c r="C320" s="31"/>
      <c r="D320" s="31"/>
      <c r="E320" s="40" t="s">
        <v>128</v>
      </c>
      <c r="F320" s="40" t="s">
        <v>18</v>
      </c>
    </row>
    <row r="321" spans="1:6" ht="15.75" thickBot="1" x14ac:dyDescent="0.3">
      <c r="A321" s="31"/>
      <c r="B321" s="31"/>
      <c r="C321" s="31"/>
      <c r="D321" s="31"/>
      <c r="E321" s="40" t="s">
        <v>128</v>
      </c>
      <c r="F321" s="40" t="s">
        <v>18</v>
      </c>
    </row>
    <row r="322" spans="1:6" ht="15.75" thickBot="1" x14ac:dyDescent="0.3">
      <c r="A322" s="31"/>
      <c r="B322" s="31"/>
      <c r="C322" s="31"/>
      <c r="D322" s="31"/>
      <c r="E322" s="40" t="s">
        <v>128</v>
      </c>
      <c r="F322" s="40" t="s">
        <v>18</v>
      </c>
    </row>
    <row r="323" spans="1:6" ht="15.75" thickBot="1" x14ac:dyDescent="0.3">
      <c r="A323" s="31"/>
      <c r="B323" s="31"/>
      <c r="C323" s="31"/>
      <c r="D323" s="31"/>
      <c r="E323" s="40" t="s">
        <v>128</v>
      </c>
      <c r="F323" s="40" t="s">
        <v>18</v>
      </c>
    </row>
    <row r="324" spans="1:6" ht="15.75" thickBot="1" x14ac:dyDescent="0.3">
      <c r="A324" s="31"/>
      <c r="B324" s="31"/>
      <c r="C324" s="31"/>
      <c r="D324" s="31"/>
      <c r="E324" s="40" t="s">
        <v>128</v>
      </c>
      <c r="F324" s="40" t="s">
        <v>18</v>
      </c>
    </row>
    <row r="325" spans="1:6" ht="15.75" thickBot="1" x14ac:dyDescent="0.3">
      <c r="A325" s="31"/>
      <c r="B325" s="31"/>
      <c r="C325" s="31"/>
      <c r="D325" s="31"/>
      <c r="E325" s="40" t="s">
        <v>128</v>
      </c>
      <c r="F325" s="40" t="s">
        <v>18</v>
      </c>
    </row>
    <row r="326" spans="1:6" ht="15.75" thickBot="1" x14ac:dyDescent="0.3">
      <c r="A326" s="31"/>
      <c r="B326" s="31"/>
      <c r="C326" s="31"/>
      <c r="D326" s="31"/>
      <c r="E326" s="40" t="s">
        <v>128</v>
      </c>
      <c r="F326" s="40" t="s">
        <v>18</v>
      </c>
    </row>
    <row r="327" spans="1:6" ht="15.75" thickBot="1" x14ac:dyDescent="0.3">
      <c r="A327" s="31"/>
      <c r="B327" s="31"/>
      <c r="C327" s="31"/>
      <c r="D327" s="31"/>
      <c r="E327" s="40" t="s">
        <v>128</v>
      </c>
      <c r="F327" s="40" t="s">
        <v>18</v>
      </c>
    </row>
    <row r="328" spans="1:6" ht="15.75" thickBot="1" x14ac:dyDescent="0.3">
      <c r="A328" s="31"/>
      <c r="B328" s="31"/>
      <c r="C328" s="31"/>
      <c r="D328" s="31"/>
      <c r="E328" s="40" t="s">
        <v>128</v>
      </c>
      <c r="F328" s="40" t="s">
        <v>18</v>
      </c>
    </row>
    <row r="329" spans="1:6" ht="15.75" thickBot="1" x14ac:dyDescent="0.3">
      <c r="A329" s="31"/>
      <c r="B329" s="31"/>
      <c r="C329" s="31"/>
      <c r="D329" s="31"/>
      <c r="E329" s="40" t="s">
        <v>128</v>
      </c>
      <c r="F329" s="40" t="s">
        <v>18</v>
      </c>
    </row>
    <row r="330" spans="1:6" ht="15.75" thickBot="1" x14ac:dyDescent="0.3">
      <c r="A330" s="31"/>
      <c r="B330" s="31"/>
      <c r="C330" s="31"/>
      <c r="D330" s="31"/>
      <c r="E330" s="40" t="s">
        <v>128</v>
      </c>
      <c r="F330" s="40" t="s">
        <v>18</v>
      </c>
    </row>
    <row r="331" spans="1:6" ht="15.75" thickBot="1" x14ac:dyDescent="0.3">
      <c r="A331" s="31"/>
      <c r="B331" s="31"/>
      <c r="C331" s="31"/>
      <c r="D331" s="31"/>
      <c r="E331" s="40" t="s">
        <v>129</v>
      </c>
      <c r="F331" s="40" t="s">
        <v>126</v>
      </c>
    </row>
    <row r="332" spans="1:6" ht="15.75" thickBot="1" x14ac:dyDescent="0.3">
      <c r="A332" s="31"/>
      <c r="B332" s="31"/>
      <c r="C332" s="31"/>
      <c r="D332" s="31"/>
      <c r="E332" s="40" t="s">
        <v>129</v>
      </c>
      <c r="F332" s="40" t="s">
        <v>126</v>
      </c>
    </row>
    <row r="333" spans="1:6" ht="15.75" thickBot="1" x14ac:dyDescent="0.3">
      <c r="A333" s="31"/>
      <c r="B333" s="31"/>
      <c r="C333" s="31"/>
      <c r="D333" s="31"/>
      <c r="E333" s="40" t="s">
        <v>129</v>
      </c>
      <c r="F333" s="40" t="s">
        <v>126</v>
      </c>
    </row>
    <row r="334" spans="1:6" ht="15.75" thickBot="1" x14ac:dyDescent="0.3">
      <c r="A334" s="31"/>
      <c r="B334" s="31"/>
      <c r="C334" s="31"/>
      <c r="D334" s="31"/>
      <c r="E334" s="40" t="s">
        <v>129</v>
      </c>
      <c r="F334" s="40" t="s">
        <v>126</v>
      </c>
    </row>
    <row r="335" spans="1:6" ht="15.75" thickBot="1" x14ac:dyDescent="0.3">
      <c r="A335" s="31"/>
      <c r="B335" s="31"/>
      <c r="C335" s="31"/>
      <c r="D335" s="31"/>
      <c r="E335" s="40" t="s">
        <v>129</v>
      </c>
      <c r="F335" s="40" t="s">
        <v>126</v>
      </c>
    </row>
    <row r="336" spans="1:6" ht="15.75" thickBot="1" x14ac:dyDescent="0.3">
      <c r="A336" s="31"/>
      <c r="B336" s="31"/>
      <c r="C336" s="31"/>
      <c r="D336" s="31"/>
      <c r="E336" s="40" t="s">
        <v>129</v>
      </c>
      <c r="F336" s="40" t="s">
        <v>126</v>
      </c>
    </row>
    <row r="337" spans="1:6" ht="15.75" thickBot="1" x14ac:dyDescent="0.3">
      <c r="A337" s="31"/>
      <c r="B337" s="31"/>
      <c r="C337" s="31"/>
      <c r="D337" s="31"/>
      <c r="E337" s="40" t="s">
        <v>129</v>
      </c>
      <c r="F337" s="40" t="s">
        <v>126</v>
      </c>
    </row>
    <row r="338" spans="1:6" ht="15.75" thickBot="1" x14ac:dyDescent="0.3">
      <c r="A338" s="31"/>
      <c r="B338" s="31"/>
      <c r="C338" s="31"/>
      <c r="D338" s="31"/>
      <c r="E338" s="40" t="s">
        <v>129</v>
      </c>
      <c r="F338" s="40" t="s">
        <v>126</v>
      </c>
    </row>
    <row r="339" spans="1:6" ht="15.75" thickBot="1" x14ac:dyDescent="0.3">
      <c r="A339" s="31"/>
      <c r="B339" s="31"/>
      <c r="C339" s="31"/>
      <c r="D339" s="31"/>
      <c r="E339" s="40" t="s">
        <v>129</v>
      </c>
      <c r="F339" s="40" t="s">
        <v>126</v>
      </c>
    </row>
    <row r="340" spans="1:6" ht="15.75" thickBot="1" x14ac:dyDescent="0.3">
      <c r="A340" s="31"/>
      <c r="B340" s="31"/>
      <c r="C340" s="31"/>
      <c r="D340" s="31"/>
      <c r="E340" s="40" t="s">
        <v>129</v>
      </c>
      <c r="F340" s="40" t="s">
        <v>126</v>
      </c>
    </row>
    <row r="341" spans="1:6" ht="15.75" thickBot="1" x14ac:dyDescent="0.3">
      <c r="A341" s="31"/>
      <c r="B341" s="31"/>
      <c r="C341" s="31"/>
      <c r="D341" s="31"/>
      <c r="E341" s="40" t="s">
        <v>129</v>
      </c>
      <c r="F341" s="40" t="s">
        <v>126</v>
      </c>
    </row>
    <row r="342" spans="1:6" ht="15.75" thickBot="1" x14ac:dyDescent="0.3">
      <c r="A342" s="31"/>
      <c r="B342" s="31"/>
      <c r="C342" s="31"/>
      <c r="D342" s="31"/>
      <c r="E342" s="40" t="s">
        <v>129</v>
      </c>
      <c r="F342" s="40" t="s">
        <v>126</v>
      </c>
    </row>
    <row r="343" spans="1:6" ht="15.75" thickBot="1" x14ac:dyDescent="0.3">
      <c r="A343" s="31"/>
      <c r="B343" s="31"/>
      <c r="C343" s="31"/>
      <c r="D343" s="31"/>
      <c r="E343" s="40" t="s">
        <v>129</v>
      </c>
      <c r="F343" s="40" t="s">
        <v>126</v>
      </c>
    </row>
    <row r="344" spans="1:6" ht="15.75" thickBot="1" x14ac:dyDescent="0.3">
      <c r="A344" s="31"/>
      <c r="B344" s="31"/>
      <c r="C344" s="31"/>
      <c r="D344" s="31"/>
      <c r="E344" s="40" t="s">
        <v>129</v>
      </c>
      <c r="F344" s="40" t="s">
        <v>126</v>
      </c>
    </row>
    <row r="345" spans="1:6" ht="15.75" thickBot="1" x14ac:dyDescent="0.3">
      <c r="A345" s="31"/>
      <c r="B345" s="31"/>
      <c r="C345" s="31"/>
      <c r="D345" s="31"/>
      <c r="E345" s="40" t="s">
        <v>129</v>
      </c>
      <c r="F345" s="40" t="s">
        <v>126</v>
      </c>
    </row>
    <row r="346" spans="1:6" ht="15.75" thickBot="1" x14ac:dyDescent="0.3">
      <c r="A346" s="31"/>
      <c r="B346" s="31"/>
      <c r="C346" s="31"/>
      <c r="D346" s="31"/>
      <c r="E346" s="40" t="s">
        <v>129</v>
      </c>
      <c r="F346" s="40" t="s">
        <v>126</v>
      </c>
    </row>
    <row r="347" spans="1:6" ht="15.75" thickBot="1" x14ac:dyDescent="0.3">
      <c r="A347" s="31"/>
      <c r="B347" s="31"/>
      <c r="C347" s="31"/>
      <c r="D347" s="31"/>
      <c r="E347" s="40" t="s">
        <v>129</v>
      </c>
      <c r="F347" s="40" t="s">
        <v>126</v>
      </c>
    </row>
    <row r="348" spans="1:6" ht="15.75" thickBot="1" x14ac:dyDescent="0.3">
      <c r="A348" s="31"/>
      <c r="B348" s="31"/>
      <c r="C348" s="31"/>
      <c r="D348" s="31"/>
      <c r="E348" s="40" t="s">
        <v>129</v>
      </c>
      <c r="F348" s="40" t="s">
        <v>126</v>
      </c>
    </row>
    <row r="349" spans="1:6" ht="15.75" thickBot="1" x14ac:dyDescent="0.3">
      <c r="A349" s="31"/>
      <c r="B349" s="31"/>
      <c r="C349" s="31"/>
      <c r="D349" s="31"/>
      <c r="E349" s="40" t="s">
        <v>129</v>
      </c>
      <c r="F349" s="40" t="s">
        <v>126</v>
      </c>
    </row>
    <row r="350" spans="1:6" ht="15.75" thickBot="1" x14ac:dyDescent="0.3">
      <c r="A350" s="31"/>
      <c r="B350" s="31"/>
      <c r="C350" s="31"/>
      <c r="D350" s="31"/>
      <c r="E350" s="40" t="s">
        <v>129</v>
      </c>
      <c r="F350" s="40" t="s">
        <v>126</v>
      </c>
    </row>
    <row r="351" spans="1:6" ht="15.75" thickBot="1" x14ac:dyDescent="0.3">
      <c r="A351" s="31"/>
      <c r="B351" s="31"/>
      <c r="C351" s="31"/>
      <c r="D351" s="31"/>
      <c r="E351" s="40" t="s">
        <v>129</v>
      </c>
      <c r="F351" s="40" t="s">
        <v>126</v>
      </c>
    </row>
    <row r="352" spans="1:6" ht="15.75" thickBot="1" x14ac:dyDescent="0.3">
      <c r="A352" s="31"/>
      <c r="B352" s="31"/>
      <c r="C352" s="31"/>
      <c r="D352" s="31"/>
      <c r="E352" s="40" t="s">
        <v>129</v>
      </c>
      <c r="F352" s="40" t="s">
        <v>126</v>
      </c>
    </row>
    <row r="353" spans="1:6" ht="15.75" thickBot="1" x14ac:dyDescent="0.3">
      <c r="A353" s="31"/>
      <c r="B353" s="31"/>
      <c r="C353" s="31"/>
      <c r="D353" s="31"/>
      <c r="E353" s="40" t="s">
        <v>129</v>
      </c>
      <c r="F353" s="40" t="s">
        <v>126</v>
      </c>
    </row>
    <row r="354" spans="1:6" ht="15.75" thickBot="1" x14ac:dyDescent="0.3">
      <c r="A354" s="31"/>
      <c r="B354" s="31"/>
      <c r="C354" s="31"/>
      <c r="D354" s="31"/>
      <c r="E354" s="40" t="s">
        <v>129</v>
      </c>
      <c r="F354" s="40" t="s">
        <v>126</v>
      </c>
    </row>
    <row r="355" spans="1:6" ht="15.75" thickBot="1" x14ac:dyDescent="0.3">
      <c r="A355" s="31"/>
      <c r="B355" s="31"/>
      <c r="C355" s="31"/>
      <c r="D355" s="31"/>
      <c r="E355" s="40" t="s">
        <v>129</v>
      </c>
      <c r="F355" s="40" t="s">
        <v>126</v>
      </c>
    </row>
    <row r="356" spans="1:6" ht="15.75" thickBot="1" x14ac:dyDescent="0.3">
      <c r="A356" s="31"/>
      <c r="B356" s="31"/>
      <c r="C356" s="31"/>
      <c r="D356" s="31"/>
      <c r="E356" s="40" t="s">
        <v>129</v>
      </c>
      <c r="F356" s="40" t="s">
        <v>126</v>
      </c>
    </row>
    <row r="357" spans="1:6" ht="15.75" thickBot="1" x14ac:dyDescent="0.3">
      <c r="A357" s="31"/>
      <c r="B357" s="31"/>
      <c r="C357" s="31"/>
      <c r="D357" s="31"/>
      <c r="E357" s="40" t="s">
        <v>129</v>
      </c>
      <c r="F357" s="40" t="s">
        <v>126</v>
      </c>
    </row>
    <row r="358" spans="1:6" ht="15.75" thickBot="1" x14ac:dyDescent="0.3">
      <c r="A358" s="31"/>
      <c r="B358" s="31"/>
      <c r="C358" s="31"/>
      <c r="D358" s="31"/>
      <c r="E358" s="40" t="s">
        <v>129</v>
      </c>
      <c r="F358" s="40" t="s">
        <v>126</v>
      </c>
    </row>
    <row r="359" spans="1:6" ht="15.75" thickBot="1" x14ac:dyDescent="0.3">
      <c r="A359" s="31"/>
      <c r="B359" s="31"/>
      <c r="C359" s="31"/>
      <c r="D359" s="31"/>
      <c r="E359" s="40" t="s">
        <v>129</v>
      </c>
      <c r="F359" s="40" t="s">
        <v>126</v>
      </c>
    </row>
    <row r="360" spans="1:6" ht="15.75" thickBot="1" x14ac:dyDescent="0.3">
      <c r="A360" s="31"/>
      <c r="B360" s="31"/>
      <c r="C360" s="31"/>
      <c r="D360" s="31"/>
      <c r="E360" s="40" t="s">
        <v>129</v>
      </c>
      <c r="F360" s="40" t="s">
        <v>126</v>
      </c>
    </row>
    <row r="361" spans="1:6" ht="15.75" thickBot="1" x14ac:dyDescent="0.3">
      <c r="A361" s="31"/>
      <c r="B361" s="31"/>
      <c r="C361" s="31"/>
      <c r="D361" s="31"/>
      <c r="E361" s="40" t="s">
        <v>129</v>
      </c>
      <c r="F361" s="40" t="s">
        <v>126</v>
      </c>
    </row>
    <row r="362" spans="1:6" ht="15.75" thickBot="1" x14ac:dyDescent="0.3">
      <c r="A362" s="31"/>
      <c r="B362" s="31"/>
      <c r="C362" s="31"/>
      <c r="D362" s="31"/>
      <c r="E362" s="40" t="s">
        <v>129</v>
      </c>
      <c r="F362" s="40" t="s">
        <v>126</v>
      </c>
    </row>
    <row r="363" spans="1:6" ht="15.75" thickBot="1" x14ac:dyDescent="0.3">
      <c r="A363" s="31"/>
      <c r="B363" s="32"/>
      <c r="C363" s="31"/>
      <c r="D363" s="31"/>
      <c r="E363" s="40" t="s">
        <v>129</v>
      </c>
      <c r="F363" s="40" t="s">
        <v>126</v>
      </c>
    </row>
    <row r="364" spans="1:6" ht="15.75" thickBot="1" x14ac:dyDescent="0.3">
      <c r="A364" s="31"/>
      <c r="B364" s="31"/>
      <c r="C364" s="31"/>
      <c r="D364" s="31"/>
      <c r="E364" s="40" t="s">
        <v>129</v>
      </c>
      <c r="F364" s="40" t="s">
        <v>126</v>
      </c>
    </row>
    <row r="365" spans="1:6" ht="15.75" thickBot="1" x14ac:dyDescent="0.3">
      <c r="A365" s="31"/>
      <c r="B365" s="31"/>
      <c r="C365" s="31"/>
      <c r="D365" s="31"/>
      <c r="E365" s="40" t="s">
        <v>129</v>
      </c>
      <c r="F365" s="40" t="s">
        <v>126</v>
      </c>
    </row>
    <row r="366" spans="1:6" ht="15.75" thickBot="1" x14ac:dyDescent="0.3">
      <c r="A366" s="31"/>
      <c r="B366" s="31"/>
      <c r="C366" s="31"/>
      <c r="D366" s="31"/>
      <c r="E366" s="40" t="s">
        <v>129</v>
      </c>
      <c r="F366" s="40" t="s">
        <v>126</v>
      </c>
    </row>
    <row r="367" spans="1:6" ht="15.75" thickBot="1" x14ac:dyDescent="0.3">
      <c r="A367" s="31"/>
      <c r="B367" s="31"/>
      <c r="C367" s="31"/>
      <c r="D367" s="31"/>
      <c r="E367" s="40" t="s">
        <v>129</v>
      </c>
      <c r="F367" s="40" t="s">
        <v>126</v>
      </c>
    </row>
    <row r="368" spans="1:6" ht="15.75" thickBot="1" x14ac:dyDescent="0.3">
      <c r="A368" s="31"/>
      <c r="B368" s="31"/>
      <c r="C368" s="31"/>
      <c r="D368" s="31"/>
      <c r="E368" s="40" t="s">
        <v>129</v>
      </c>
      <c r="F368" s="40" t="s">
        <v>126</v>
      </c>
    </row>
    <row r="369" spans="1:6" ht="15.75" thickBot="1" x14ac:dyDescent="0.3">
      <c r="A369" s="31"/>
      <c r="B369" s="31"/>
      <c r="C369" s="31"/>
      <c r="D369" s="31"/>
      <c r="E369" s="40" t="s">
        <v>129</v>
      </c>
      <c r="F369" s="40" t="s">
        <v>126</v>
      </c>
    </row>
    <row r="370" spans="1:6" ht="15.75" thickBot="1" x14ac:dyDescent="0.3">
      <c r="A370" s="31"/>
      <c r="B370" s="31"/>
      <c r="C370" s="31"/>
      <c r="D370" s="31"/>
      <c r="E370" s="40" t="s">
        <v>129</v>
      </c>
      <c r="F370" s="40" t="s">
        <v>126</v>
      </c>
    </row>
    <row r="371" spans="1:6" ht="15.75" thickBot="1" x14ac:dyDescent="0.3">
      <c r="A371" s="31"/>
      <c r="B371" s="31"/>
      <c r="C371" s="31"/>
      <c r="D371" s="31"/>
      <c r="E371" s="40" t="s">
        <v>129</v>
      </c>
      <c r="F371" s="40" t="s">
        <v>126</v>
      </c>
    </row>
    <row r="372" spans="1:6" ht="15.75" thickBot="1" x14ac:dyDescent="0.3">
      <c r="A372" s="31"/>
      <c r="B372" s="31"/>
      <c r="C372" s="31"/>
      <c r="D372" s="31"/>
      <c r="E372" s="40" t="s">
        <v>129</v>
      </c>
      <c r="F372" s="40" t="s">
        <v>126</v>
      </c>
    </row>
    <row r="373" spans="1:6" ht="15.75" thickBot="1" x14ac:dyDescent="0.3">
      <c r="A373" s="31"/>
      <c r="B373" s="31"/>
      <c r="C373" s="31"/>
      <c r="D373" s="31"/>
      <c r="E373" s="40" t="s">
        <v>129</v>
      </c>
      <c r="F373" s="40" t="s">
        <v>126</v>
      </c>
    </row>
    <row r="374" spans="1:6" ht="15.75" thickBot="1" x14ac:dyDescent="0.3">
      <c r="A374" s="31"/>
      <c r="B374" s="31"/>
      <c r="C374" s="31"/>
      <c r="D374" s="31"/>
      <c r="E374" s="40" t="s">
        <v>129</v>
      </c>
      <c r="F374" s="40" t="s">
        <v>126</v>
      </c>
    </row>
    <row r="375" spans="1:6" ht="15.75" thickBot="1" x14ac:dyDescent="0.3">
      <c r="A375" s="31"/>
      <c r="B375" s="31"/>
      <c r="C375" s="31"/>
      <c r="D375" s="31"/>
      <c r="E375" s="40" t="s">
        <v>129</v>
      </c>
      <c r="F375" s="40" t="s">
        <v>126</v>
      </c>
    </row>
    <row r="376" spans="1:6" ht="15.75" thickBot="1" x14ac:dyDescent="0.3">
      <c r="A376" s="31"/>
      <c r="B376" s="31"/>
      <c r="C376" s="31"/>
      <c r="D376" s="31"/>
      <c r="E376" s="40" t="s">
        <v>129</v>
      </c>
      <c r="F376" s="40" t="s">
        <v>126</v>
      </c>
    </row>
    <row r="377" spans="1:6" ht="15.75" thickBot="1" x14ac:dyDescent="0.3">
      <c r="A377" s="31"/>
      <c r="B377" s="31"/>
      <c r="C377" s="31"/>
      <c r="D377" s="31"/>
      <c r="E377" s="40" t="s">
        <v>129</v>
      </c>
      <c r="F377" s="40" t="s">
        <v>126</v>
      </c>
    </row>
    <row r="378" spans="1:6" ht="15.75" thickBot="1" x14ac:dyDescent="0.3">
      <c r="A378" s="31"/>
      <c r="B378" s="31"/>
      <c r="C378" s="31"/>
      <c r="D378" s="31"/>
      <c r="E378" s="40" t="s">
        <v>129</v>
      </c>
      <c r="F378" s="40" t="s">
        <v>126</v>
      </c>
    </row>
    <row r="379" spans="1:6" ht="15.75" thickBot="1" x14ac:dyDescent="0.3">
      <c r="A379" s="31"/>
      <c r="B379" s="31"/>
      <c r="C379" s="31"/>
      <c r="D379" s="31"/>
      <c r="E379" s="40" t="s">
        <v>129</v>
      </c>
      <c r="F379" s="40" t="s">
        <v>126</v>
      </c>
    </row>
    <row r="380" spans="1:6" ht="15.75" thickBot="1" x14ac:dyDescent="0.3">
      <c r="A380" s="31"/>
      <c r="B380" s="31"/>
      <c r="C380" s="31"/>
      <c r="D380" s="31"/>
      <c r="E380" s="40" t="s">
        <v>129</v>
      </c>
      <c r="F380" s="40" t="s">
        <v>17</v>
      </c>
    </row>
    <row r="381" spans="1:6" ht="15.75" thickBot="1" x14ac:dyDescent="0.3">
      <c r="A381" s="31"/>
      <c r="B381" s="32"/>
      <c r="C381" s="31"/>
      <c r="D381" s="31"/>
      <c r="E381" s="40" t="s">
        <v>129</v>
      </c>
      <c r="F381" s="40" t="s">
        <v>17</v>
      </c>
    </row>
    <row r="382" spans="1:6" ht="15.75" thickBot="1" x14ac:dyDescent="0.3">
      <c r="A382" s="31"/>
      <c r="B382" s="31"/>
      <c r="C382" s="31"/>
      <c r="D382" s="31"/>
      <c r="E382" s="40" t="s">
        <v>129</v>
      </c>
      <c r="F382" s="40" t="s">
        <v>17</v>
      </c>
    </row>
    <row r="383" spans="1:6" ht="15.75" thickBot="1" x14ac:dyDescent="0.3">
      <c r="A383" s="31"/>
      <c r="B383" s="31"/>
      <c r="C383" s="31"/>
      <c r="D383" s="31"/>
      <c r="E383" s="40" t="s">
        <v>129</v>
      </c>
      <c r="F383" s="40" t="s">
        <v>17</v>
      </c>
    </row>
    <row r="384" spans="1:6" ht="15.75" thickBot="1" x14ac:dyDescent="0.3">
      <c r="A384" s="31"/>
      <c r="B384" s="31"/>
      <c r="C384" s="31"/>
      <c r="D384" s="31"/>
      <c r="E384" s="40" t="s">
        <v>129</v>
      </c>
      <c r="F384" s="40" t="s">
        <v>17</v>
      </c>
    </row>
    <row r="385" spans="1:6" ht="15.75" thickBot="1" x14ac:dyDescent="0.3">
      <c r="A385" s="31"/>
      <c r="B385" s="32"/>
      <c r="C385" s="31"/>
      <c r="D385" s="31"/>
      <c r="E385" s="40" t="s">
        <v>129</v>
      </c>
      <c r="F385" s="40" t="s">
        <v>17</v>
      </c>
    </row>
    <row r="386" spans="1:6" ht="15.75" thickBot="1" x14ac:dyDescent="0.3">
      <c r="A386" s="31"/>
      <c r="B386" s="31"/>
      <c r="C386" s="31"/>
      <c r="D386" s="31"/>
      <c r="E386" s="40" t="s">
        <v>129</v>
      </c>
      <c r="F386" s="40" t="s">
        <v>17</v>
      </c>
    </row>
    <row r="387" spans="1:6" ht="15.75" thickBot="1" x14ac:dyDescent="0.3">
      <c r="A387" s="31"/>
      <c r="B387" s="31"/>
      <c r="C387" s="31"/>
      <c r="D387" s="31"/>
      <c r="E387" s="40" t="s">
        <v>129</v>
      </c>
      <c r="F387" s="40" t="s">
        <v>17</v>
      </c>
    </row>
    <row r="388" spans="1:6" ht="15.75" thickBot="1" x14ac:dyDescent="0.3">
      <c r="A388" s="31"/>
      <c r="B388" s="31"/>
      <c r="C388" s="31"/>
      <c r="D388" s="31"/>
      <c r="E388" s="40" t="s">
        <v>129</v>
      </c>
      <c r="F388" s="40" t="s">
        <v>17</v>
      </c>
    </row>
    <row r="389" spans="1:6" ht="15.75" thickBot="1" x14ac:dyDescent="0.3">
      <c r="A389" s="31"/>
      <c r="B389" s="31"/>
      <c r="C389" s="31"/>
      <c r="D389" s="31"/>
      <c r="E389" s="40" t="s">
        <v>129</v>
      </c>
      <c r="F389" s="40" t="s">
        <v>17</v>
      </c>
    </row>
    <row r="390" spans="1:6" ht="15.75" thickBot="1" x14ac:dyDescent="0.3">
      <c r="A390" s="31"/>
      <c r="B390" s="31"/>
      <c r="C390" s="31"/>
      <c r="D390" s="31"/>
      <c r="E390" s="40" t="s">
        <v>129</v>
      </c>
      <c r="F390" s="40" t="s">
        <v>17</v>
      </c>
    </row>
    <row r="391" spans="1:6" ht="15.75" thickBot="1" x14ac:dyDescent="0.3">
      <c r="A391" s="31"/>
      <c r="B391" s="31"/>
      <c r="C391" s="31"/>
      <c r="D391" s="31"/>
      <c r="E391" s="40" t="s">
        <v>129</v>
      </c>
      <c r="F391" s="40" t="s">
        <v>17</v>
      </c>
    </row>
    <row r="392" spans="1:6" ht="15.75" thickBot="1" x14ac:dyDescent="0.3">
      <c r="A392" s="31"/>
      <c r="B392" s="31"/>
      <c r="C392" s="31"/>
      <c r="D392" s="31"/>
      <c r="E392" s="40" t="s">
        <v>129</v>
      </c>
      <c r="F392" s="40" t="s">
        <v>17</v>
      </c>
    </row>
    <row r="393" spans="1:6" ht="15.75" thickBot="1" x14ac:dyDescent="0.3">
      <c r="A393" s="31"/>
      <c r="B393" s="31"/>
      <c r="C393" s="31"/>
      <c r="D393" s="31"/>
      <c r="E393" s="40" t="s">
        <v>129</v>
      </c>
      <c r="F393" s="40" t="s">
        <v>17</v>
      </c>
    </row>
    <row r="394" spans="1:6" ht="15.75" thickBot="1" x14ac:dyDescent="0.3">
      <c r="A394" s="31"/>
      <c r="B394" s="31"/>
      <c r="C394" s="31"/>
      <c r="D394" s="31"/>
      <c r="E394" s="40" t="s">
        <v>129</v>
      </c>
      <c r="F394" s="40" t="s">
        <v>17</v>
      </c>
    </row>
    <row r="395" spans="1:6" ht="15.75" thickBot="1" x14ac:dyDescent="0.3">
      <c r="A395" s="31"/>
      <c r="B395" s="31"/>
      <c r="C395" s="31"/>
      <c r="D395" s="31"/>
      <c r="E395" s="40" t="s">
        <v>129</v>
      </c>
      <c r="F395" s="40" t="s">
        <v>17</v>
      </c>
    </row>
    <row r="396" spans="1:6" ht="15.75" thickBot="1" x14ac:dyDescent="0.3">
      <c r="A396" s="31"/>
      <c r="B396" s="31"/>
      <c r="C396" s="31"/>
      <c r="D396" s="31"/>
      <c r="E396" s="40" t="s">
        <v>129</v>
      </c>
      <c r="F396" s="40" t="s">
        <v>17</v>
      </c>
    </row>
    <row r="397" spans="1:6" ht="15.75" thickBot="1" x14ac:dyDescent="0.3">
      <c r="A397" s="31"/>
      <c r="B397" s="32"/>
      <c r="C397" s="31"/>
      <c r="D397" s="31"/>
      <c r="E397" s="40" t="s">
        <v>129</v>
      </c>
      <c r="F397" s="40" t="s">
        <v>17</v>
      </c>
    </row>
    <row r="398" spans="1:6" ht="15.75" thickBot="1" x14ac:dyDescent="0.3">
      <c r="A398" s="31"/>
      <c r="B398" s="31"/>
      <c r="C398" s="31"/>
      <c r="D398" s="31"/>
      <c r="E398" s="40" t="s">
        <v>129</v>
      </c>
      <c r="F398" s="40" t="s">
        <v>17</v>
      </c>
    </row>
    <row r="399" spans="1:6" ht="15.75" thickBot="1" x14ac:dyDescent="0.3">
      <c r="A399" s="31"/>
      <c r="B399" s="31"/>
      <c r="C399" s="31"/>
      <c r="D399" s="31"/>
      <c r="E399" s="40" t="s">
        <v>129</v>
      </c>
      <c r="F399" s="40" t="s">
        <v>17</v>
      </c>
    </row>
    <row r="400" spans="1:6" ht="15.75" thickBot="1" x14ac:dyDescent="0.3">
      <c r="A400" s="31"/>
      <c r="B400" s="31"/>
      <c r="C400" s="31"/>
      <c r="D400" s="31"/>
      <c r="E400" s="40" t="s">
        <v>129</v>
      </c>
      <c r="F400" s="40" t="s">
        <v>17</v>
      </c>
    </row>
    <row r="401" spans="1:6" ht="15.75" thickBot="1" x14ac:dyDescent="0.3">
      <c r="A401" s="31"/>
      <c r="B401" s="31"/>
      <c r="C401" s="31"/>
      <c r="D401" s="31"/>
      <c r="E401" s="40" t="s">
        <v>129</v>
      </c>
      <c r="F401" s="40" t="s">
        <v>17</v>
      </c>
    </row>
    <row r="402" spans="1:6" ht="15.75" thickBot="1" x14ac:dyDescent="0.3">
      <c r="A402" s="31"/>
      <c r="B402" s="31"/>
      <c r="C402" s="31"/>
      <c r="D402" s="31"/>
      <c r="E402" s="40" t="s">
        <v>129</v>
      </c>
      <c r="F402" s="40" t="s">
        <v>17</v>
      </c>
    </row>
    <row r="403" spans="1:6" ht="15.75" thickBot="1" x14ac:dyDescent="0.3">
      <c r="A403" s="31"/>
      <c r="B403" s="31"/>
      <c r="C403" s="31"/>
      <c r="D403" s="31"/>
      <c r="E403" s="40" t="s">
        <v>129</v>
      </c>
      <c r="F403" s="40" t="s">
        <v>17</v>
      </c>
    </row>
    <row r="404" spans="1:6" ht="15.75" thickBot="1" x14ac:dyDescent="0.3">
      <c r="A404" s="31"/>
      <c r="B404" s="32"/>
      <c r="C404" s="31"/>
      <c r="D404" s="31"/>
      <c r="E404" s="40" t="s">
        <v>129</v>
      </c>
      <c r="F404" s="40" t="s">
        <v>17</v>
      </c>
    </row>
    <row r="405" spans="1:6" ht="15.75" thickBot="1" x14ac:dyDescent="0.3">
      <c r="A405" s="31"/>
      <c r="B405" s="31"/>
      <c r="C405" s="31"/>
      <c r="D405" s="31"/>
      <c r="E405" s="40" t="s">
        <v>129</v>
      </c>
      <c r="F405" s="40" t="s">
        <v>17</v>
      </c>
    </row>
    <row r="406" spans="1:6" ht="15.75" thickBot="1" x14ac:dyDescent="0.3">
      <c r="A406" s="31"/>
      <c r="B406" s="31"/>
      <c r="C406" s="31"/>
      <c r="D406" s="31"/>
      <c r="E406" s="40" t="s">
        <v>129</v>
      </c>
      <c r="F406" s="40" t="s">
        <v>17</v>
      </c>
    </row>
    <row r="407" spans="1:6" ht="15.75" thickBot="1" x14ac:dyDescent="0.3">
      <c r="A407" s="31"/>
      <c r="B407" s="31"/>
      <c r="C407" s="31"/>
      <c r="D407" s="31"/>
      <c r="E407" s="40" t="s">
        <v>129</v>
      </c>
      <c r="F407" s="40" t="s">
        <v>17</v>
      </c>
    </row>
    <row r="408" spans="1:6" ht="15.75" thickBot="1" x14ac:dyDescent="0.3">
      <c r="A408" s="31"/>
      <c r="B408" s="31"/>
      <c r="C408" s="31"/>
      <c r="D408" s="31"/>
      <c r="E408" s="40" t="s">
        <v>129</v>
      </c>
      <c r="F408" s="40" t="s">
        <v>17</v>
      </c>
    </row>
    <row r="409" spans="1:6" ht="15.75" thickBot="1" x14ac:dyDescent="0.3">
      <c r="A409" s="31"/>
      <c r="B409" s="31"/>
      <c r="C409" s="31"/>
      <c r="D409" s="31"/>
      <c r="E409" s="40" t="s">
        <v>129</v>
      </c>
      <c r="F409" s="40" t="s">
        <v>17</v>
      </c>
    </row>
    <row r="410" spans="1:6" ht="15.75" thickBot="1" x14ac:dyDescent="0.3">
      <c r="A410" s="31"/>
      <c r="B410" s="31"/>
      <c r="C410" s="34"/>
      <c r="D410" s="34"/>
      <c r="E410" s="40" t="s">
        <v>129</v>
      </c>
      <c r="F410" s="40" t="s">
        <v>17</v>
      </c>
    </row>
    <row r="411" spans="1:6" ht="15.75" thickBot="1" x14ac:dyDescent="0.3">
      <c r="A411" s="31"/>
      <c r="B411" s="31"/>
      <c r="C411" s="31"/>
      <c r="D411" s="31"/>
      <c r="E411" s="40" t="s">
        <v>129</v>
      </c>
      <c r="F411" s="40" t="s">
        <v>17</v>
      </c>
    </row>
    <row r="412" spans="1:6" ht="15.75" thickBot="1" x14ac:dyDescent="0.3">
      <c r="A412" s="31"/>
      <c r="B412" s="31"/>
      <c r="C412" s="31"/>
      <c r="D412" s="31"/>
      <c r="E412" s="40" t="s">
        <v>129</v>
      </c>
      <c r="F412" s="40" t="s">
        <v>17</v>
      </c>
    </row>
    <row r="413" spans="1:6" ht="15.75" thickBot="1" x14ac:dyDescent="0.3">
      <c r="A413" s="31"/>
      <c r="B413" s="31"/>
      <c r="C413" s="31"/>
      <c r="D413" s="31"/>
      <c r="E413" s="40" t="s">
        <v>129</v>
      </c>
      <c r="F413" s="40" t="s">
        <v>17</v>
      </c>
    </row>
    <row r="414" spans="1:6" ht="15.75" thickBot="1" x14ac:dyDescent="0.3">
      <c r="A414" s="31"/>
      <c r="B414" s="31"/>
      <c r="C414" s="31"/>
      <c r="D414" s="31"/>
      <c r="E414" s="40" t="s">
        <v>129</v>
      </c>
      <c r="F414" s="40" t="s">
        <v>17</v>
      </c>
    </row>
    <row r="415" spans="1:6" ht="15.75" thickBot="1" x14ac:dyDescent="0.3">
      <c r="A415" s="31"/>
      <c r="B415" s="32"/>
      <c r="C415" s="31"/>
      <c r="D415" s="31"/>
      <c r="E415" s="40" t="s">
        <v>129</v>
      </c>
      <c r="F415" s="40" t="s">
        <v>17</v>
      </c>
    </row>
    <row r="416" spans="1:6" ht="15.75" thickBot="1" x14ac:dyDescent="0.3">
      <c r="A416" s="31"/>
      <c r="B416" s="31"/>
      <c r="C416" s="31"/>
      <c r="D416" s="31"/>
      <c r="E416" s="40" t="s">
        <v>129</v>
      </c>
      <c r="F416" s="40" t="s">
        <v>17</v>
      </c>
    </row>
    <row r="417" spans="1:6" ht="15.75" thickBot="1" x14ac:dyDescent="0.3">
      <c r="A417" s="31"/>
      <c r="B417" s="31"/>
      <c r="C417" s="31"/>
      <c r="D417" s="31"/>
      <c r="E417" s="40" t="s">
        <v>129</v>
      </c>
      <c r="F417" s="40" t="s">
        <v>17</v>
      </c>
    </row>
    <row r="418" spans="1:6" ht="15.75" thickBot="1" x14ac:dyDescent="0.3">
      <c r="A418" s="31"/>
      <c r="B418" s="31"/>
      <c r="C418" s="31"/>
      <c r="D418" s="31"/>
      <c r="E418" s="40" t="s">
        <v>129</v>
      </c>
      <c r="F418" s="40" t="s">
        <v>17</v>
      </c>
    </row>
    <row r="419" spans="1:6" ht="15.75" thickBot="1" x14ac:dyDescent="0.3">
      <c r="A419" s="31"/>
      <c r="B419" s="32"/>
      <c r="C419" s="34"/>
      <c r="D419" s="34"/>
      <c r="E419" s="40" t="s">
        <v>129</v>
      </c>
      <c r="F419" s="40" t="s">
        <v>17</v>
      </c>
    </row>
    <row r="420" spans="1:6" ht="15.75" thickBot="1" x14ac:dyDescent="0.3">
      <c r="A420" s="31"/>
      <c r="B420" s="31"/>
      <c r="C420" s="31"/>
      <c r="D420" s="31"/>
      <c r="E420" s="40" t="s">
        <v>140</v>
      </c>
      <c r="F420" s="40" t="s">
        <v>126</v>
      </c>
    </row>
    <row r="421" spans="1:6" ht="15.75" thickBot="1" x14ac:dyDescent="0.3">
      <c r="A421" s="31"/>
      <c r="B421" s="31"/>
      <c r="C421" s="31"/>
      <c r="D421" s="31"/>
      <c r="E421" s="40" t="s">
        <v>140</v>
      </c>
      <c r="F421" s="40" t="s">
        <v>126</v>
      </c>
    </row>
    <row r="422" spans="1:6" ht="15.75" thickBot="1" x14ac:dyDescent="0.3">
      <c r="A422" s="31"/>
      <c r="B422" s="31"/>
      <c r="C422" s="31"/>
      <c r="D422" s="31"/>
      <c r="E422" s="40" t="s">
        <v>140</v>
      </c>
      <c r="F422" s="40" t="s">
        <v>126</v>
      </c>
    </row>
    <row r="423" spans="1:6" ht="15.75" thickBot="1" x14ac:dyDescent="0.3">
      <c r="A423" s="31"/>
      <c r="B423" s="31"/>
      <c r="C423" s="31"/>
      <c r="D423" s="31"/>
      <c r="E423" s="40" t="s">
        <v>140</v>
      </c>
      <c r="F423" s="40" t="s">
        <v>126</v>
      </c>
    </row>
    <row r="424" spans="1:6" ht="15.75" thickBot="1" x14ac:dyDescent="0.3">
      <c r="A424" s="31"/>
      <c r="B424" s="31"/>
      <c r="C424" s="31"/>
      <c r="D424" s="31"/>
      <c r="E424" s="40" t="s">
        <v>140</v>
      </c>
      <c r="F424" s="40" t="s">
        <v>126</v>
      </c>
    </row>
    <row r="425" spans="1:6" ht="15.75" thickBot="1" x14ac:dyDescent="0.3">
      <c r="A425" s="31"/>
      <c r="B425" s="31"/>
      <c r="C425" s="31"/>
      <c r="D425" s="31"/>
      <c r="E425" s="40" t="s">
        <v>140</v>
      </c>
      <c r="F425" s="40" t="s">
        <v>126</v>
      </c>
    </row>
    <row r="426" spans="1:6" ht="15.75" thickBot="1" x14ac:dyDescent="0.3">
      <c r="A426" s="31"/>
      <c r="B426" s="31"/>
      <c r="C426" s="31"/>
      <c r="D426" s="31"/>
      <c r="E426" s="40" t="s">
        <v>140</v>
      </c>
      <c r="F426" s="40" t="s">
        <v>126</v>
      </c>
    </row>
    <row r="427" spans="1:6" ht="15.75" thickBot="1" x14ac:dyDescent="0.3">
      <c r="A427" s="31"/>
      <c r="B427" s="31"/>
      <c r="C427" s="31"/>
      <c r="D427" s="31"/>
      <c r="E427" s="40" t="s">
        <v>140</v>
      </c>
      <c r="F427" s="40" t="s">
        <v>126</v>
      </c>
    </row>
    <row r="428" spans="1:6" ht="15.75" thickBot="1" x14ac:dyDescent="0.3">
      <c r="A428" s="31"/>
      <c r="B428" s="31"/>
      <c r="C428" s="31"/>
      <c r="D428" s="31"/>
      <c r="E428" s="40" t="s">
        <v>140</v>
      </c>
      <c r="F428" s="40" t="s">
        <v>126</v>
      </c>
    </row>
    <row r="429" spans="1:6" ht="15.75" thickBot="1" x14ac:dyDescent="0.3">
      <c r="A429" s="31"/>
      <c r="B429" s="31"/>
      <c r="C429" s="31"/>
      <c r="D429" s="31"/>
      <c r="E429" s="40" t="s">
        <v>140</v>
      </c>
      <c r="F429" s="40" t="s">
        <v>126</v>
      </c>
    </row>
    <row r="430" spans="1:6" ht="15.75" thickBot="1" x14ac:dyDescent="0.3">
      <c r="A430" s="31"/>
      <c r="B430" s="31"/>
      <c r="C430" s="31"/>
      <c r="D430" s="31"/>
      <c r="E430" s="40" t="s">
        <v>140</v>
      </c>
      <c r="F430" s="40" t="s">
        <v>126</v>
      </c>
    </row>
    <row r="431" spans="1:6" ht="15.75" thickBot="1" x14ac:dyDescent="0.3">
      <c r="A431" s="31"/>
      <c r="B431" s="31"/>
      <c r="C431" s="31"/>
      <c r="D431" s="31"/>
      <c r="E431" s="40" t="s">
        <v>140</v>
      </c>
      <c r="F431" s="40" t="s">
        <v>126</v>
      </c>
    </row>
    <row r="432" spans="1:6" ht="15.75" thickBot="1" x14ac:dyDescent="0.3">
      <c r="A432" s="31"/>
      <c r="B432" s="31"/>
      <c r="C432" s="31"/>
      <c r="D432" s="31"/>
      <c r="E432" s="40" t="s">
        <v>140</v>
      </c>
      <c r="F432" s="40" t="s">
        <v>126</v>
      </c>
    </row>
    <row r="433" spans="1:6" ht="15.75" thickBot="1" x14ac:dyDescent="0.3">
      <c r="A433" s="31"/>
      <c r="B433" s="31"/>
      <c r="C433" s="31"/>
      <c r="D433" s="31"/>
      <c r="E433" s="40" t="s">
        <v>140</v>
      </c>
      <c r="F433" s="40" t="s">
        <v>126</v>
      </c>
    </row>
    <row r="434" spans="1:6" ht="15.75" thickBot="1" x14ac:dyDescent="0.3">
      <c r="A434" s="31"/>
      <c r="B434" s="31"/>
      <c r="C434" s="31"/>
      <c r="D434" s="31"/>
      <c r="E434" s="40" t="s">
        <v>140</v>
      </c>
      <c r="F434" s="40" t="s">
        <v>126</v>
      </c>
    </row>
    <row r="435" spans="1:6" ht="15.75" thickBot="1" x14ac:dyDescent="0.3">
      <c r="A435" s="31"/>
      <c r="B435" s="31"/>
      <c r="C435" s="31"/>
      <c r="D435" s="31"/>
      <c r="E435" s="40" t="s">
        <v>140</v>
      </c>
      <c r="F435" s="40" t="s">
        <v>126</v>
      </c>
    </row>
    <row r="436" spans="1:6" ht="15.75" thickBot="1" x14ac:dyDescent="0.3">
      <c r="A436" s="31"/>
      <c r="B436" s="31"/>
      <c r="C436" s="31"/>
      <c r="D436" s="31"/>
      <c r="E436" s="40" t="s">
        <v>140</v>
      </c>
      <c r="F436" s="40" t="s">
        <v>126</v>
      </c>
    </row>
    <row r="437" spans="1:6" ht="15.75" thickBot="1" x14ac:dyDescent="0.3">
      <c r="A437" s="31"/>
      <c r="B437" s="31"/>
      <c r="C437" s="31"/>
      <c r="D437" s="31"/>
      <c r="E437" s="40" t="s">
        <v>140</v>
      </c>
      <c r="F437" s="40" t="s">
        <v>126</v>
      </c>
    </row>
    <row r="438" spans="1:6" ht="15.75" thickBot="1" x14ac:dyDescent="0.3">
      <c r="A438" s="31"/>
      <c r="B438" s="31"/>
      <c r="C438" s="31"/>
      <c r="D438" s="31"/>
      <c r="E438" s="40" t="s">
        <v>140</v>
      </c>
      <c r="F438" s="40" t="s">
        <v>126</v>
      </c>
    </row>
    <row r="439" spans="1:6" ht="15.75" thickBot="1" x14ac:dyDescent="0.3">
      <c r="A439" s="31"/>
      <c r="B439" s="31"/>
      <c r="C439" s="31"/>
      <c r="D439" s="31"/>
      <c r="E439" s="40" t="s">
        <v>140</v>
      </c>
      <c r="F439" s="40" t="s">
        <v>126</v>
      </c>
    </row>
    <row r="440" spans="1:6" ht="15.75" thickBot="1" x14ac:dyDescent="0.3">
      <c r="A440" s="31"/>
      <c r="B440" s="31"/>
      <c r="C440" s="31"/>
      <c r="D440" s="31"/>
      <c r="E440" s="40" t="s">
        <v>140</v>
      </c>
      <c r="F440" s="40" t="s">
        <v>126</v>
      </c>
    </row>
    <row r="441" spans="1:6" ht="15.75" thickBot="1" x14ac:dyDescent="0.3">
      <c r="A441" s="31"/>
      <c r="B441" s="31"/>
      <c r="C441" s="31"/>
      <c r="D441" s="31"/>
      <c r="E441" s="40" t="s">
        <v>140</v>
      </c>
      <c r="F441" s="40" t="s">
        <v>126</v>
      </c>
    </row>
    <row r="442" spans="1:6" ht="15.75" thickBot="1" x14ac:dyDescent="0.3">
      <c r="A442" s="31"/>
      <c r="B442" s="31"/>
      <c r="C442" s="31"/>
      <c r="D442" s="31"/>
      <c r="E442" s="40" t="s">
        <v>140</v>
      </c>
      <c r="F442" s="40" t="s">
        <v>126</v>
      </c>
    </row>
    <row r="443" spans="1:6" ht="15.75" thickBot="1" x14ac:dyDescent="0.3">
      <c r="A443" s="31"/>
      <c r="B443" s="31"/>
      <c r="C443" s="31"/>
      <c r="D443" s="31"/>
      <c r="E443" s="40" t="s">
        <v>140</v>
      </c>
      <c r="F443" s="40" t="s">
        <v>126</v>
      </c>
    </row>
    <row r="444" spans="1:6" ht="15.75" thickBot="1" x14ac:dyDescent="0.3">
      <c r="A444" s="31"/>
      <c r="B444" s="31"/>
      <c r="C444" s="31"/>
      <c r="D444" s="31"/>
      <c r="E444" s="40" t="s">
        <v>140</v>
      </c>
      <c r="F444" s="40" t="s">
        <v>126</v>
      </c>
    </row>
    <row r="445" spans="1:6" ht="15.75" thickBot="1" x14ac:dyDescent="0.3">
      <c r="A445" s="31"/>
      <c r="B445" s="31"/>
      <c r="C445" s="31"/>
      <c r="D445" s="31"/>
      <c r="E445" s="40" t="s">
        <v>140</v>
      </c>
      <c r="F445" s="40" t="s">
        <v>126</v>
      </c>
    </row>
    <row r="446" spans="1:6" ht="15.75" thickBot="1" x14ac:dyDescent="0.3">
      <c r="A446" s="31"/>
      <c r="B446" s="31"/>
      <c r="C446" s="31"/>
      <c r="D446" s="31"/>
      <c r="E446" s="40" t="s">
        <v>140</v>
      </c>
      <c r="F446" s="40" t="s">
        <v>126</v>
      </c>
    </row>
    <row r="447" spans="1:6" ht="15.75" thickBot="1" x14ac:dyDescent="0.3">
      <c r="A447" s="31"/>
      <c r="B447" s="31"/>
      <c r="C447" s="31"/>
      <c r="D447" s="31"/>
      <c r="E447" s="40" t="s">
        <v>140</v>
      </c>
      <c r="F447" s="40" t="s">
        <v>126</v>
      </c>
    </row>
    <row r="448" spans="1:6" ht="15.75" thickBot="1" x14ac:dyDescent="0.3">
      <c r="A448" s="31"/>
      <c r="B448" s="31"/>
      <c r="C448" s="31"/>
      <c r="D448" s="31"/>
      <c r="E448" s="40" t="s">
        <v>140</v>
      </c>
      <c r="F448" s="40" t="s">
        <v>126</v>
      </c>
    </row>
    <row r="449" spans="1:6" ht="15.75" thickBot="1" x14ac:dyDescent="0.3">
      <c r="A449" s="31"/>
      <c r="B449" s="31"/>
      <c r="C449" s="31"/>
      <c r="D449" s="31"/>
      <c r="E449" s="40" t="s">
        <v>140</v>
      </c>
      <c r="F449" s="40" t="s">
        <v>126</v>
      </c>
    </row>
    <row r="450" spans="1:6" ht="15.75" thickBot="1" x14ac:dyDescent="0.3">
      <c r="A450" s="31"/>
      <c r="B450" s="32"/>
      <c r="C450" s="34"/>
      <c r="D450" s="34"/>
      <c r="E450" s="40" t="s">
        <v>140</v>
      </c>
      <c r="F450" s="40" t="s">
        <v>126</v>
      </c>
    </row>
    <row r="451" spans="1:6" ht="15.75" thickBot="1" x14ac:dyDescent="0.3">
      <c r="A451" s="31"/>
      <c r="B451" s="31"/>
      <c r="C451" s="31"/>
      <c r="D451" s="31"/>
      <c r="E451" s="40" t="s">
        <v>140</v>
      </c>
      <c r="F451" s="40" t="s">
        <v>126</v>
      </c>
    </row>
    <row r="452" spans="1:6" ht="15.75" thickBot="1" x14ac:dyDescent="0.3">
      <c r="A452" s="31"/>
      <c r="B452" s="31"/>
      <c r="C452" s="31"/>
      <c r="D452" s="31"/>
      <c r="E452" s="40" t="s">
        <v>140</v>
      </c>
      <c r="F452" s="40" t="s">
        <v>126</v>
      </c>
    </row>
    <row r="453" spans="1:6" ht="15.75" thickBot="1" x14ac:dyDescent="0.3">
      <c r="A453" s="31"/>
      <c r="B453" s="31"/>
      <c r="C453" s="31"/>
      <c r="D453" s="31"/>
      <c r="E453" s="40" t="s">
        <v>140</v>
      </c>
      <c r="F453" s="40" t="s">
        <v>126</v>
      </c>
    </row>
    <row r="454" spans="1:6" ht="15.75" thickBot="1" x14ac:dyDescent="0.3">
      <c r="A454" s="31"/>
      <c r="B454" s="31"/>
      <c r="C454" s="31"/>
      <c r="D454" s="31"/>
      <c r="E454" s="40" t="s">
        <v>140</v>
      </c>
      <c r="F454" s="40" t="s">
        <v>126</v>
      </c>
    </row>
    <row r="455" spans="1:6" ht="15.75" thickBot="1" x14ac:dyDescent="0.3">
      <c r="A455" s="31"/>
      <c r="B455" s="31"/>
      <c r="C455" s="31"/>
      <c r="D455" s="31"/>
      <c r="E455" s="40" t="s">
        <v>140</v>
      </c>
      <c r="F455" s="40" t="s">
        <v>126</v>
      </c>
    </row>
    <row r="456" spans="1:6" ht="15.75" thickBot="1" x14ac:dyDescent="0.3">
      <c r="A456" s="31"/>
      <c r="B456" s="31"/>
      <c r="C456" s="31"/>
      <c r="D456" s="31"/>
      <c r="E456" s="40" t="s">
        <v>140</v>
      </c>
      <c r="F456" s="40" t="s">
        <v>126</v>
      </c>
    </row>
    <row r="457" spans="1:6" ht="15.75" thickBot="1" x14ac:dyDescent="0.3">
      <c r="A457" s="31"/>
      <c r="B457" s="31"/>
      <c r="C457" s="31"/>
      <c r="D457" s="31"/>
      <c r="E457" s="40" t="s">
        <v>140</v>
      </c>
      <c r="F457" s="40" t="s">
        <v>126</v>
      </c>
    </row>
    <row r="458" spans="1:6" ht="15.75" thickBot="1" x14ac:dyDescent="0.3">
      <c r="A458" s="31"/>
      <c r="B458" s="31"/>
      <c r="C458" s="31"/>
      <c r="D458" s="31"/>
      <c r="E458" s="40" t="s">
        <v>140</v>
      </c>
      <c r="F458" s="40" t="s">
        <v>126</v>
      </c>
    </row>
    <row r="459" spans="1:6" ht="15.75" thickBot="1" x14ac:dyDescent="0.3">
      <c r="A459" s="31"/>
      <c r="B459" s="31"/>
      <c r="C459" s="31"/>
      <c r="D459" s="31"/>
      <c r="E459" s="40" t="s">
        <v>140</v>
      </c>
      <c r="F459" s="40" t="s">
        <v>126</v>
      </c>
    </row>
    <row r="460" spans="1:6" ht="15.75" thickBot="1" x14ac:dyDescent="0.3">
      <c r="A460" s="31"/>
      <c r="B460" s="31"/>
      <c r="C460" s="31"/>
      <c r="D460" s="31"/>
      <c r="E460" s="40" t="s">
        <v>140</v>
      </c>
      <c r="F460" s="40" t="s">
        <v>126</v>
      </c>
    </row>
    <row r="461" spans="1:6" ht="15.75" thickBot="1" x14ac:dyDescent="0.3">
      <c r="A461" s="31"/>
      <c r="B461" s="31"/>
      <c r="C461" s="31"/>
      <c r="D461" s="31"/>
      <c r="E461" s="40" t="s">
        <v>140</v>
      </c>
      <c r="F461" s="40" t="s">
        <v>126</v>
      </c>
    </row>
    <row r="462" spans="1:6" ht="15.75" thickBot="1" x14ac:dyDescent="0.3">
      <c r="A462" s="31"/>
      <c r="B462" s="31"/>
      <c r="C462" s="31"/>
      <c r="D462" s="31"/>
      <c r="E462" s="40" t="s">
        <v>140</v>
      </c>
      <c r="F462" s="40" t="s">
        <v>126</v>
      </c>
    </row>
    <row r="463" spans="1:6" ht="15.75" thickBot="1" x14ac:dyDescent="0.3">
      <c r="A463" s="31"/>
      <c r="B463" s="31"/>
      <c r="C463" s="31"/>
      <c r="D463" s="31"/>
      <c r="E463" s="40" t="s">
        <v>140</v>
      </c>
      <c r="F463" s="40" t="s">
        <v>126</v>
      </c>
    </row>
    <row r="464" spans="1:6" ht="15.75" thickBot="1" x14ac:dyDescent="0.3">
      <c r="A464" s="31"/>
      <c r="B464" s="31"/>
      <c r="C464" s="31"/>
      <c r="D464" s="31"/>
      <c r="E464" s="40" t="s">
        <v>140</v>
      </c>
      <c r="F464" s="40" t="s">
        <v>126</v>
      </c>
    </row>
    <row r="465" spans="1:6" ht="15.75" thickBot="1" x14ac:dyDescent="0.3">
      <c r="A465" s="31"/>
      <c r="B465" s="31"/>
      <c r="C465" s="31"/>
      <c r="D465" s="31"/>
      <c r="E465" s="40" t="s">
        <v>140</v>
      </c>
      <c r="F465" s="76" t="s">
        <v>126</v>
      </c>
    </row>
    <row r="466" spans="1:6" ht="15.75" thickBot="1" x14ac:dyDescent="0.3">
      <c r="A466" s="31"/>
      <c r="B466" s="31"/>
      <c r="C466" s="31"/>
      <c r="D466" s="31"/>
      <c r="E466" s="77" t="s">
        <v>140</v>
      </c>
      <c r="F466" s="40" t="s">
        <v>17</v>
      </c>
    </row>
    <row r="467" spans="1:6" ht="15.75" thickBot="1" x14ac:dyDescent="0.3">
      <c r="A467" s="31"/>
      <c r="B467" s="31"/>
      <c r="C467" s="31"/>
      <c r="D467" s="31"/>
      <c r="E467" s="77" t="s">
        <v>140</v>
      </c>
      <c r="F467" s="40" t="s">
        <v>17</v>
      </c>
    </row>
    <row r="468" spans="1:6" ht="15.75" thickBot="1" x14ac:dyDescent="0.3">
      <c r="A468" s="31"/>
      <c r="B468" s="32"/>
      <c r="C468" s="31"/>
      <c r="D468" s="31"/>
      <c r="E468" s="77" t="s">
        <v>140</v>
      </c>
      <c r="F468" s="40" t="s">
        <v>17</v>
      </c>
    </row>
    <row r="469" spans="1:6" ht="15.75" thickBot="1" x14ac:dyDescent="0.3">
      <c r="A469" s="31"/>
      <c r="B469" s="31"/>
      <c r="C469" s="31"/>
      <c r="D469" s="31"/>
      <c r="E469" s="77" t="s">
        <v>140</v>
      </c>
      <c r="F469" s="40" t="s">
        <v>17</v>
      </c>
    </row>
    <row r="470" spans="1:6" ht="15.75" thickBot="1" x14ac:dyDescent="0.3">
      <c r="A470" s="31"/>
      <c r="B470" s="31"/>
      <c r="C470" s="31"/>
      <c r="D470" s="31"/>
      <c r="E470" s="77" t="s">
        <v>140</v>
      </c>
      <c r="F470" s="40" t="s">
        <v>17</v>
      </c>
    </row>
    <row r="471" spans="1:6" ht="15.75" thickBot="1" x14ac:dyDescent="0.3">
      <c r="A471" s="31"/>
      <c r="B471" s="31"/>
      <c r="C471" s="31"/>
      <c r="D471" s="31"/>
      <c r="E471" s="77" t="s">
        <v>140</v>
      </c>
      <c r="F471" s="40" t="s">
        <v>17</v>
      </c>
    </row>
    <row r="472" spans="1:6" ht="15.75" thickBot="1" x14ac:dyDescent="0.3">
      <c r="A472" s="31"/>
      <c r="B472" s="31"/>
      <c r="C472" s="31"/>
      <c r="D472" s="31"/>
      <c r="E472" s="77" t="s">
        <v>140</v>
      </c>
      <c r="F472" s="40" t="s">
        <v>17</v>
      </c>
    </row>
    <row r="473" spans="1:6" ht="15.75" thickBot="1" x14ac:dyDescent="0.3">
      <c r="A473" s="31"/>
      <c r="B473" s="31"/>
      <c r="C473" s="31"/>
      <c r="D473" s="31"/>
      <c r="E473" s="77" t="s">
        <v>140</v>
      </c>
      <c r="F473" s="40" t="s">
        <v>17</v>
      </c>
    </row>
    <row r="474" spans="1:6" ht="15.75" thickBot="1" x14ac:dyDescent="0.3">
      <c r="A474" s="31"/>
      <c r="B474" s="31"/>
      <c r="C474" s="31"/>
      <c r="D474" s="31"/>
      <c r="E474" s="77" t="s">
        <v>140</v>
      </c>
      <c r="F474" s="40" t="s">
        <v>17</v>
      </c>
    </row>
    <row r="475" spans="1:6" ht="15.75" thickBot="1" x14ac:dyDescent="0.3">
      <c r="A475" s="31"/>
      <c r="B475" s="31"/>
      <c r="C475" s="31"/>
      <c r="D475" s="31"/>
      <c r="E475" s="77" t="s">
        <v>140</v>
      </c>
      <c r="F475" s="40" t="s">
        <v>17</v>
      </c>
    </row>
    <row r="476" spans="1:6" ht="15.75" thickBot="1" x14ac:dyDescent="0.3">
      <c r="A476" s="31"/>
      <c r="B476" s="31"/>
      <c r="C476" s="31"/>
      <c r="D476" s="31"/>
      <c r="E476" s="77" t="s">
        <v>140</v>
      </c>
      <c r="F476" s="40" t="s">
        <v>17</v>
      </c>
    </row>
    <row r="477" spans="1:6" ht="15.75" thickBot="1" x14ac:dyDescent="0.3">
      <c r="A477" s="31"/>
      <c r="B477" s="31"/>
      <c r="C477" s="31"/>
      <c r="D477" s="31"/>
      <c r="E477" s="77" t="s">
        <v>140</v>
      </c>
      <c r="F477" s="40" t="s">
        <v>17</v>
      </c>
    </row>
    <row r="478" spans="1:6" ht="15.75" thickBot="1" x14ac:dyDescent="0.3">
      <c r="A478" s="31"/>
      <c r="B478" s="31"/>
      <c r="C478" s="31"/>
      <c r="D478" s="31"/>
      <c r="E478" s="77" t="s">
        <v>140</v>
      </c>
      <c r="F478" s="40" t="s">
        <v>17</v>
      </c>
    </row>
    <row r="479" spans="1:6" ht="15.75" thickBot="1" x14ac:dyDescent="0.3">
      <c r="A479" s="31"/>
      <c r="B479" s="31"/>
      <c r="C479" s="31"/>
      <c r="D479" s="31"/>
      <c r="E479" s="77" t="s">
        <v>140</v>
      </c>
      <c r="F479" s="40" t="s">
        <v>17</v>
      </c>
    </row>
    <row r="480" spans="1:6" ht="15.75" thickBot="1" x14ac:dyDescent="0.3">
      <c r="A480" s="31"/>
      <c r="B480" s="31"/>
      <c r="C480" s="31"/>
      <c r="D480" s="31"/>
      <c r="E480" s="77" t="s">
        <v>140</v>
      </c>
      <c r="F480" s="40" t="s">
        <v>17</v>
      </c>
    </row>
    <row r="481" spans="1:6" ht="15.75" thickBot="1" x14ac:dyDescent="0.3">
      <c r="A481" s="31"/>
      <c r="B481" s="31"/>
      <c r="C481" s="31"/>
      <c r="D481" s="31"/>
      <c r="E481" s="77" t="s">
        <v>140</v>
      </c>
      <c r="F481" s="40" t="s">
        <v>17</v>
      </c>
    </row>
    <row r="482" spans="1:6" ht="15.75" thickBot="1" x14ac:dyDescent="0.3">
      <c r="A482" s="31"/>
      <c r="B482" s="31"/>
      <c r="C482" s="31"/>
      <c r="D482" s="31"/>
      <c r="E482" s="77" t="s">
        <v>140</v>
      </c>
      <c r="F482" s="40" t="s">
        <v>17</v>
      </c>
    </row>
    <row r="483" spans="1:6" ht="15.75" thickBot="1" x14ac:dyDescent="0.3">
      <c r="A483" s="31"/>
      <c r="B483" s="31"/>
      <c r="C483" s="31"/>
      <c r="D483" s="31"/>
      <c r="E483" s="77" t="s">
        <v>140</v>
      </c>
      <c r="F483" s="40" t="s">
        <v>17</v>
      </c>
    </row>
    <row r="484" spans="1:6" ht="15.75" thickBot="1" x14ac:dyDescent="0.3">
      <c r="A484" s="31"/>
      <c r="B484" s="31"/>
      <c r="C484" s="31"/>
      <c r="D484" s="31"/>
      <c r="E484" s="77" t="s">
        <v>140</v>
      </c>
      <c r="F484" s="40" t="s">
        <v>17</v>
      </c>
    </row>
    <row r="485" spans="1:6" ht="15.75" thickBot="1" x14ac:dyDescent="0.3">
      <c r="A485" s="31"/>
      <c r="B485" s="31"/>
      <c r="C485" s="31"/>
      <c r="D485" s="31"/>
      <c r="E485" s="77" t="s">
        <v>140</v>
      </c>
      <c r="F485" s="40" t="s">
        <v>17</v>
      </c>
    </row>
    <row r="486" spans="1:6" ht="15.75" thickBot="1" x14ac:dyDescent="0.3">
      <c r="A486" s="31"/>
      <c r="B486" s="31"/>
      <c r="C486" s="31"/>
      <c r="D486" s="31"/>
      <c r="E486" s="77" t="s">
        <v>140</v>
      </c>
      <c r="F486" s="40" t="s">
        <v>17</v>
      </c>
    </row>
    <row r="487" spans="1:6" ht="15.75" thickBot="1" x14ac:dyDescent="0.3">
      <c r="A487" s="31"/>
      <c r="B487" s="31"/>
      <c r="C487" s="31"/>
      <c r="D487" s="31"/>
      <c r="E487" s="77" t="s">
        <v>140</v>
      </c>
      <c r="F487" s="40" t="s">
        <v>17</v>
      </c>
    </row>
    <row r="488" spans="1:6" ht="15.75" thickBot="1" x14ac:dyDescent="0.3">
      <c r="A488" s="31"/>
      <c r="B488" s="32"/>
      <c r="C488" s="31"/>
      <c r="D488" s="31"/>
      <c r="E488" s="77" t="s">
        <v>140</v>
      </c>
      <c r="F488" s="40" t="s">
        <v>17</v>
      </c>
    </row>
    <row r="489" spans="1:6" ht="15.75" thickBot="1" x14ac:dyDescent="0.3">
      <c r="A489" s="31"/>
      <c r="B489" s="31"/>
      <c r="C489" s="31"/>
      <c r="D489" s="31"/>
      <c r="E489" s="77" t="s">
        <v>140</v>
      </c>
      <c r="F489" s="40" t="s">
        <v>17</v>
      </c>
    </row>
    <row r="490" spans="1:6" ht="15.75" thickBot="1" x14ac:dyDescent="0.3">
      <c r="A490" s="31"/>
      <c r="B490" s="31"/>
      <c r="C490" s="31"/>
      <c r="D490" s="31"/>
      <c r="E490" s="77" t="s">
        <v>140</v>
      </c>
      <c r="F490" s="40" t="s">
        <v>17</v>
      </c>
    </row>
    <row r="491" spans="1:6" ht="15.75" thickBot="1" x14ac:dyDescent="0.3">
      <c r="A491" s="31"/>
      <c r="B491" s="31"/>
      <c r="C491" s="31"/>
      <c r="D491" s="31"/>
      <c r="E491" s="77" t="s">
        <v>140</v>
      </c>
      <c r="F491" s="40" t="s">
        <v>17</v>
      </c>
    </row>
    <row r="492" spans="1:6" ht="15.75" thickBot="1" x14ac:dyDescent="0.3">
      <c r="A492" s="31"/>
      <c r="B492" s="31"/>
      <c r="C492" s="31"/>
      <c r="D492" s="31"/>
      <c r="E492" s="77" t="s">
        <v>140</v>
      </c>
      <c r="F492" s="40" t="s">
        <v>17</v>
      </c>
    </row>
    <row r="493" spans="1:6" ht="15.75" thickBot="1" x14ac:dyDescent="0.3">
      <c r="A493" s="31"/>
      <c r="B493" s="31"/>
      <c r="C493" s="31"/>
      <c r="D493" s="31"/>
      <c r="E493" s="77" t="s">
        <v>140</v>
      </c>
      <c r="F493" s="40" t="s">
        <v>17</v>
      </c>
    </row>
    <row r="494" spans="1:6" ht="15.75" thickBot="1" x14ac:dyDescent="0.3">
      <c r="A494" s="31"/>
      <c r="B494" s="31"/>
      <c r="C494" s="31"/>
      <c r="D494" s="31"/>
      <c r="E494" s="77" t="s">
        <v>140</v>
      </c>
      <c r="F494" s="40" t="s">
        <v>17</v>
      </c>
    </row>
    <row r="495" spans="1:6" ht="15.75" thickBot="1" x14ac:dyDescent="0.3">
      <c r="A495" s="78"/>
      <c r="B495" s="30"/>
      <c r="C495" s="30"/>
      <c r="D495" s="30"/>
      <c r="E495" s="77" t="s">
        <v>140</v>
      </c>
      <c r="F495" s="40" t="s">
        <v>17</v>
      </c>
    </row>
    <row r="496" spans="1:6" ht="15.75" thickBot="1" x14ac:dyDescent="0.3">
      <c r="A496" s="78"/>
      <c r="B496" s="30"/>
      <c r="C496" s="30"/>
      <c r="D496" s="30"/>
      <c r="E496" s="77" t="s">
        <v>140</v>
      </c>
      <c r="F496" s="40" t="s">
        <v>17</v>
      </c>
    </row>
  </sheetData>
  <autoFilter ref="A1:F49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workbookViewId="0">
      <selection activeCell="A26" sqref="A26"/>
    </sheetView>
  </sheetViews>
  <sheetFormatPr baseColWidth="10" defaultRowHeight="15" x14ac:dyDescent="0.25"/>
  <cols>
    <col min="1" max="1" width="63.85546875" style="7" bestFit="1" customWidth="1"/>
    <col min="2" max="2" width="33.28515625" bestFit="1" customWidth="1"/>
    <col min="3" max="3" width="29.42578125" bestFit="1" customWidth="1"/>
    <col min="4" max="4" width="47.5703125" bestFit="1" customWidth="1"/>
  </cols>
  <sheetData>
    <row r="1" spans="1:3" s="7" customFormat="1" ht="15.75" x14ac:dyDescent="0.25">
      <c r="A1" s="109" t="s">
        <v>204</v>
      </c>
      <c r="B1" s="113" t="s">
        <v>776</v>
      </c>
    </row>
    <row r="2" spans="1:3" x14ac:dyDescent="0.25">
      <c r="A2" s="107" t="s">
        <v>19</v>
      </c>
      <c r="B2" s="111" t="s">
        <v>777</v>
      </c>
    </row>
    <row r="3" spans="1:3" x14ac:dyDescent="0.25">
      <c r="A3" s="107" t="s">
        <v>158</v>
      </c>
      <c r="B3" s="111" t="s">
        <v>165</v>
      </c>
    </row>
    <row r="4" spans="1:3" x14ac:dyDescent="0.25">
      <c r="A4" s="107" t="s">
        <v>173</v>
      </c>
      <c r="B4" s="106"/>
      <c r="C4" s="110"/>
    </row>
    <row r="5" spans="1:3" x14ac:dyDescent="0.25">
      <c r="A5" s="107" t="s">
        <v>749</v>
      </c>
      <c r="B5" s="106"/>
    </row>
    <row r="6" spans="1:3" x14ac:dyDescent="0.25">
      <c r="A6" s="107" t="s">
        <v>898</v>
      </c>
      <c r="B6" s="106"/>
    </row>
    <row r="7" spans="1:3" x14ac:dyDescent="0.25">
      <c r="A7" s="107" t="s">
        <v>887</v>
      </c>
      <c r="B7" s="106"/>
    </row>
    <row r="8" spans="1:3" x14ac:dyDescent="0.25">
      <c r="A8" s="107" t="s">
        <v>168</v>
      </c>
      <c r="B8" s="106"/>
    </row>
    <row r="9" spans="1:3" x14ac:dyDescent="0.25">
      <c r="A9" s="107" t="s">
        <v>899</v>
      </c>
      <c r="B9" s="106"/>
    </row>
    <row r="10" spans="1:3" x14ac:dyDescent="0.25">
      <c r="A10" s="107" t="s">
        <v>175</v>
      </c>
      <c r="B10" s="106"/>
    </row>
    <row r="11" spans="1:3" x14ac:dyDescent="0.25">
      <c r="A11" s="107" t="s">
        <v>772</v>
      </c>
      <c r="B11" s="106"/>
    </row>
    <row r="12" spans="1:3" x14ac:dyDescent="0.25">
      <c r="A12" s="107" t="s">
        <v>732</v>
      </c>
      <c r="B12" s="106"/>
    </row>
    <row r="13" spans="1:3" x14ac:dyDescent="0.25">
      <c r="A13" s="112" t="s">
        <v>879</v>
      </c>
      <c r="B13" s="106"/>
    </row>
    <row r="14" spans="1:3" x14ac:dyDescent="0.25">
      <c r="A14" s="107" t="s">
        <v>759</v>
      </c>
      <c r="B14" s="106"/>
    </row>
    <row r="15" spans="1:3" x14ac:dyDescent="0.25">
      <c r="A15" s="112" t="s">
        <v>867</v>
      </c>
      <c r="B15" s="106"/>
    </row>
    <row r="16" spans="1:3" x14ac:dyDescent="0.25">
      <c r="A16" s="111" t="s">
        <v>821</v>
      </c>
      <c r="B16" s="106"/>
    </row>
    <row r="17" spans="1:2" x14ac:dyDescent="0.25">
      <c r="A17" s="107" t="s">
        <v>194</v>
      </c>
      <c r="B17" s="106"/>
    </row>
    <row r="18" spans="1:2" x14ac:dyDescent="0.25">
      <c r="A18" s="112" t="s">
        <v>900</v>
      </c>
      <c r="B18" s="106"/>
    </row>
    <row r="19" spans="1:2" x14ac:dyDescent="0.25">
      <c r="A19" s="112" t="s">
        <v>773</v>
      </c>
      <c r="B19" s="106"/>
    </row>
    <row r="20" spans="1:2" x14ac:dyDescent="0.25">
      <c r="A20" s="107" t="s">
        <v>835</v>
      </c>
      <c r="B20" s="106"/>
    </row>
    <row r="21" spans="1:2" x14ac:dyDescent="0.25">
      <c r="A21" s="107" t="s">
        <v>203</v>
      </c>
      <c r="B21" s="106"/>
    </row>
    <row r="22" spans="1:2" x14ac:dyDescent="0.25">
      <c r="A22" s="112" t="s">
        <v>814</v>
      </c>
      <c r="B22" s="106"/>
    </row>
    <row r="23" spans="1:2" x14ac:dyDescent="0.25">
      <c r="A23" s="107" t="s">
        <v>742</v>
      </c>
      <c r="B23" s="106"/>
    </row>
    <row r="24" spans="1:2" x14ac:dyDescent="0.25">
      <c r="A24" s="107" t="s">
        <v>741</v>
      </c>
      <c r="B24" s="106"/>
    </row>
    <row r="25" spans="1:2" x14ac:dyDescent="0.25">
      <c r="A25" s="107" t="s">
        <v>750</v>
      </c>
      <c r="B25" s="106"/>
    </row>
    <row r="26" spans="1:2" x14ac:dyDescent="0.25">
      <c r="A26" s="107" t="s">
        <v>756</v>
      </c>
      <c r="B26" s="106"/>
    </row>
    <row r="27" spans="1:2" x14ac:dyDescent="0.25">
      <c r="A27" s="107" t="s">
        <v>724</v>
      </c>
      <c r="B27" s="106"/>
    </row>
    <row r="28" spans="1:2" x14ac:dyDescent="0.25">
      <c r="A28" s="112" t="s">
        <v>815</v>
      </c>
      <c r="B28" s="106"/>
    </row>
    <row r="29" spans="1:2" x14ac:dyDescent="0.25">
      <c r="A29" s="112" t="s">
        <v>865</v>
      </c>
      <c r="B29" s="106"/>
    </row>
    <row r="30" spans="1:2" x14ac:dyDescent="0.25">
      <c r="A30" s="107" t="s">
        <v>747</v>
      </c>
      <c r="B30" s="106"/>
    </row>
    <row r="31" spans="1:2" x14ac:dyDescent="0.25">
      <c r="A31" s="107" t="s">
        <v>735</v>
      </c>
      <c r="B31" s="106"/>
    </row>
    <row r="32" spans="1:2" x14ac:dyDescent="0.25">
      <c r="A32" s="107" t="s">
        <v>736</v>
      </c>
      <c r="B32" s="106"/>
    </row>
    <row r="33" spans="1:2" x14ac:dyDescent="0.25">
      <c r="A33" s="112" t="s">
        <v>819</v>
      </c>
      <c r="B33" s="106"/>
    </row>
    <row r="34" spans="1:2" x14ac:dyDescent="0.25">
      <c r="A34" s="112" t="s">
        <v>812</v>
      </c>
      <c r="B34" s="106"/>
    </row>
    <row r="35" spans="1:2" x14ac:dyDescent="0.25">
      <c r="A35" s="108" t="s">
        <v>738</v>
      </c>
      <c r="B35" s="106"/>
    </row>
    <row r="36" spans="1:2" x14ac:dyDescent="0.25">
      <c r="A36" s="107" t="s">
        <v>202</v>
      </c>
      <c r="B36" s="106"/>
    </row>
    <row r="37" spans="1:2" x14ac:dyDescent="0.25">
      <c r="A37" s="107" t="s">
        <v>828</v>
      </c>
      <c r="B37" s="106"/>
    </row>
    <row r="38" spans="1:2" x14ac:dyDescent="0.25">
      <c r="A38" s="111" t="s">
        <v>824</v>
      </c>
      <c r="B38" s="106"/>
    </row>
    <row r="39" spans="1:2" x14ac:dyDescent="0.25">
      <c r="A39" s="112" t="s">
        <v>811</v>
      </c>
      <c r="B39" s="106"/>
    </row>
    <row r="40" spans="1:2" x14ac:dyDescent="0.25">
      <c r="A40" s="107" t="s">
        <v>161</v>
      </c>
      <c r="B40" s="106"/>
    </row>
    <row r="41" spans="1:2" x14ac:dyDescent="0.25">
      <c r="A41" s="107" t="s">
        <v>729</v>
      </c>
      <c r="B41" s="106"/>
    </row>
    <row r="42" spans="1:2" x14ac:dyDescent="0.25">
      <c r="A42" s="107" t="s">
        <v>746</v>
      </c>
      <c r="B42" s="106"/>
    </row>
    <row r="43" spans="1:2" x14ac:dyDescent="0.25">
      <c r="A43" s="107" t="s">
        <v>731</v>
      </c>
      <c r="B43" s="106"/>
    </row>
    <row r="44" spans="1:2" x14ac:dyDescent="0.25">
      <c r="A44" s="120" t="s">
        <v>816</v>
      </c>
      <c r="B44" s="106"/>
    </row>
    <row r="45" spans="1:2" x14ac:dyDescent="0.25">
      <c r="A45" s="107" t="s">
        <v>893</v>
      </c>
      <c r="B45" s="106"/>
    </row>
    <row r="46" spans="1:2" x14ac:dyDescent="0.25">
      <c r="A46" s="107" t="s">
        <v>195</v>
      </c>
      <c r="B46" s="106"/>
    </row>
    <row r="47" spans="1:2" x14ac:dyDescent="0.25">
      <c r="A47" s="107" t="s">
        <v>752</v>
      </c>
      <c r="B47" s="106"/>
    </row>
    <row r="48" spans="1:2" x14ac:dyDescent="0.25">
      <c r="A48" s="107" t="s">
        <v>737</v>
      </c>
      <c r="B48" s="106"/>
    </row>
    <row r="49" spans="1:2" x14ac:dyDescent="0.25">
      <c r="A49" s="107" t="s">
        <v>182</v>
      </c>
      <c r="B49" s="106"/>
    </row>
    <row r="50" spans="1:2" x14ac:dyDescent="0.25">
      <c r="A50" s="111" t="s">
        <v>825</v>
      </c>
      <c r="B50" s="106"/>
    </row>
    <row r="51" spans="1:2" x14ac:dyDescent="0.25">
      <c r="A51" s="107" t="s">
        <v>183</v>
      </c>
      <c r="B51" s="106"/>
    </row>
    <row r="52" spans="1:2" x14ac:dyDescent="0.25">
      <c r="A52" s="107" t="s">
        <v>892</v>
      </c>
      <c r="B52" s="106"/>
    </row>
    <row r="53" spans="1:2" x14ac:dyDescent="0.25">
      <c r="A53" s="107" t="s">
        <v>761</v>
      </c>
      <c r="B53" s="106"/>
    </row>
    <row r="54" spans="1:2" x14ac:dyDescent="0.25">
      <c r="A54" s="107" t="s">
        <v>859</v>
      </c>
      <c r="B54" s="106"/>
    </row>
    <row r="55" spans="1:2" x14ac:dyDescent="0.25">
      <c r="A55" s="107" t="s">
        <v>734</v>
      </c>
      <c r="B55" s="106"/>
    </row>
    <row r="56" spans="1:2" x14ac:dyDescent="0.25">
      <c r="A56" s="107" t="s">
        <v>754</v>
      </c>
      <c r="B56" s="106"/>
    </row>
    <row r="57" spans="1:2" x14ac:dyDescent="0.25">
      <c r="A57" s="107" t="s">
        <v>763</v>
      </c>
      <c r="B57" s="106"/>
    </row>
    <row r="58" spans="1:2" x14ac:dyDescent="0.25">
      <c r="A58" s="107" t="s">
        <v>827</v>
      </c>
      <c r="B58" s="106"/>
    </row>
    <row r="59" spans="1:2" x14ac:dyDescent="0.25">
      <c r="A59" s="107" t="s">
        <v>744</v>
      </c>
      <c r="B59" s="106"/>
    </row>
    <row r="60" spans="1:2" x14ac:dyDescent="0.25">
      <c r="A60" s="107" t="s">
        <v>755</v>
      </c>
      <c r="B60" s="106"/>
    </row>
    <row r="61" spans="1:2" x14ac:dyDescent="0.25">
      <c r="A61" s="111" t="s">
        <v>823</v>
      </c>
      <c r="B61" s="106"/>
    </row>
    <row r="62" spans="1:2" x14ac:dyDescent="0.25">
      <c r="A62" s="107" t="s">
        <v>901</v>
      </c>
      <c r="B62" s="106"/>
    </row>
    <row r="63" spans="1:2" x14ac:dyDescent="0.25">
      <c r="A63" s="107" t="s">
        <v>765</v>
      </c>
      <c r="B63" s="106"/>
    </row>
    <row r="64" spans="1:2" x14ac:dyDescent="0.25">
      <c r="A64" s="107" t="s">
        <v>902</v>
      </c>
      <c r="B64" s="106"/>
    </row>
    <row r="65" spans="1:2" x14ac:dyDescent="0.25">
      <c r="A65" s="107" t="s">
        <v>751</v>
      </c>
      <c r="B65" s="106"/>
    </row>
    <row r="66" spans="1:2" x14ac:dyDescent="0.25">
      <c r="A66" s="107" t="s">
        <v>185</v>
      </c>
      <c r="B66" s="106"/>
    </row>
    <row r="67" spans="1:2" x14ac:dyDescent="0.25">
      <c r="A67" s="111" t="s">
        <v>800</v>
      </c>
      <c r="B67" s="106"/>
    </row>
    <row r="68" spans="1:2" x14ac:dyDescent="0.25">
      <c r="A68" s="108" t="s">
        <v>834</v>
      </c>
      <c r="B68" s="106"/>
    </row>
    <row r="69" spans="1:2" x14ac:dyDescent="0.25">
      <c r="A69" s="107" t="s">
        <v>201</v>
      </c>
      <c r="B69" s="106"/>
    </row>
    <row r="70" spans="1:2" x14ac:dyDescent="0.25">
      <c r="A70" s="107" t="s">
        <v>841</v>
      </c>
      <c r="B70" s="106"/>
    </row>
    <row r="71" spans="1:2" x14ac:dyDescent="0.25">
      <c r="A71" s="111" t="s">
        <v>799</v>
      </c>
      <c r="B71" s="106"/>
    </row>
    <row r="72" spans="1:2" x14ac:dyDescent="0.25">
      <c r="A72" s="107" t="s">
        <v>903</v>
      </c>
      <c r="B72" s="106"/>
    </row>
    <row r="73" spans="1:2" x14ac:dyDescent="0.25">
      <c r="A73" s="111" t="s">
        <v>889</v>
      </c>
      <c r="B73" s="106"/>
    </row>
    <row r="74" spans="1:2" x14ac:dyDescent="0.25">
      <c r="A74" s="107" t="s">
        <v>733</v>
      </c>
      <c r="B74" s="106"/>
    </row>
    <row r="75" spans="1:2" x14ac:dyDescent="0.25">
      <c r="A75" s="107" t="s">
        <v>904</v>
      </c>
      <c r="B75" s="106"/>
    </row>
    <row r="76" spans="1:2" x14ac:dyDescent="0.25">
      <c r="A76" s="107" t="s">
        <v>762</v>
      </c>
      <c r="B76" s="106"/>
    </row>
    <row r="77" spans="1:2" x14ac:dyDescent="0.25">
      <c r="A77" s="107" t="s">
        <v>832</v>
      </c>
      <c r="B77" s="106"/>
    </row>
    <row r="78" spans="1:2" x14ac:dyDescent="0.25">
      <c r="A78" s="107" t="s">
        <v>725</v>
      </c>
      <c r="B78" s="106"/>
    </row>
    <row r="79" spans="1:2" x14ac:dyDescent="0.25">
      <c r="A79" s="107" t="s">
        <v>907</v>
      </c>
      <c r="B79" s="106"/>
    </row>
    <row r="80" spans="1:2" x14ac:dyDescent="0.25">
      <c r="A80" s="107" t="s">
        <v>891</v>
      </c>
      <c r="B80" s="106"/>
    </row>
    <row r="81" spans="1:2" x14ac:dyDescent="0.25">
      <c r="A81" s="107" t="s">
        <v>833</v>
      </c>
      <c r="B81" s="106"/>
    </row>
    <row r="82" spans="1:2" x14ac:dyDescent="0.25">
      <c r="A82" s="107" t="s">
        <v>186</v>
      </c>
      <c r="B82" s="106"/>
    </row>
    <row r="83" spans="1:2" x14ac:dyDescent="0.25">
      <c r="A83" s="107" t="s">
        <v>860</v>
      </c>
      <c r="B83" s="106"/>
    </row>
    <row r="84" spans="1:2" x14ac:dyDescent="0.25">
      <c r="A84" s="107" t="s">
        <v>895</v>
      </c>
      <c r="B84" s="106"/>
    </row>
    <row r="85" spans="1:2" x14ac:dyDescent="0.25">
      <c r="A85" s="107" t="s">
        <v>894</v>
      </c>
      <c r="B85" s="106"/>
    </row>
    <row r="86" spans="1:2" x14ac:dyDescent="0.25">
      <c r="A86" s="107" t="s">
        <v>191</v>
      </c>
      <c r="B86" s="106"/>
    </row>
    <row r="87" spans="1:2" x14ac:dyDescent="0.25">
      <c r="A87" s="107" t="s">
        <v>897</v>
      </c>
      <c r="B87" s="106"/>
    </row>
    <row r="88" spans="1:2" x14ac:dyDescent="0.25">
      <c r="A88" s="112" t="s">
        <v>818</v>
      </c>
      <c r="B88" s="106"/>
    </row>
    <row r="89" spans="1:2" x14ac:dyDescent="0.25">
      <c r="A89" s="107" t="s">
        <v>743</v>
      </c>
      <c r="B89" s="106"/>
    </row>
    <row r="90" spans="1:2" x14ac:dyDescent="0.25">
      <c r="A90" s="107" t="s">
        <v>745</v>
      </c>
      <c r="B90" s="106"/>
    </row>
    <row r="91" spans="1:2" x14ac:dyDescent="0.25">
      <c r="A91" s="107" t="s">
        <v>163</v>
      </c>
      <c r="B91" s="106"/>
    </row>
    <row r="92" spans="1:2" x14ac:dyDescent="0.25">
      <c r="A92" s="107" t="s">
        <v>748</v>
      </c>
      <c r="B92" s="106"/>
    </row>
    <row r="93" spans="1:2" x14ac:dyDescent="0.25">
      <c r="A93" s="107" t="s">
        <v>730</v>
      </c>
      <c r="B93" s="106"/>
    </row>
    <row r="94" spans="1:2" x14ac:dyDescent="0.25">
      <c r="A94" s="107" t="s">
        <v>905</v>
      </c>
      <c r="B94" s="106"/>
    </row>
    <row r="95" spans="1:2" x14ac:dyDescent="0.25">
      <c r="A95" s="111" t="s">
        <v>830</v>
      </c>
      <c r="B95" s="106"/>
    </row>
    <row r="96" spans="1:2" x14ac:dyDescent="0.25">
      <c r="A96" s="107" t="s">
        <v>20</v>
      </c>
      <c r="B96" s="106"/>
    </row>
    <row r="97" spans="1:2" x14ac:dyDescent="0.25">
      <c r="A97" s="107" t="s">
        <v>797</v>
      </c>
      <c r="B97" s="106"/>
    </row>
    <row r="98" spans="1:2" x14ac:dyDescent="0.25">
      <c r="A98" s="107" t="s">
        <v>764</v>
      </c>
      <c r="B98" s="106"/>
    </row>
    <row r="99" spans="1:2" x14ac:dyDescent="0.25">
      <c r="A99" s="111" t="s">
        <v>829</v>
      </c>
      <c r="B99" s="106"/>
    </row>
    <row r="100" spans="1:2" x14ac:dyDescent="0.25">
      <c r="A100" s="112" t="s">
        <v>774</v>
      </c>
      <c r="B100" s="106"/>
    </row>
    <row r="101" spans="1:2" x14ac:dyDescent="0.25">
      <c r="A101" s="107" t="s">
        <v>757</v>
      </c>
      <c r="B101" s="106"/>
    </row>
    <row r="102" spans="1:2" x14ac:dyDescent="0.25">
      <c r="A102" s="107" t="s">
        <v>739</v>
      </c>
      <c r="B102" s="106"/>
    </row>
    <row r="103" spans="1:2" x14ac:dyDescent="0.25">
      <c r="A103" s="107" t="s">
        <v>726</v>
      </c>
      <c r="B103" s="106"/>
    </row>
    <row r="104" spans="1:2" x14ac:dyDescent="0.25">
      <c r="A104" s="107" t="s">
        <v>723</v>
      </c>
      <c r="B104" s="106"/>
    </row>
    <row r="105" spans="1:2" x14ac:dyDescent="0.25">
      <c r="A105" s="111" t="s">
        <v>154</v>
      </c>
      <c r="B105" s="106"/>
    </row>
    <row r="106" spans="1:2" x14ac:dyDescent="0.25">
      <c r="A106" s="107" t="s">
        <v>813</v>
      </c>
      <c r="B106" s="106"/>
    </row>
    <row r="107" spans="1:2" x14ac:dyDescent="0.25">
      <c r="A107" s="107" t="s">
        <v>760</v>
      </c>
      <c r="B107" s="106"/>
    </row>
    <row r="108" spans="1:2" x14ac:dyDescent="0.25">
      <c r="A108" s="107" t="s">
        <v>842</v>
      </c>
      <c r="B108" s="106"/>
    </row>
    <row r="109" spans="1:2" x14ac:dyDescent="0.25">
      <c r="A109" s="107" t="s">
        <v>766</v>
      </c>
      <c r="B109" s="106"/>
    </row>
    <row r="110" spans="1:2" x14ac:dyDescent="0.25">
      <c r="A110" s="112" t="s">
        <v>880</v>
      </c>
      <c r="B110" s="106"/>
    </row>
    <row r="111" spans="1:2" x14ac:dyDescent="0.25">
      <c r="A111" s="107" t="s">
        <v>906</v>
      </c>
      <c r="B111" s="106"/>
    </row>
    <row r="112" spans="1:2" x14ac:dyDescent="0.25">
      <c r="A112" s="107" t="s">
        <v>753</v>
      </c>
      <c r="B112" s="106"/>
    </row>
    <row r="113" spans="1:2" x14ac:dyDescent="0.25">
      <c r="A113" s="107" t="s">
        <v>758</v>
      </c>
      <c r="B113" s="106"/>
    </row>
  </sheetData>
  <autoFilter ref="A1:A107">
    <sortState ref="A2:B113">
      <sortCondition ref="A1:A10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BLANCO</vt:lpstr>
      <vt:lpstr>LOGISTICA</vt:lpstr>
      <vt:lpstr>BIOTECNOLOGIA</vt:lpstr>
      <vt:lpstr>PGA</vt:lpstr>
      <vt:lpstr>PROGRAMACIÓN</vt:lpstr>
      <vt:lpstr>MECATRÓNICA</vt:lpstr>
      <vt:lpstr>CORREOS</vt:lpstr>
      <vt:lpstr>CATALOGO</vt:lpstr>
      <vt:lpstr>BIOTECNOLOGIA!Área_de_impresión</vt:lpstr>
      <vt:lpstr>BLANCO!Área_de_impresión</vt:lpstr>
      <vt:lpstr>LOGISTICA!Área_de_impresión</vt:lpstr>
      <vt:lpstr>MECATRÓNICA!Área_de_impresión</vt:lpstr>
      <vt:lpstr>PGA!Área_de_impresión</vt:lpstr>
      <vt:lpstr>PROGRAMACIÓN!Área_de_impresión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MONCE</cp:lastModifiedBy>
  <cp:lastPrinted>2025-11-05T23:33:54Z</cp:lastPrinted>
  <dcterms:created xsi:type="dcterms:W3CDTF">2017-08-14T13:53:25Z</dcterms:created>
  <dcterms:modified xsi:type="dcterms:W3CDTF">2026-06-16T23:30:55Z</dcterms:modified>
</cp:coreProperties>
</file>