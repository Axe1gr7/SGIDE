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En tramite 23-26" sheetId="1" r:id="rId5"/>
  </sheets>
  <definedNames>
    <definedName hidden="1" localSheetId="0" name="Z_DE148FF4_07CC_4082_B244_F1254485F3AC_.wvu.FilterData">' En tramite 23-26'!$A$3:$BM$244</definedName>
  </definedNames>
  <calcPr/>
  <customWorkbookViews>
    <customWorkbookView activeSheetId="0" maximized="1" windowHeight="0" windowWidth="0" guid="{DE148FF4-07CC-4082-B244-F1254485F3AC}" name="Tabla1 filter view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O152">
      <text>
        <t xml:space="preserve">Usuario de Windows:
cambiar fecha </t>
      </text>
    </comment>
    <comment authorId="0" ref="A46">
      <text>
        <t xml:space="preserve">Usuario de Windows:
se cambio de empresa</t>
      </text>
    </comment>
    <comment authorId="0" ref="A55">
      <text>
        <t xml:space="preserve">Usuario de Windows:
TIMOTEO ESTA ENFERMO CON QUIMIOS </t>
      </text>
    </comment>
    <comment authorId="0" ref="AH168">
      <text>
        <t xml:space="preserve">Usuario de Windows:
hablar con el maestro </t>
      </text>
    </comment>
  </commentList>
</comments>
</file>

<file path=xl/sharedStrings.xml><?xml version="1.0" encoding="utf-8"?>
<sst xmlns="http://schemas.openxmlformats.org/spreadsheetml/2006/main" count="6809" uniqueCount="1854">
  <si>
    <t xml:space="preserve">FECHA DE HOY </t>
  </si>
  <si>
    <t>No. REGISTRO</t>
  </si>
  <si>
    <t>CONSECUTIVO</t>
  </si>
  <si>
    <t>No. CONSTANCIA</t>
  </si>
  <si>
    <t>NOMBRE</t>
  </si>
  <si>
    <t>Nombre Minusculas</t>
  </si>
  <si>
    <t>MATRÍCULA</t>
  </si>
  <si>
    <t>TELÉFONO</t>
  </si>
  <si>
    <t>CORREO ESTUDIANTE</t>
  </si>
  <si>
    <t>GRADO-CARRERA</t>
  </si>
  <si>
    <t>TURNO</t>
  </si>
  <si>
    <t>CARRERA</t>
  </si>
  <si>
    <t>OBSERVACIONES</t>
  </si>
  <si>
    <t>PROCESO</t>
  </si>
  <si>
    <t>EMPRESA</t>
  </si>
  <si>
    <t>SECTOR</t>
  </si>
  <si>
    <t xml:space="preserve">NOMBRE DEL PROYECTO </t>
  </si>
  <si>
    <t>TEL. EMPRESA</t>
  </si>
  <si>
    <t>DIRECCIÓN EMPRESA</t>
  </si>
  <si>
    <t>CORR. EM</t>
  </si>
  <si>
    <t xml:space="preserve">GENERACIÓN </t>
  </si>
  <si>
    <t>H/M</t>
  </si>
  <si>
    <t xml:space="preserve">BECADOS </t>
  </si>
  <si>
    <t xml:space="preserve">MONTO </t>
  </si>
  <si>
    <t>S. PRÁC</t>
  </si>
  <si>
    <t>S. PRÁC.</t>
  </si>
  <si>
    <t>F. INICIO</t>
  </si>
  <si>
    <t xml:space="preserve">DIA </t>
  </si>
  <si>
    <t>MES</t>
  </si>
  <si>
    <t xml:space="preserve">AÑO </t>
  </si>
  <si>
    <t>C.PRES.</t>
  </si>
  <si>
    <t>C.PRES.2</t>
  </si>
  <si>
    <t>F.C.P</t>
  </si>
  <si>
    <t>C. ACEP</t>
  </si>
  <si>
    <t>C. ACEP.</t>
  </si>
  <si>
    <t>F.C.A</t>
  </si>
  <si>
    <t>DIA 3</t>
  </si>
  <si>
    <t>MES4</t>
  </si>
  <si>
    <t>AÑO 5</t>
  </si>
  <si>
    <t>P. TRABJ</t>
  </si>
  <si>
    <t>P. TRABJ.</t>
  </si>
  <si>
    <t>F. P.TR</t>
  </si>
  <si>
    <t>I. INTER</t>
  </si>
  <si>
    <t>I. INTER.</t>
  </si>
  <si>
    <t>F.I.I.</t>
  </si>
  <si>
    <t>F.L. I.I.</t>
  </si>
  <si>
    <t>ESTADO</t>
  </si>
  <si>
    <t>INF. FINAL</t>
  </si>
  <si>
    <t>INF. FINAL6</t>
  </si>
  <si>
    <t>F.I.FINAL</t>
  </si>
  <si>
    <t>ESTADO7</t>
  </si>
  <si>
    <t>R-E-FINAL</t>
  </si>
  <si>
    <t>R-E-FINAL8</t>
  </si>
  <si>
    <t>F.R-E FINAL</t>
  </si>
  <si>
    <t>CONS.T</t>
  </si>
  <si>
    <t>C.T</t>
  </si>
  <si>
    <t>F.C.T</t>
  </si>
  <si>
    <t>DIA2</t>
  </si>
  <si>
    <t>MES2</t>
  </si>
  <si>
    <t>AÑO2</t>
  </si>
  <si>
    <t>PROMEDIO</t>
  </si>
  <si>
    <t>TIEMPO DEL PROCESO</t>
  </si>
  <si>
    <t xml:space="preserve">RESUMEN -OBSERVACIONES </t>
  </si>
  <si>
    <t>CARPETA</t>
  </si>
  <si>
    <t xml:space="preserve">PASO POR CONSTANCIA </t>
  </si>
  <si>
    <t>P.C.</t>
  </si>
  <si>
    <t>001</t>
  </si>
  <si>
    <t xml:space="preserve">PC06/MATUTINO/001/2026 </t>
  </si>
  <si>
    <t>MAGALLÓN MATA BRENDA</t>
  </si>
  <si>
    <t>Magallón Mata Brenda</t>
  </si>
  <si>
    <t>23422070060 249</t>
  </si>
  <si>
    <t>brendamagallon@cecyteq.edu.mx</t>
  </si>
  <si>
    <t>5T0-MECA-BM</t>
  </si>
  <si>
    <t>VESPERTINO</t>
  </si>
  <si>
    <t>MECATRÓNICA</t>
  </si>
  <si>
    <t>CONCLUIDO</t>
  </si>
  <si>
    <t>POLYGON TALLER 3D</t>
  </si>
  <si>
    <t>MICROEMPRESAS</t>
  </si>
  <si>
    <t>x</t>
  </si>
  <si>
    <t xml:space="preserve">AV. PIRAMIDEZ DEL CERRITO 1 </t>
  </si>
  <si>
    <t>polygon3dworkshop@gmail.com</t>
  </si>
  <si>
    <t>23-26</t>
  </si>
  <si>
    <t>MUJER</t>
  </si>
  <si>
    <t>N/A</t>
  </si>
  <si>
    <t>SI</t>
  </si>
  <si>
    <t>ENTREGADO</t>
  </si>
  <si>
    <t xml:space="preserve">ENTREGADO </t>
  </si>
  <si>
    <t>3 meses y 2 días</t>
  </si>
  <si>
    <t>BLOQUE 1</t>
  </si>
  <si>
    <t>P.P.E.C-BLOQUE 1</t>
  </si>
  <si>
    <t>002</t>
  </si>
  <si>
    <t xml:space="preserve">PC06/MATUTINO/002/2026 </t>
  </si>
  <si>
    <t>MARTÍNEZ IGLESIAS JORGE LUIS</t>
  </si>
  <si>
    <t>Martínez Iglesias Jorge Luis</t>
  </si>
  <si>
    <t>jorgemartinez2@cecyteq.edu-mx</t>
  </si>
  <si>
    <t xml:space="preserve">CERTIFICACIÓN </t>
  </si>
  <si>
    <t>CERTIFICACIONES SOLIDWORKS</t>
  </si>
  <si>
    <t>SECTOR PÚBLICO</t>
  </si>
  <si>
    <t xml:space="preserve">AV. CANDILES 317., VALLE REAL RECIDENCIAL C.P.76903 CANDILES QRO. </t>
  </si>
  <si>
    <t>e.armendariz@cecyteq.edu.mx</t>
  </si>
  <si>
    <t>HOMBRE</t>
  </si>
  <si>
    <t>marzo</t>
  </si>
  <si>
    <t>3 meses 1 día</t>
  </si>
  <si>
    <t>003</t>
  </si>
  <si>
    <t xml:space="preserve">PC06/MATUTINO/003/2026 </t>
  </si>
  <si>
    <t>HERNÁNDEZ CÁRDENAS JUAN MANUEL</t>
  </si>
  <si>
    <t>Hernández Cárdenas Juan Manuel</t>
  </si>
  <si>
    <t xml:space="preserve">juanhernadez14@cecyteq.edu.cm </t>
  </si>
  <si>
    <t>5T0-BIO-AM</t>
  </si>
  <si>
    <t>MATUTINO</t>
  </si>
  <si>
    <t>BIOTECNOLOGÍA</t>
  </si>
  <si>
    <t>PROYECTO</t>
  </si>
  <si>
    <t>CECYTEQ-PLANTEL 6 CORREGIDORA.</t>
  </si>
  <si>
    <t xml:space="preserve">PROYECTO DE ELECTRO GERMINACIÓN DE BIZNAGA, BARRIL Y ACITRÓN CON BIOCARBONO </t>
  </si>
  <si>
    <t>teresa.r@cecyteq.edu.mx</t>
  </si>
  <si>
    <t>2 meses 29 días</t>
  </si>
  <si>
    <t>004</t>
  </si>
  <si>
    <t xml:space="preserve">PC06/MATUTINO/004/2026 </t>
  </si>
  <si>
    <t>CERVANTES JUÁREZ RICARDO</t>
  </si>
  <si>
    <t>Cervantes Juárez Ricardo</t>
  </si>
  <si>
    <t>ricardocervantes14@cecyteq.edu.mx</t>
  </si>
  <si>
    <t>PROYECTO BIONERGYQ</t>
  </si>
  <si>
    <t>6 meses y 13 días</t>
  </si>
  <si>
    <t>005</t>
  </si>
  <si>
    <t>PC06/MATUTINO/005/2026</t>
  </si>
  <si>
    <t>MARTÍNEZ HERRERA AIXA GABRIELA</t>
  </si>
  <si>
    <t>Martínez Herrera Aixa Gabriela</t>
  </si>
  <si>
    <t>aixamartinez2@cecyteq.edu.mx</t>
  </si>
  <si>
    <t>5T0-LOG-AM</t>
  </si>
  <si>
    <t>LOGÍSTICA</t>
  </si>
  <si>
    <t>HIELO  GOURMET KOLD</t>
  </si>
  <si>
    <t>PEQUEÑAS EMPRESAS</t>
  </si>
  <si>
    <t xml:space="preserve">AV. CUAUHTÉMOC 4, SANTA BARBARA, EL PUEBLITO </t>
  </si>
  <si>
    <t>administracion@kold.mx</t>
  </si>
  <si>
    <t>2 meses 27 días</t>
  </si>
  <si>
    <t>006</t>
  </si>
  <si>
    <t xml:space="preserve">PC06/MATUTINO/006/2026 </t>
  </si>
  <si>
    <t>SÁNCHEZ MACÍAS GLORIA ALEJANDRA</t>
  </si>
  <si>
    <t>Sánchez Macías Gloria Alejandra</t>
  </si>
  <si>
    <t>gloriasanchez17@cecyteq.edu.mx</t>
  </si>
  <si>
    <t>5T0-PROG-AM</t>
  </si>
  <si>
    <t xml:space="preserve">PROGRAMACIÓN </t>
  </si>
  <si>
    <t xml:space="preserve">INSTITUCIÓN </t>
  </si>
  <si>
    <t>CECYTEQ- DIRECCIÓN GENERAL.</t>
  </si>
  <si>
    <t>PROYECTO DESARROLLO WEB</t>
  </si>
  <si>
    <t>LIC. ZACARIAS OÑATE 13., COL. CIMATARIOS</t>
  </si>
  <si>
    <t>cgalvanb@cecyteq.edu.mx</t>
  </si>
  <si>
    <t>NA</t>
  </si>
  <si>
    <t>3 meses 0 días</t>
  </si>
  <si>
    <t>007</t>
  </si>
  <si>
    <t xml:space="preserve">PC06/MATUTINO/007/2026 </t>
  </si>
  <si>
    <t xml:space="preserve">ARROYO CAMACHO GAEL ANTONIO </t>
  </si>
  <si>
    <t xml:space="preserve">Arroyo Camacho Gael Antonio </t>
  </si>
  <si>
    <t>gaelarroyo3@cecyteq.edu.mx</t>
  </si>
  <si>
    <t>5T0-PGA-AM</t>
  </si>
  <si>
    <t xml:space="preserve">PROCESOS DE GESTIÓN  ADMINISTRATIVA </t>
  </si>
  <si>
    <t>MAQYPO INDUSTRIAL</t>
  </si>
  <si>
    <t xml:space="preserve">ALDAMA 43, FELIPE CARRILLO PUERTO </t>
  </si>
  <si>
    <t>maqypo.ind@gmail.com</t>
  </si>
  <si>
    <t>4 meses 19 días</t>
  </si>
  <si>
    <t>008</t>
  </si>
  <si>
    <t>PC06/MATUTINO/008/2026</t>
  </si>
  <si>
    <t>RAMOS DE JESÚS KARLA ESMERALDA</t>
  </si>
  <si>
    <t>Ramos De Jesús Karla Esmeralda</t>
  </si>
  <si>
    <t>karlaramos28@cecyteq.edu.mx</t>
  </si>
  <si>
    <t>PROYECTO BASE DE DATOS CLINICA</t>
  </si>
  <si>
    <t>yadira.f@cecyteq.edu.mx</t>
  </si>
  <si>
    <t>3 meses 22 días</t>
  </si>
  <si>
    <t>009</t>
  </si>
  <si>
    <t xml:space="preserve">PC06/MATUTINO/009/2026 </t>
  </si>
  <si>
    <t xml:space="preserve">GUERRERO GONZÁLEZ DIEGO FERNANDO </t>
  </si>
  <si>
    <t xml:space="preserve">Guerrero González Diego Fernando </t>
  </si>
  <si>
    <t>diegoguerrero3@cecyteq.edu.mx</t>
  </si>
  <si>
    <t>010</t>
  </si>
  <si>
    <t xml:space="preserve">PC06/MATUTINO/010/2026 </t>
  </si>
  <si>
    <t>MIJANGOS MORENO SAMUEL</t>
  </si>
  <si>
    <t>Mijangos Moreno Samuel</t>
  </si>
  <si>
    <t>samuelmijangos@cecyteq.edu.mx</t>
  </si>
  <si>
    <t>011</t>
  </si>
  <si>
    <t>PC06/MATUTINO/011/2026</t>
  </si>
  <si>
    <t>AMADOR HERNÁNDEZ LUIS ÁNGEL</t>
  </si>
  <si>
    <t>Amador Hernández Luis Ángel</t>
  </si>
  <si>
    <t>luisamador24@cecyteq.edu.mx</t>
  </si>
  <si>
    <t>TU CIBER ESPACIO</t>
  </si>
  <si>
    <t xml:space="preserve">AV. CANDILES 110-D., COL. LOS CANDILES </t>
  </si>
  <si>
    <t>soporte.espaciociber@gmail.com</t>
  </si>
  <si>
    <t>4 meses y 29 días</t>
  </si>
  <si>
    <t>012</t>
  </si>
  <si>
    <t xml:space="preserve">PC06/MATUTINO/012/2026 </t>
  </si>
  <si>
    <t>OLVERA BARCENAS KEVIN EMMANUEL</t>
  </si>
  <si>
    <t>Olvera Barcenas Kevin Emmanuel</t>
  </si>
  <si>
    <t>kevinolvera3@cecyteq.edu.mx</t>
  </si>
  <si>
    <t>M&amp;E MUEBLES Y EQUIPOS PARA OFICINA</t>
  </si>
  <si>
    <t xml:space="preserve">AV. UNIVERSIDAD PONIENTE 174, COL. CENTRO </t>
  </si>
  <si>
    <t>ameneyrow@hotmail.com</t>
  </si>
  <si>
    <t>3 meses 19 días</t>
  </si>
  <si>
    <t>013</t>
  </si>
  <si>
    <t xml:space="preserve">RIOS SÁNCHEZ CALEB UZIEL </t>
  </si>
  <si>
    <t xml:space="preserve">Rios Sánchez Caleb Uziel </t>
  </si>
  <si>
    <t>calebrios@cecyteq.edu.mx</t>
  </si>
  <si>
    <t>EN TRAMITE</t>
  </si>
  <si>
    <t>UNIVERSIDAD TECNOLÓGICA DE QUERÉTARO</t>
  </si>
  <si>
    <t>AV. PIE DE LA CUESTA  #2501</t>
  </si>
  <si>
    <t>arturo.urbiola@uteq.edu.mx</t>
  </si>
  <si>
    <t>014</t>
  </si>
  <si>
    <t xml:space="preserve">PC06/VESPERTINO/013/2026 </t>
  </si>
  <si>
    <t xml:space="preserve">MATA HERRERO JOSÉ ANTONIO </t>
  </si>
  <si>
    <t xml:space="preserve">Mata Herrero José Antonio </t>
  </si>
  <si>
    <t>josemata57@cecyteq.edu.mx</t>
  </si>
  <si>
    <t>5T0-PROG-AV</t>
  </si>
  <si>
    <t>ALARMAS PROSECURITY</t>
  </si>
  <si>
    <t>MEDIANAS EMPRESAS</t>
  </si>
  <si>
    <t xml:space="preserve">JESÚS MA. VAZQUE CANDILES </t>
  </si>
  <si>
    <t>alarmaspro@hotmail.com</t>
  </si>
  <si>
    <t>3 meses y 28 días</t>
  </si>
  <si>
    <t xml:space="preserve">NAVARRO TOLEDO JOSÉ ALEJANDRO </t>
  </si>
  <si>
    <t xml:space="preserve">Navarro Toledo José Alejandro </t>
  </si>
  <si>
    <t>23422070060 504</t>
  </si>
  <si>
    <t>josenavarro66@cecyteq.edu.mx</t>
  </si>
  <si>
    <t>CECYTEQ-PLANTEL 6</t>
  </si>
  <si>
    <t>NO</t>
  </si>
  <si>
    <t>016</t>
  </si>
  <si>
    <t xml:space="preserve">PC06/MATUTINO/014/2026 </t>
  </si>
  <si>
    <t>NIEVES ARIAS MARÍA FERNANDA</t>
  </si>
  <si>
    <t>Nieves Arias María Fernanda</t>
  </si>
  <si>
    <t>marianieves11@cecyteq.edu.mx</t>
  </si>
  <si>
    <t>DSA MAQUINADOS INDUSTRIALES S. DE R.L. DE C.V.</t>
  </si>
  <si>
    <t xml:space="preserve">CALLE SAN MATEO S/N, EL ROSARIO </t>
  </si>
  <si>
    <t>dsamaquinados@gmail.com</t>
  </si>
  <si>
    <t>3 meses 17 días</t>
  </si>
  <si>
    <t>017</t>
  </si>
  <si>
    <t>015</t>
  </si>
  <si>
    <t xml:space="preserve">PC06/MATUTINO/015/2026 </t>
  </si>
  <si>
    <t>HERNÁNDEZ GARCÍA MARÍA JOSÉ</t>
  </si>
  <si>
    <t>Hernández García María José</t>
  </si>
  <si>
    <t>maria.jose@cecyteq.edu.mx</t>
  </si>
  <si>
    <t>018</t>
  </si>
  <si>
    <t xml:space="preserve">PC06/MATUTINO/016/2026 </t>
  </si>
  <si>
    <t>MORALES ORTIZ DANIEL</t>
  </si>
  <si>
    <t>Morales Ortiz Daniel</t>
  </si>
  <si>
    <t>danielmorales79@cecyteq.edu.mx</t>
  </si>
  <si>
    <t>PROYECTO " ASESORÍAS MATEMÁTICAS 1"</t>
  </si>
  <si>
    <t>3 meses y 3 días</t>
  </si>
  <si>
    <t>019</t>
  </si>
  <si>
    <t xml:space="preserve">PC06/MATUTINO/017/2026 </t>
  </si>
  <si>
    <t xml:space="preserve">ESTRELLA GÓMEZ PEDRO EMILIO </t>
  </si>
  <si>
    <t xml:space="preserve">Estrella Gómez Pedro Emilio </t>
  </si>
  <si>
    <t>pedroestrellagomez@cecyteq.edu.mx</t>
  </si>
  <si>
    <t>020</t>
  </si>
  <si>
    <t xml:space="preserve">LUNA MARTÍNEZ GIOVANI ALEJANDRO </t>
  </si>
  <si>
    <t xml:space="preserve">Luna Martínez Giovani Alejandro </t>
  </si>
  <si>
    <t>23422070060 402</t>
  </si>
  <si>
    <t>giovaniluna@cecyteq.edu.mx</t>
  </si>
  <si>
    <t>MINISUPER JAOEHJ</t>
  </si>
  <si>
    <t xml:space="preserve">LOMA DE LA CAÑADA </t>
  </si>
  <si>
    <t>minisuperjapehj@gmail.com</t>
  </si>
  <si>
    <t>021</t>
  </si>
  <si>
    <t>PC06/MATUTINO/018/2026</t>
  </si>
  <si>
    <t xml:space="preserve">VELÁZQUEZ ALVAREZ MARIO IVAN </t>
  </si>
  <si>
    <t xml:space="preserve">Velázquez Alvarez Mario Ivan </t>
  </si>
  <si>
    <t>23422070060 420</t>
  </si>
  <si>
    <t>mariovelazquez6@cecyteq.edu.mx</t>
  </si>
  <si>
    <t>SECRETARIA DEL DEPORTE MUNICIPIO DE QUERÉTARO</t>
  </si>
  <si>
    <t>CALLE ANTONIO CARRANZA 100</t>
  </si>
  <si>
    <t>antonio.rangel@municipiodequeretaro.gob.mx</t>
  </si>
  <si>
    <t>2 meses y 20 días.</t>
  </si>
  <si>
    <t>022</t>
  </si>
  <si>
    <t>OLVERA ZAMORA DIANA LIZETH</t>
  </si>
  <si>
    <t>Olvera Zamora Diana Lizeth</t>
  </si>
  <si>
    <t>23422070060 408</t>
  </si>
  <si>
    <t>dianaolvera1@cecyteq.edu.mx</t>
  </si>
  <si>
    <t>HEMIBASA</t>
  </si>
  <si>
    <t xml:space="preserve">ART.27 CONSTITUCIONAL 9, CASA BLANCA </t>
  </si>
  <si>
    <t>hemibasa@hemibasa.com.mx</t>
  </si>
  <si>
    <t>BLOQUE 2</t>
  </si>
  <si>
    <t xml:space="preserve">P.P.E.C-BLOQUE 1-2  
</t>
  </si>
  <si>
    <t>023</t>
  </si>
  <si>
    <t xml:space="preserve">PC06/VESPERTINO/019/2026 </t>
  </si>
  <si>
    <t xml:space="preserve">ALVAREZ FRANCO DIEGO </t>
  </si>
  <si>
    <t xml:space="preserve">Alvarez Franco Diego </t>
  </si>
  <si>
    <t>23422070060 327</t>
  </si>
  <si>
    <t>diegoalvarez5@gmail.com</t>
  </si>
  <si>
    <t xml:space="preserve">RENTARIA EDIFICACIÓN Y ESTRUCTURA </t>
  </si>
  <si>
    <t xml:space="preserve">EUCALIPOS 1 BODEGA 38 LOS OLVERA </t>
  </si>
  <si>
    <t>Lrenteria@redes-mx.com</t>
  </si>
  <si>
    <t>3 meses</t>
  </si>
  <si>
    <t>024</t>
  </si>
  <si>
    <t xml:space="preserve">PC06/MATUTINO/020/2026 </t>
  </si>
  <si>
    <t xml:space="preserve">TORREJÓN HERNÁNDEZ SANDRA LUCIA </t>
  </si>
  <si>
    <t xml:space="preserve">Torrejón Hernández Sandra Lucia </t>
  </si>
  <si>
    <t>23422070060 418</t>
  </si>
  <si>
    <t>sandratorrejon@cecyteq.edu.mx</t>
  </si>
  <si>
    <t>R MECÁNICOS</t>
  </si>
  <si>
    <t xml:space="preserve">CALLE CHIAPAS 3 </t>
  </si>
  <si>
    <t>rafaelcelmapalacios@gmail.com</t>
  </si>
  <si>
    <t>025</t>
  </si>
  <si>
    <t>PC06/MATUTINO/021/2026</t>
  </si>
  <si>
    <t>CECILIANO MORALES GIOVANNI</t>
  </si>
  <si>
    <t>Ceciliano Morales Giovanni</t>
  </si>
  <si>
    <t>23422070060 436</t>
  </si>
  <si>
    <t>giovanniceciliano@cecyteq.edu.mx</t>
  </si>
  <si>
    <t>TAQUERIA DANY</t>
  </si>
  <si>
    <t>CALLE MARIA TRICHELO COL. UNIÓN 33</t>
  </si>
  <si>
    <t>taqueriadany01@gmail.com</t>
  </si>
  <si>
    <t>06/03./2026</t>
  </si>
  <si>
    <t>026</t>
  </si>
  <si>
    <t>PC06/MATUTINO/022/2026</t>
  </si>
  <si>
    <t xml:space="preserve">FLORES CAMACHO DANA PAOLA </t>
  </si>
  <si>
    <t xml:space="preserve">Flores Camacho Dana Paola </t>
  </si>
  <si>
    <t>23422070060 387</t>
  </si>
  <si>
    <t>danaflores6@cecyteq.edu.mx</t>
  </si>
  <si>
    <t>GRUPO VAGAQUER S.A DE C.V</t>
  </si>
  <si>
    <t xml:space="preserve">CALLE PROGRESO 102 COL.EJIDO EL ORGANAL </t>
  </si>
  <si>
    <t>servicio.vazquez.admon@gmail.com</t>
  </si>
  <si>
    <t>027</t>
  </si>
  <si>
    <t xml:space="preserve">BEÑA ANDALÓN CARLOS ANTONIO </t>
  </si>
  <si>
    <t xml:space="preserve">Beña Andalón Carlos Antonio </t>
  </si>
  <si>
    <t>23422070060 431</t>
  </si>
  <si>
    <t>carlosbrena@cecyteq.edu.mx</t>
  </si>
  <si>
    <t>5T0-PGA-AV</t>
  </si>
  <si>
    <t>FIXMART DE MÉXICO</t>
  </si>
  <si>
    <t>ACCESO A CANDILES 542 INT 18</t>
  </si>
  <si>
    <t>soporte@fixmart.mx</t>
  </si>
  <si>
    <t>028</t>
  </si>
  <si>
    <t xml:space="preserve">PC06/VESPERTINO/023/2026 </t>
  </si>
  <si>
    <t>REYES  GARCÍA CARLOS</t>
  </si>
  <si>
    <t>Reyes  García Carlos</t>
  </si>
  <si>
    <t>23422070060 465</t>
  </si>
  <si>
    <t>carlosreyes114@cecyteq.edu.mx</t>
  </si>
  <si>
    <t>029</t>
  </si>
  <si>
    <t xml:space="preserve">PC06/MATUTINO/024/2026 </t>
  </si>
  <si>
    <t>SEGUNDO LÓPEZ GIOVANNI IMANOL</t>
  </si>
  <si>
    <t>Segundo López Giovanni Imanol</t>
  </si>
  <si>
    <t>23422070060 416</t>
  </si>
  <si>
    <t>giovannisegundo@cecyteq.edu.mx</t>
  </si>
  <si>
    <t xml:space="preserve">ORMEN S.A DE C.V </t>
  </si>
  <si>
    <t>TRATOLI 28 COL. SANTUARIOS EL CERRITO</t>
  </si>
  <si>
    <t>aaronmichel.ormen@gmail.com</t>
  </si>
  <si>
    <t>3 meses y 20 días</t>
  </si>
  <si>
    <t>030</t>
  </si>
  <si>
    <t xml:space="preserve">PC06/VESPERTINO/025/2026 </t>
  </si>
  <si>
    <t>FLYNN TORRES XIMENA ELIZABETH</t>
  </si>
  <si>
    <t>Flynn Torres Ximena Elizabeth</t>
  </si>
  <si>
    <t>23422070060 614</t>
  </si>
  <si>
    <t>ximena.f@cecyteq.edu.mx</t>
  </si>
  <si>
    <t>5T0-MECA-AV</t>
  </si>
  <si>
    <t xml:space="preserve">FABRICACIONES CNC DE QUERÉTARO S.A. DE C.V </t>
  </si>
  <si>
    <t xml:space="preserve">MONTERREY 17 SAN JOSÉ </t>
  </si>
  <si>
    <t>recurso.humano@fabricaciones cnc.com</t>
  </si>
  <si>
    <t>031</t>
  </si>
  <si>
    <t xml:space="preserve">PC06/MATUTINO/026/2026 </t>
  </si>
  <si>
    <t>MERCADO ROMERO JUAN PABLO</t>
  </si>
  <si>
    <t>Mercado Romero Juan Pablo</t>
  </si>
  <si>
    <t>23422070060 030</t>
  </si>
  <si>
    <t>juanmercado18@cecyteq.edu.mx</t>
  </si>
  <si>
    <t>CECYTEQ-PLANTEL 6 CORREGIDORA</t>
  </si>
  <si>
    <t>5 meses 1 día</t>
  </si>
  <si>
    <t>032</t>
  </si>
  <si>
    <t>PC06/MATUTINO/027/2026</t>
  </si>
  <si>
    <t>RESENDIZ REYES NATALIA</t>
  </si>
  <si>
    <t>Resendiz Reyes Natalia</t>
  </si>
  <si>
    <t>23422070060 063</t>
  </si>
  <si>
    <t>nataliaresendiz3@cecyteq.edu.mx</t>
  </si>
  <si>
    <t>FORAPLAST S.A. DE C.V.</t>
  </si>
  <si>
    <t>FRANCISCO VILLA #1535 COL. LAS AMERICAS</t>
  </si>
  <si>
    <t>COMPRAS@FORAPLAST.COM</t>
  </si>
  <si>
    <t>033</t>
  </si>
  <si>
    <t xml:space="preserve">PC06/MATUTINO/028/2026 </t>
  </si>
  <si>
    <t xml:space="preserve">PÉREZ VARGAS MARÍA FERNANDA </t>
  </si>
  <si>
    <t xml:space="preserve">Pérez Vargas María Fernanda </t>
  </si>
  <si>
    <t>23422070060 135</t>
  </si>
  <si>
    <t>mariaperez2@cecyteq.edu.mx</t>
  </si>
  <si>
    <t>VICTORIO CHÁVEZ GIRÓN</t>
  </si>
  <si>
    <t>AV. CIMATARIO NO. 206 COL. LAS PALMAS</t>
  </si>
  <si>
    <t>sellosgiron@hotmail.com</t>
  </si>
  <si>
    <t>CORREGIR</t>
  </si>
  <si>
    <t>3 meses 23 días</t>
  </si>
  <si>
    <t>034</t>
  </si>
  <si>
    <t>PC06/MATUTINO/029/2026</t>
  </si>
  <si>
    <t xml:space="preserve">RODRIGUEZ ARREOLA MIGUEL </t>
  </si>
  <si>
    <t xml:space="preserve">Rodriguez Arreola Miguel </t>
  </si>
  <si>
    <t>23422070060 139</t>
  </si>
  <si>
    <t>migelrodriguez196@cecyteq.edu.mx</t>
  </si>
  <si>
    <t>3 meses 23 día</t>
  </si>
  <si>
    <t>035</t>
  </si>
  <si>
    <t xml:space="preserve">PC06/MATUTINO/030/2026 </t>
  </si>
  <si>
    <t>CARRILLO RAMOS HANNA VANESSA</t>
  </si>
  <si>
    <t>Carrillo Ramos Hanna Vanessa</t>
  </si>
  <si>
    <t>23422070060 332</t>
  </si>
  <si>
    <t>hannacarrillo@cecyteq.edu.com</t>
  </si>
  <si>
    <t>EFICIENCIA EN FRIO AIRE ACONDICIONADO Y REFRIGERACIÓN</t>
  </si>
  <si>
    <t>AMATISTA NO.79 COL.DIAMANTE</t>
  </si>
  <si>
    <t>ontelmo.rdz@hotmail.com</t>
  </si>
  <si>
    <t>12/11/202</t>
  </si>
  <si>
    <t>2 meses y 28 días.</t>
  </si>
  <si>
    <t>036</t>
  </si>
  <si>
    <t>PC06/MATUTINO/031/2026</t>
  </si>
  <si>
    <t xml:space="preserve">VALENCIA GARCÍA  LUCIANO GAEL </t>
  </si>
  <si>
    <t xml:space="preserve">Valencia García  Luciano Gael </t>
  </si>
  <si>
    <t>23422070060 273</t>
  </si>
  <si>
    <t>lucianovalencia@cecyteq.edu.mx</t>
  </si>
  <si>
    <t>037</t>
  </si>
  <si>
    <t xml:space="preserve">PC06/MATUTINO/032/2026 </t>
  </si>
  <si>
    <t>SÁNCHEZ MUÑOZ NÉSTOR YAHEL</t>
  </si>
  <si>
    <t>Sánchez Muñoz Néstor Yahel</t>
  </si>
  <si>
    <t>23422070060 223</t>
  </si>
  <si>
    <t>nestorsanchez12@cecyteq.edu.mx</t>
  </si>
  <si>
    <t>5T0-MECA-AMBI</t>
  </si>
  <si>
    <r>
      <rPr>
        <rFont val="Calibri"/>
        <color theme="1"/>
        <sz val="11.0"/>
      </rPr>
      <t>3 meses y 22 días</t>
    </r>
    <r>
      <rPr>
        <rFont val="Calibri"/>
        <color theme="1"/>
        <sz val="11.0"/>
      </rPr>
      <t>.</t>
    </r>
  </si>
  <si>
    <t>038</t>
  </si>
  <si>
    <t xml:space="preserve">PC06/MATUTINO/033/2026 </t>
  </si>
  <si>
    <t>RODRÍGUEZ FLORES EFRAIN ASAHEL</t>
  </si>
  <si>
    <t>Rodríguez Flores Efrain Asahel</t>
  </si>
  <si>
    <t>23422070060 263</t>
  </si>
  <si>
    <t>efrainrodriguez7@cecyteq.edu.mx</t>
  </si>
  <si>
    <t>4 meses</t>
  </si>
  <si>
    <t>039</t>
  </si>
  <si>
    <t>PC06/MATUTINO/034/2026</t>
  </si>
  <si>
    <t>LÓPEZ BOCANEGRA EDGAR</t>
  </si>
  <si>
    <t>López Bocanegra Edgar</t>
  </si>
  <si>
    <t>23422070060 209</t>
  </si>
  <si>
    <t>edgarlopez126@cecyteq.edu.mx</t>
  </si>
  <si>
    <t>2 meses 30 días</t>
  </si>
  <si>
    <t>040</t>
  </si>
  <si>
    <t xml:space="preserve">PC06/MATUTINO/035/2026 </t>
  </si>
  <si>
    <t>CÓRDOVA RODRÍGUEZ JESÚS RICARDO</t>
  </si>
  <si>
    <t>Córdova Rodríguez Jesús Ricardo</t>
  </si>
  <si>
    <t>23422070060 484</t>
  </si>
  <si>
    <t>jesuscordova45@cecyteq.edu.mx</t>
  </si>
  <si>
    <t>3 meses 4 días</t>
  </si>
  <si>
    <t>041</t>
  </si>
  <si>
    <t>PC06/MATUTINO/036/2026</t>
  </si>
  <si>
    <t>RAMIREZ BASALDÚA EMMANUEL JOSAFAT</t>
  </si>
  <si>
    <t>Ramirez Basaldúa Emmanuel Josafat</t>
  </si>
  <si>
    <t>23422070060 136</t>
  </si>
  <si>
    <t>emmanuelramirez41@cecyteq.edu.mx</t>
  </si>
  <si>
    <t>CAM  DIRECCIÓN DE INSPECCIÓN</t>
  </si>
  <si>
    <t>EX. HACENDA EL CERRITO NO. 100 EL PUEBLITO</t>
  </si>
  <si>
    <t>joslirma@hotmail.com</t>
  </si>
  <si>
    <t>3 meses y 17 días.</t>
  </si>
  <si>
    <t>042</t>
  </si>
  <si>
    <t>PC06/MATUTINO/037/2026</t>
  </si>
  <si>
    <t xml:space="preserve">CABRERA GARCÍA ÁNGEL </t>
  </si>
  <si>
    <t xml:space="preserve">Cabrera García Ángel </t>
  </si>
  <si>
    <t>23422070060 099</t>
  </si>
  <si>
    <t>angelcabrera1@cecyteq.edu.mx</t>
  </si>
  <si>
    <t>043</t>
  </si>
  <si>
    <t xml:space="preserve">PC06/MATUTINO/038/2026 </t>
  </si>
  <si>
    <t>GUILLEN ORTEGA DILAN ALEXANDER</t>
  </si>
  <si>
    <t>Guillen Ortega Dilan Alexander</t>
  </si>
  <si>
    <t>23422070820 167</t>
  </si>
  <si>
    <t>23422070820167@cecyteq.edu.mx</t>
  </si>
  <si>
    <t>COLONOS DE COMPLEJO INDUSTRIAL BALVANERA, A.C.</t>
  </si>
  <si>
    <t>SECTOR SOCIAL</t>
  </si>
  <si>
    <t>DON. JOSE 37 COL.BALVANERA, QUERETARO</t>
  </si>
  <si>
    <t>colonosbalvaneraac@gmail.com</t>
  </si>
  <si>
    <t>3 meses y 27 días.</t>
  </si>
  <si>
    <t>044</t>
  </si>
  <si>
    <t xml:space="preserve">PC06/VESPERTINO/039/2026 </t>
  </si>
  <si>
    <t>CRUZ CAMACHO ARTURO</t>
  </si>
  <si>
    <t>Cruz Camacho Arturo</t>
  </si>
  <si>
    <t>23422070060 527</t>
  </si>
  <si>
    <t>arturocruz21@cecyteq.edu.mx</t>
  </si>
  <si>
    <t>USEBEBQ</t>
  </si>
  <si>
    <t xml:space="preserve">AV. MAGISTERIO NO. 1000, COLINAS DEL CIMATARIO </t>
  </si>
  <si>
    <t>serviciosocial@usebeq.edu.mx</t>
  </si>
  <si>
    <t>3 meses 2 días</t>
  </si>
  <si>
    <t>045</t>
  </si>
  <si>
    <t>PC06/VESPERTINO/040/2026</t>
  </si>
  <si>
    <t xml:space="preserve">URIBE LUNA JORGE UZIEL </t>
  </si>
  <si>
    <t xml:space="preserve">Uribe Luna Jorge Uziel </t>
  </si>
  <si>
    <t>23422070060 563</t>
  </si>
  <si>
    <t>jorgeuribe3@cecyteq.edu.mx</t>
  </si>
  <si>
    <t>046</t>
  </si>
  <si>
    <t xml:space="preserve">PC06/VESPERTINO/041/2026 </t>
  </si>
  <si>
    <t>LÓPEZ HERNÁNDEZ ABRAHAM</t>
  </si>
  <si>
    <t>López Hernández Abraham</t>
  </si>
  <si>
    <t>23422070060 542</t>
  </si>
  <si>
    <t>abrahamlopez1@cecyteq.edu.mx</t>
  </si>
  <si>
    <t>047</t>
  </si>
  <si>
    <t xml:space="preserve">PC06/MATUTINO/042/2026 </t>
  </si>
  <si>
    <t>MARTÍNEZ GARCÍA KARLA YAZMIN</t>
  </si>
  <si>
    <t>Martínez García Karla Yazmin</t>
  </si>
  <si>
    <t>23422070060 215</t>
  </si>
  <si>
    <t>karlamartinez209@cecyteq.edu.mx</t>
  </si>
  <si>
    <t>048</t>
  </si>
  <si>
    <t>PC06/MATUTINO/043/2026</t>
  </si>
  <si>
    <t>JIMÉNEZ ESPARZA PABLO ULISES</t>
  </si>
  <si>
    <t>Jiménez Esparza Pablo Ulises</t>
  </si>
  <si>
    <t>23422070060 581</t>
  </si>
  <si>
    <t>pablojimenez9@cecyteq.edu.mx</t>
  </si>
  <si>
    <t>TÉCNICOS ASOCIADOS</t>
  </si>
  <si>
    <t>JUANA DE ARCO NO.34 COL. LINDA VISTA</t>
  </si>
  <si>
    <t>tecnicos_asociados88@hotmail.com</t>
  </si>
  <si>
    <t>049</t>
  </si>
  <si>
    <t xml:space="preserve">PC06/MATUTINO/044/2026 </t>
  </si>
  <si>
    <t xml:space="preserve">RAMÍREZ ACOSTA ALAN </t>
  </si>
  <si>
    <t xml:space="preserve">Ramírez Acosta Alan </t>
  </si>
  <si>
    <t>23422070060 513</t>
  </si>
  <si>
    <t>771-323-1631</t>
  </si>
  <si>
    <t>alanramirez9@cecyteq.edu.mx</t>
  </si>
  <si>
    <t xml:space="preserve">                 </t>
  </si>
  <si>
    <t>050</t>
  </si>
  <si>
    <t xml:space="preserve">PC06/MATUTINO/045/2026 </t>
  </si>
  <si>
    <t>GÓMEZ CAMACHO DIEGO</t>
  </si>
  <si>
    <t>Gómez Camacho Diego</t>
  </si>
  <si>
    <t>23422070060 202</t>
  </si>
  <si>
    <t>diegogomez59@cecyteq.edu.mx</t>
  </si>
  <si>
    <t>ESCUELA PRIMARIA JAIME TORRES BODET</t>
  </si>
  <si>
    <t xml:space="preserve">AV. 3C S/N LOMAS DE CASA BLANCA </t>
  </si>
  <si>
    <t>22dpro404a@usebeq.edu.mx</t>
  </si>
  <si>
    <t>051</t>
  </si>
  <si>
    <t>PC06/MATUTINO/046/2026</t>
  </si>
  <si>
    <t>PETRILLI ESTRADA LELANI YURITEI</t>
  </si>
  <si>
    <t>Petrilli Estrada Lelani Yuritei</t>
  </si>
  <si>
    <t>23422070060 082</t>
  </si>
  <si>
    <t>leilanipetrilli@cecyteq.edu.mx</t>
  </si>
  <si>
    <t>052</t>
  </si>
  <si>
    <t>PC06/VESPERTINO/047/2026</t>
  </si>
  <si>
    <t>TIMOTEO PÉREZ  MATEO JUDÁ</t>
  </si>
  <si>
    <t>Timoteo Pérez  Mateo Judá</t>
  </si>
  <si>
    <t>23422070060 613</t>
  </si>
  <si>
    <t>mateo.t@cecyteq.edu.mx</t>
  </si>
  <si>
    <t>SIEMENS S.A. DE C.V</t>
  </si>
  <si>
    <t>CIR. BALBANERA Y CARR. LIBRE A CELAYA 76908</t>
  </si>
  <si>
    <t>5 meses y 0 días</t>
  </si>
  <si>
    <t>053</t>
  </si>
  <si>
    <t xml:space="preserve">PC06/VESPERTINO/048/2026 </t>
  </si>
  <si>
    <t xml:space="preserve">GARCIA OLVERA ANTONIO MAXIMILIANO </t>
  </si>
  <si>
    <t xml:space="preserve">Garcia Olvera Antonio Maximiliano </t>
  </si>
  <si>
    <t>23422070060 611</t>
  </si>
  <si>
    <t>antoniogarcia56@cecyteq.edu.mx</t>
  </si>
  <si>
    <t>054</t>
  </si>
  <si>
    <t>PC06/MATUTINO/049/2026</t>
  </si>
  <si>
    <t xml:space="preserve">RUBIO HERNÁNDEZ ALEXANDER </t>
  </si>
  <si>
    <t xml:space="preserve">Rubio Hernández Alexander </t>
  </si>
  <si>
    <t>alexanderrubio@cecyteq.edu.mx</t>
  </si>
  <si>
    <t xml:space="preserve">ELECTRONICA EL GÜERO </t>
  </si>
  <si>
    <t>AV. 18 NO. 830</t>
  </si>
  <si>
    <t>jpuga9495@gmail.com</t>
  </si>
  <si>
    <t>3 meses y 0 días</t>
  </si>
  <si>
    <t>055</t>
  </si>
  <si>
    <t>PC06/VESPERTINO/050/2026</t>
  </si>
  <si>
    <t xml:space="preserve">MORALES PÉREZ SALVDOR </t>
  </si>
  <si>
    <t xml:space="preserve">Morales Pérez Salvdor </t>
  </si>
  <si>
    <t>23422070060 307</t>
  </si>
  <si>
    <t>salvadormorales10@cecyteq.edu.mx</t>
  </si>
  <si>
    <t>MANTENIMIENTO TOTAL</t>
  </si>
  <si>
    <t>PROLONGACIÓN FRAY SEBASTIAN DE GALLEGOS 160</t>
  </si>
  <si>
    <t>zamoramarco13@gmail.com</t>
  </si>
  <si>
    <t>2 meses 22 días</t>
  </si>
  <si>
    <t>056</t>
  </si>
  <si>
    <t>MACIAS RODRIGUEZ YAOTL</t>
  </si>
  <si>
    <t>Macias Rodriguez Yaotl</t>
  </si>
  <si>
    <t>23422070060 494</t>
  </si>
  <si>
    <t>yaotlmacias@cecyteq.edu.mx</t>
  </si>
  <si>
    <t>057</t>
  </si>
  <si>
    <t>PC06/MATUTINO/051/2026</t>
  </si>
  <si>
    <t xml:space="preserve">ROJAS  ZUÑIGA JUAN SEBASTIÁN </t>
  </si>
  <si>
    <t xml:space="preserve">Rojas  Zuñiga Juan Sebastián </t>
  </si>
  <si>
    <t>23422070060 140</t>
  </si>
  <si>
    <t>juanrojas68@cecyteq.edu.mx</t>
  </si>
  <si>
    <t>SERVICIOS INTEGRALES CERMACE</t>
  </si>
  <si>
    <t>VALLE DE PUEBLA 390</t>
  </si>
  <si>
    <t>contacto @ crlimpiezaintegral.com</t>
  </si>
  <si>
    <t>3 meses y 0 días.</t>
  </si>
  <si>
    <t>058</t>
  </si>
  <si>
    <t>PC06/MATUTINO/052/2026</t>
  </si>
  <si>
    <t>INFANTE HERRERA DAVID</t>
  </si>
  <si>
    <t>Infante Herrera David</t>
  </si>
  <si>
    <t>23422070060 124</t>
  </si>
  <si>
    <t>davidinfante@cecyteq.edu.mx</t>
  </si>
  <si>
    <t>PAPELERIA MI ANGELITO</t>
  </si>
  <si>
    <t>HIDALGO N.79 SAN JOSE DE LOS OLVERA</t>
  </si>
  <si>
    <t>papeleriamiangelito1@gmail.com</t>
  </si>
  <si>
    <t>2 meses y 25 días</t>
  </si>
  <si>
    <t>059</t>
  </si>
  <si>
    <t>PC06/MATUTINO/053/2026</t>
  </si>
  <si>
    <t>ANGELES ALVAREZ SOFIA GUADALUPE</t>
  </si>
  <si>
    <t>Angeles Alvarez Sofia Guadalupe</t>
  </si>
  <si>
    <t>23422070060 007</t>
  </si>
  <si>
    <t>sofiaangeles1@cecyteq.edu.mx</t>
  </si>
  <si>
    <t>PROYECTO DE LA ELECTROGERMINACIÓN</t>
  </si>
  <si>
    <t>3 meses y 17 días</t>
  </si>
  <si>
    <t>060</t>
  </si>
  <si>
    <t>PC06/MATUTINO/054/2026</t>
  </si>
  <si>
    <t>VITAL TERRAZAS PEDRO ENRIQUE</t>
  </si>
  <si>
    <t>Vital Terrazas Pedro Enrique</t>
  </si>
  <si>
    <t>23422070060 226</t>
  </si>
  <si>
    <t>pedrovital@cecyteq.edu.mx</t>
  </si>
  <si>
    <t>20/03/20260</t>
  </si>
  <si>
    <t>061</t>
  </si>
  <si>
    <t>PC06/MATUTINO/055/2026</t>
  </si>
  <si>
    <t>TIBURCIO SÁNCHEZ JOSEPH ANGEL</t>
  </si>
  <si>
    <t>Tiburcio Sánchez Joseph Angel</t>
  </si>
  <si>
    <t>23422070060 224</t>
  </si>
  <si>
    <t>josephtiburcio@cecyteq.edu.mx</t>
  </si>
  <si>
    <t>062</t>
  </si>
  <si>
    <t>PC06/MATUTINO/056/2026</t>
  </si>
  <si>
    <t>MORALES OLVERA CESAR GIOVANNI</t>
  </si>
  <si>
    <t>Morales Olvera Cesar Giovanni</t>
  </si>
  <si>
    <t>23422070060 406</t>
  </si>
  <si>
    <t>cesarmorales1@cecyteq.edu.mx</t>
  </si>
  <si>
    <t>CARNICERIA GIONS</t>
  </si>
  <si>
    <t>BLVD. DE LAS AMERICAS 53 TIERRA Y LIBERTAD</t>
  </si>
  <si>
    <t>carniceriagiovis@gmail.com</t>
  </si>
  <si>
    <t>063</t>
  </si>
  <si>
    <t xml:space="preserve">PC06/MATUTINO/057/2026 </t>
  </si>
  <si>
    <t>HERNÁNDEZ LARA KEVIN</t>
  </si>
  <si>
    <t>Hernández Lara Kevin</t>
  </si>
  <si>
    <t>23422070060 206</t>
  </si>
  <si>
    <t>kevinhernandez18@cecyteq.edu.mx</t>
  </si>
  <si>
    <t>064</t>
  </si>
  <si>
    <t>PC06/MATUTINO/058/2026</t>
  </si>
  <si>
    <t>GONZÁLEZ MORALES LUCIA FERNANDA</t>
  </si>
  <si>
    <t>González Morales Lucia Fernanda</t>
  </si>
  <si>
    <t>23422070060 204</t>
  </si>
  <si>
    <t>luciagonzalez11@cecyteq.eu.mx</t>
  </si>
  <si>
    <t>4 meses y 16 días</t>
  </si>
  <si>
    <t>065</t>
  </si>
  <si>
    <t>PC06/MATUTINO/059/2026</t>
  </si>
  <si>
    <t xml:space="preserve">SALVADOR SALVADOR FERNANDO </t>
  </si>
  <si>
    <t xml:space="preserve">Salvador Salvador Fernando </t>
  </si>
  <si>
    <t>23422070060 220</t>
  </si>
  <si>
    <t>fernando salvador 4@cecyteq.edu.mx</t>
  </si>
  <si>
    <t>066</t>
  </si>
  <si>
    <t xml:space="preserve">AGUILLÓN  BEZARES JONATÁN </t>
  </si>
  <si>
    <t xml:space="preserve">Aguillón  Bezares Jonatán </t>
  </si>
  <si>
    <t>23422070060 147</t>
  </si>
  <si>
    <t>jonatanaguillon@cecyteq.edu.mx</t>
  </si>
  <si>
    <t>5T0-LOG-AV</t>
  </si>
  <si>
    <t>GRUPO CELO Y APOLO MÉXICO</t>
  </si>
  <si>
    <t>EJIDO CALERAS DE AMECHE, NAREYA</t>
  </si>
  <si>
    <t>gustavo.ayala@celo.com</t>
  </si>
  <si>
    <t>067</t>
  </si>
  <si>
    <t>SALGADO BAEZA CHRISTOPHER JOSEPH</t>
  </si>
  <si>
    <t>Salgado Baeza Christopher Joseph</t>
  </si>
  <si>
    <t>23422070060 185</t>
  </si>
  <si>
    <t>chistophersalgado@cecyteq.edu.mx</t>
  </si>
  <si>
    <t>068</t>
  </si>
  <si>
    <t>GUTIERREZ MAYA XIMENA LILIAN</t>
  </si>
  <si>
    <t>Gutierrez Maya Ximena Lilian</t>
  </si>
  <si>
    <t>23422070060 116</t>
  </si>
  <si>
    <t>ximenagutierrez8@cecyteq.edu.mx</t>
  </si>
  <si>
    <t xml:space="preserve">MAQUINADOS ORMEN SA DE CV </t>
  </si>
  <si>
    <t>AV. TRATOLI 28 COL. SANTUARIOS DEL CERRITO</t>
  </si>
  <si>
    <t>069</t>
  </si>
  <si>
    <t>PC06/MATUTINO/060/2026</t>
  </si>
  <si>
    <t>FLORES RANGEL JUAN PABLO</t>
  </si>
  <si>
    <t>Flores Rangel Juan Pablo</t>
  </si>
  <si>
    <t>23422070060 200</t>
  </si>
  <si>
    <t>juanflores204@cecyteq.edu.mx</t>
  </si>
  <si>
    <t>070</t>
  </si>
  <si>
    <t>PC06/MATUTINO/061/2026</t>
  </si>
  <si>
    <t>FUENTES RUIZ SEBASTIÁN</t>
  </si>
  <si>
    <t>Fuentes Ruiz Sebastián</t>
  </si>
  <si>
    <t>23422070060 201</t>
  </si>
  <si>
    <t>sebastianfuentes@cecyteq,,edu,mx</t>
  </si>
  <si>
    <t>071</t>
  </si>
  <si>
    <t>PC06/MATUTINO/062/2026</t>
  </si>
  <si>
    <t>CAMACHO OLVERA VÍCTOR DANIEL</t>
  </si>
  <si>
    <t>Camacho Olvera Víctor Daniel</t>
  </si>
  <si>
    <t>23422070060 195</t>
  </si>
  <si>
    <t>victorcamacho9@cecyteq.edu.mx</t>
  </si>
  <si>
    <t>072</t>
  </si>
  <si>
    <t xml:space="preserve">PC06/MATUTINO/063/2026 </t>
  </si>
  <si>
    <t>GONZALEZ RAMÍREZ ANGEL GABRIEL</t>
  </si>
  <si>
    <t>Gonzalez Ramírez Angel Gabriel</t>
  </si>
  <si>
    <t>23422070060 205</t>
  </si>
  <si>
    <t>angelgonzalez27@cecyteq.edu.mx</t>
  </si>
  <si>
    <t>073</t>
  </si>
  <si>
    <t xml:space="preserve">PC06/MATUTINO/064/2026 </t>
  </si>
  <si>
    <t xml:space="preserve">ALARCÓN VERGARA JOSHUA MISAEL </t>
  </si>
  <si>
    <t xml:space="preserve">Alarcón Vergara Joshua Misael </t>
  </si>
  <si>
    <t>23422070060 277</t>
  </si>
  <si>
    <t>joshuaalarcon@cecyteq.edu.mx</t>
  </si>
  <si>
    <t>074</t>
  </si>
  <si>
    <t xml:space="preserve">PC06/MATUTINO/065/2026 </t>
  </si>
  <si>
    <t>OLVERA BARCENAS CRISTIAN GAEL</t>
  </si>
  <si>
    <t>Olvera Barcenas Cristian Gael</t>
  </si>
  <si>
    <t>23422070060 255</t>
  </si>
  <si>
    <t>cristianolvera5@cecyteq.edu.mx</t>
  </si>
  <si>
    <t xml:space="preserve">STI SERVICIOS EN TECNOLOGÍAS DE INFORMACIÓN </t>
  </si>
  <si>
    <t>CRETA502 INT3</t>
  </si>
  <si>
    <t>sti_admiva@hotmail.com</t>
  </si>
  <si>
    <t>075</t>
  </si>
  <si>
    <t>URIBE VELÁZQUEZ SOFIA</t>
  </si>
  <si>
    <t>Uribe Velázquez Sofia</t>
  </si>
  <si>
    <t>23422070060 142</t>
  </si>
  <si>
    <t>sofiauribe1@cecyteq.edu.mx</t>
  </si>
  <si>
    <t>MR. CACHUCHAS BORDADOS</t>
  </si>
  <si>
    <t>AV. CANDILES  S/N CAMINO REAL 76903</t>
  </si>
  <si>
    <t>mrbordados25@gmail.com</t>
  </si>
  <si>
    <t>076</t>
  </si>
  <si>
    <t xml:space="preserve">PC06/MATUTINO/066/2026 </t>
  </si>
  <si>
    <t xml:space="preserve">SAMANO ARGüELLO MARCO ANTONIO </t>
  </si>
  <si>
    <t xml:space="preserve">Samano Argüello Marco Antonio </t>
  </si>
  <si>
    <t>23422070060 221</t>
  </si>
  <si>
    <t>marcosamano1@cecyteq.edu.mx</t>
  </si>
  <si>
    <t>077</t>
  </si>
  <si>
    <t xml:space="preserve">PC06/MATUTINO/067/2026 </t>
  </si>
  <si>
    <t>ARTEAGA BLAS AXEL ANDRÉ</t>
  </si>
  <si>
    <t>Arteaga Blas Axel André</t>
  </si>
  <si>
    <t>23422070060 143</t>
  </si>
  <si>
    <t>axelarteaga@cecyteq.edu.mx</t>
  </si>
  <si>
    <t>078</t>
  </si>
  <si>
    <t>PC06/MATUTINO/068/2026</t>
  </si>
  <si>
    <t>BAUTISTA RANGEL DANA PAOLA</t>
  </si>
  <si>
    <t>Bautista Rangel Dana Paola</t>
  </si>
  <si>
    <t>23422070060 194</t>
  </si>
  <si>
    <t>danabautista1@cecyteq.edu.mx</t>
  </si>
  <si>
    <t>079</t>
  </si>
  <si>
    <t xml:space="preserve">PC06/MATUTINO/069/2026 </t>
  </si>
  <si>
    <t xml:space="preserve">AVILA GONZALEZ FATIMA ANDREA </t>
  </si>
  <si>
    <t xml:space="preserve">Avila Gonzalez Fatima Andrea </t>
  </si>
  <si>
    <t>23422070060 097</t>
  </si>
  <si>
    <t>fatimaavila10@cecyteq.edu.mx</t>
  </si>
  <si>
    <t>MG SUMINISTROS Y CONSTRUCCIÓN</t>
  </si>
  <si>
    <t>P. QUERÉTARO N.36 EL ROMERILLA 1</t>
  </si>
  <si>
    <t>materiales garcia@grupogazam.com</t>
  </si>
  <si>
    <t>3 meses y 6 días</t>
  </si>
  <si>
    <t>080</t>
  </si>
  <si>
    <t>CASTILLO RANGEL DAVID</t>
  </si>
  <si>
    <t>Castillo Rangel David</t>
  </si>
  <si>
    <t>23422070060 196</t>
  </si>
  <si>
    <t>davidcastillo1@cecyteq.edu.mx</t>
  </si>
  <si>
    <t>SOLIDWORKS</t>
  </si>
  <si>
    <t>081</t>
  </si>
  <si>
    <t>PC06/MATUTINO/070/2026</t>
  </si>
  <si>
    <t>LOPÉZ NOLASCO LUIS EDUARDO</t>
  </si>
  <si>
    <t>Lopéz Nolasco Luis Eduardo</t>
  </si>
  <si>
    <t>23422070060 211</t>
  </si>
  <si>
    <t>082</t>
  </si>
  <si>
    <t xml:space="preserve">PC06/MATUTINO/071/2026 </t>
  </si>
  <si>
    <t>RESÉNDIZ MAYA NAOMI</t>
  </si>
  <si>
    <t>Reséndiz Maya Naomi</t>
  </si>
  <si>
    <t>23422070060 576</t>
  </si>
  <si>
    <t>naomiresendiz@cecyteq.edu.mx</t>
  </si>
  <si>
    <t>083</t>
  </si>
  <si>
    <t>PC06/VESPERTINO/072/2026</t>
  </si>
  <si>
    <t>GARCIA MORALES SAUL</t>
  </si>
  <si>
    <t>Garcia Morales Saul</t>
  </si>
  <si>
    <t>23422070060 295</t>
  </si>
  <si>
    <t>saulgarcia58@cecyteq.edu.mx</t>
  </si>
  <si>
    <t>084</t>
  </si>
  <si>
    <t xml:space="preserve">PC06/MATUTINO/073/2026 </t>
  </si>
  <si>
    <t>JUÁREZ LAUREL MARÍA JOSÉ</t>
  </si>
  <si>
    <t>Juárez Laurel María José</t>
  </si>
  <si>
    <t>23422070060 207</t>
  </si>
  <si>
    <t>mariajuarez164@cecyteq.edu.mx</t>
  </si>
  <si>
    <t>01/02/026</t>
  </si>
  <si>
    <t>085</t>
  </si>
  <si>
    <t>PC06/MATUTINO/074/2026</t>
  </si>
  <si>
    <t>SÁNCHEZ DI BELLA YUNUÉN</t>
  </si>
  <si>
    <t>Sánchez Di Bella Yunuén</t>
  </si>
  <si>
    <t>23422070060 222</t>
  </si>
  <si>
    <t>yunuensanchez1@cecyteq.edu.mx</t>
  </si>
  <si>
    <t>086</t>
  </si>
  <si>
    <t xml:space="preserve">PC06/MATUTINO/075/2026 </t>
  </si>
  <si>
    <t>TREJO BALOSTRO ANA SOFÍA</t>
  </si>
  <si>
    <t>Trejo Balostro Ana Sofía</t>
  </si>
  <si>
    <t>23422070060 472</t>
  </si>
  <si>
    <t>anatrejo25@cecyteq.edu.mx</t>
  </si>
  <si>
    <t>DESAZOLVES VANGUARDIA</t>
  </si>
  <si>
    <t>JOSEFA ORTIZ DE DOMINGUEZ  105</t>
  </si>
  <si>
    <t>contacto@desazolvesvanguardia.com</t>
  </si>
  <si>
    <t>3 meses y 1 día.</t>
  </si>
  <si>
    <t>087</t>
  </si>
  <si>
    <t xml:space="preserve">PC06/MATUTINO/076/2026 </t>
  </si>
  <si>
    <t>MIRANDA MENDOZA CARLOS YAIR</t>
  </si>
  <si>
    <t>Miranda Mendoza Carlos Yair</t>
  </si>
  <si>
    <t>23422070060 216</t>
  </si>
  <si>
    <t>carlosmiranda20@cecyteq.edu.mx</t>
  </si>
  <si>
    <t>088</t>
  </si>
  <si>
    <t xml:space="preserve">MARCIAL VELÁZQUEZ GERARDO ISAAC </t>
  </si>
  <si>
    <t xml:space="preserve">Marcial Velázquez Gerardo Isaac </t>
  </si>
  <si>
    <t>23422070060 212</t>
  </si>
  <si>
    <t>gerardomarcial@cecyteq.edu.mx</t>
  </si>
  <si>
    <t>089</t>
  </si>
  <si>
    <t xml:space="preserve">LEDEZMA IBARRA ENRIQUE EMILIANO </t>
  </si>
  <si>
    <t xml:space="preserve">Ledezma Ibarra Enrique Emiliano </t>
  </si>
  <si>
    <t>23422070060 208</t>
  </si>
  <si>
    <t>enriqueledezma@cecyteq.edu.mx</t>
  </si>
  <si>
    <t>090</t>
  </si>
  <si>
    <t xml:space="preserve">MARTINEZ DIAZ SALVADOR </t>
  </si>
  <si>
    <t xml:space="preserve">Martinez Diaz Salvador </t>
  </si>
  <si>
    <t>23422070060 214</t>
  </si>
  <si>
    <t>salvadormartinez23@cecyteq.edu.mx</t>
  </si>
  <si>
    <t>091</t>
  </si>
  <si>
    <t>PC06/MATUTINO/077/2026</t>
  </si>
  <si>
    <t>TRUJILLO BLANCO DANTE ALEXANDER</t>
  </si>
  <si>
    <t>Trujillo Blanco Dante Alexander</t>
  </si>
  <si>
    <t>23422070060 225</t>
  </si>
  <si>
    <t>dantetrujillo@cecyteq.edu.mx</t>
  </si>
  <si>
    <t>092</t>
  </si>
  <si>
    <t>PC06/VESPERTINO/078/2026</t>
  </si>
  <si>
    <t xml:space="preserve">GOMES MOYA DIANA KAREN </t>
  </si>
  <si>
    <t xml:space="preserve">Gomes Moya Diana Karen </t>
  </si>
  <si>
    <t>23422070060 061</t>
  </si>
  <si>
    <t>a</t>
  </si>
  <si>
    <t>6T0-BIO-AV</t>
  </si>
  <si>
    <t>CASA YOTO COMUNIDAD DE APRENDIZAJE</t>
  </si>
  <si>
    <t>SAUCE NO.43 LOS OLVERA</t>
  </si>
  <si>
    <t>fertilsuelo@gmail.com</t>
  </si>
  <si>
    <t>093</t>
  </si>
  <si>
    <t>NAVARRO SERNA AZUL</t>
  </si>
  <si>
    <t>Navarro Serna Azul</t>
  </si>
  <si>
    <t>23422070060 075</t>
  </si>
  <si>
    <t>azulnavarroserna@gmail.com</t>
  </si>
  <si>
    <t>SUELO FERTIL EDUCACIÓN PARA LA SUSTENTABILIDAD A.C.</t>
  </si>
  <si>
    <t>094</t>
  </si>
  <si>
    <t>PC06/VESPERTINO/079/2026</t>
  </si>
  <si>
    <t>MOYA RAMIREZ TAMARA</t>
  </si>
  <si>
    <t>Moya Ramirez Tamara</t>
  </si>
  <si>
    <t>23422070060 074</t>
  </si>
  <si>
    <t>tamaramoya@cecyteq.edu.mx</t>
  </si>
  <si>
    <t>095</t>
  </si>
  <si>
    <t>PC06/MATUTINO/080/2026</t>
  </si>
  <si>
    <t>BECERRIL VELAZCO SCHOENSTATT DENISE</t>
  </si>
  <si>
    <t>Becerril Velazco Schoenstatt Denise</t>
  </si>
  <si>
    <t>23422070060 010</t>
  </si>
  <si>
    <t>schoenstattbecerril@cecyteq.edu.mx</t>
  </si>
  <si>
    <t>6T0-BIO-AM</t>
  </si>
  <si>
    <t>ESCUELA SECUENDARIA GENERAL No.4 BENITO JUÁREZ</t>
  </si>
  <si>
    <t xml:space="preserve">CALLE 37 S/N LOMAS DE CASA BLANCA </t>
  </si>
  <si>
    <t>22des0014e@Usebeq.edu.mx</t>
  </si>
  <si>
    <t>3 meses y 1 día</t>
  </si>
  <si>
    <t>096</t>
  </si>
  <si>
    <t>PC06/MATUTINO/081/2026</t>
  </si>
  <si>
    <t>AMÉZQUITA CASTILLO YASMIN YESENIA</t>
  </si>
  <si>
    <t>Amézquita Castillo Yasmin Yesenia</t>
  </si>
  <si>
    <t>23422070060 006</t>
  </si>
  <si>
    <t>yasminamezquita@cecyteq,edu.mx</t>
  </si>
  <si>
    <t>097</t>
  </si>
  <si>
    <t>PC06/MATUTINO/082/2026</t>
  </si>
  <si>
    <t>CABRERA MORENO JOSSELYN ESTEFANIA</t>
  </si>
  <si>
    <t>Cabrera Moreno Josselyn Estefania</t>
  </si>
  <si>
    <t>23422070060 100</t>
  </si>
  <si>
    <t>josselyncabrera@cecyteq.edu.mx</t>
  </si>
  <si>
    <t>6T0-LOG-AM</t>
  </si>
  <si>
    <t>EMKA MEXICO BESCHLAGTEILE S. DE R.L. DE C.V</t>
  </si>
  <si>
    <t>AV. DE LA CRUZ 103, PARQUE INDUSTRIAL QUERETARO</t>
  </si>
  <si>
    <t>f.lopez@emka.mx</t>
  </si>
  <si>
    <t>3 meses y 16 días</t>
  </si>
  <si>
    <t>098</t>
  </si>
  <si>
    <t xml:space="preserve">RICO CASTREJON GABRIELA MIKEL </t>
  </si>
  <si>
    <t xml:space="preserve">Rico Castrejon Gabriela Mikel </t>
  </si>
  <si>
    <t>23422070060 039</t>
  </si>
  <si>
    <t>gabrielarico3@cecyteq.edu.mx</t>
  </si>
  <si>
    <t>LABORATORIO SCHOENSTATT</t>
  </si>
  <si>
    <t>CAMINO A LOS OLVERA 674</t>
  </si>
  <si>
    <t>schoenstattlaboratorio@gmail.com</t>
  </si>
  <si>
    <t>099</t>
  </si>
  <si>
    <t xml:space="preserve">JUAREZ VALENCIA JUANA GUADALUPE </t>
  </si>
  <si>
    <t xml:space="preserve">Juarez Valencia Juana Guadalupe </t>
  </si>
  <si>
    <t>23422070060 449</t>
  </si>
  <si>
    <t>juanajuarez5@cecyteq.edu.mx</t>
  </si>
  <si>
    <t>6T0-PGA-AV</t>
  </si>
  <si>
    <t xml:space="preserve">FERRO MATERIALES </t>
  </si>
  <si>
    <t>CARRETERA ESTATAL 200, EL MARQUES</t>
  </si>
  <si>
    <t>fm.jroberto@hotmail.com</t>
  </si>
  <si>
    <t>100</t>
  </si>
  <si>
    <t>PC06/VESPERTINO/083/2026</t>
  </si>
  <si>
    <t>RAMIREZ SANCHEZ DULCE SHARI</t>
  </si>
  <si>
    <t>Ramirez Sanchez Dulce Shari</t>
  </si>
  <si>
    <t>23422070060 635</t>
  </si>
  <si>
    <t>23422070060635@cecyteq.edu.mx</t>
  </si>
  <si>
    <t>6T0-PROG-AV</t>
  </si>
  <si>
    <t>CENTRO INTEGRAL DE PREVENCIÓN SOCIAL  III</t>
  </si>
  <si>
    <t xml:space="preserve">JILGEROS NO. 121 COL.LA UNIÓN </t>
  </si>
  <si>
    <t>municipiodequeretaro.gob.mx</t>
  </si>
  <si>
    <t xml:space="preserve">6TO SEMENSTRE </t>
  </si>
  <si>
    <t xml:space="preserve">6To Semenstre </t>
  </si>
  <si>
    <t>101</t>
  </si>
  <si>
    <t>PC06/VESPERTINO/084/2026</t>
  </si>
  <si>
    <t xml:space="preserve">CASTILLO URIBE ALEJANDRO </t>
  </si>
  <si>
    <t xml:space="preserve">Castillo Uribe Alejandro </t>
  </si>
  <si>
    <t>23422070060 573</t>
  </si>
  <si>
    <t>alejandrocastillo16@cecyteq.edu.mx</t>
  </si>
  <si>
    <t>marianela.talavera@uteq.edu.mx</t>
  </si>
  <si>
    <t>3 meses y 10 días</t>
  </si>
  <si>
    <t>102</t>
  </si>
  <si>
    <t>PC06/MATUTINO/085/2026</t>
  </si>
  <si>
    <t xml:space="preserve">DE LEÓN JAIME ALONDRA BELÉN </t>
  </si>
  <si>
    <t xml:space="preserve">De León Jaime Alondra Belén </t>
  </si>
  <si>
    <t>23422070060 056</t>
  </si>
  <si>
    <t>alondrade45@cecyteq.edu.mx</t>
  </si>
  <si>
    <t xml:space="preserve">TAMALES DE CHILE &amp; DE DULCE </t>
  </si>
  <si>
    <t>CAMINO REAL 605. 76903</t>
  </si>
  <si>
    <t xml:space="preserve">tamalesuhergmail.com </t>
  </si>
  <si>
    <t>20/03/026</t>
  </si>
  <si>
    <t>103</t>
  </si>
  <si>
    <t>PC06/MATUTINO/086/2026</t>
  </si>
  <si>
    <t xml:space="preserve">TORRES MORALES ANGEL </t>
  </si>
  <si>
    <t xml:space="preserve">Torres Morales Angel </t>
  </si>
  <si>
    <t>23422070060 272</t>
  </si>
  <si>
    <t>angeltorres2@cecyteq.edu.mx</t>
  </si>
  <si>
    <t>6T0-MECA-BM</t>
  </si>
  <si>
    <t xml:space="preserve">MANTENIMIENTO TOTAL </t>
  </si>
  <si>
    <t>PROL.FRAY SEBASTIAN DE GALLEGOS 160</t>
  </si>
  <si>
    <t>104</t>
  </si>
  <si>
    <t>HUERTA OCAÑA BENJAMIN</t>
  </si>
  <si>
    <t>Huerta Ocaña Benjamin</t>
  </si>
  <si>
    <t>23422070060 242</t>
  </si>
  <si>
    <t>benjaminhuerta@cecyteq.edu.mx</t>
  </si>
  <si>
    <t>105</t>
  </si>
  <si>
    <t>PC06/MATUTINO/087/2026</t>
  </si>
  <si>
    <t>HERNÁNDEZ AVILA ALEJANDRA</t>
  </si>
  <si>
    <t>Hernández Avila Alejandra</t>
  </si>
  <si>
    <t>23422070060 600</t>
  </si>
  <si>
    <t>alejandrahernandez1@cecyteq.edu.mx</t>
  </si>
  <si>
    <t>CLINICA DENTAL DIAMANTE</t>
  </si>
  <si>
    <t>CALLE ANTONIO ACONA NO. 440</t>
  </si>
  <si>
    <t>martinez_tsitned@hotmail.com</t>
  </si>
  <si>
    <t>27/01/20256</t>
  </si>
  <si>
    <t>2 meses y 27 días</t>
  </si>
  <si>
    <t>106</t>
  </si>
  <si>
    <t xml:space="preserve">NIEVES ESPINDOLA PAOLA ANAHI </t>
  </si>
  <si>
    <t xml:space="preserve">Nieves Espindola Paola Anahi </t>
  </si>
  <si>
    <t>23422070060 567</t>
  </si>
  <si>
    <t>paolanieves1@cecyteq.edu.mx</t>
  </si>
  <si>
    <t>CENTRO EDUCATIVO Y CULTURAL DEL ESTADO MANUEL GIMEZ MORIN "</t>
  </si>
  <si>
    <t xml:space="preserve">AV. CONSTITUYENTES ESQ. LUIS PAUTER </t>
  </si>
  <si>
    <t>centro.cultural249@gmail.com</t>
  </si>
  <si>
    <t>107</t>
  </si>
  <si>
    <t xml:space="preserve">RUBIO CARBAJAL ABRAHAM ARTURO </t>
  </si>
  <si>
    <t xml:space="preserve">Rubio Carbajal Abraham Arturo </t>
  </si>
  <si>
    <t>23422070060 559</t>
  </si>
  <si>
    <t>abrahamrubio@gmail.edu.mx</t>
  </si>
  <si>
    <t xml:space="preserve">C.S. LOMAS DE CASA BLANCA </t>
  </si>
  <si>
    <t xml:space="preserve">ABRAHAN CASTELLANOS S/N </t>
  </si>
  <si>
    <t>e.sanchezlab@gmail.com</t>
  </si>
  <si>
    <t>108</t>
  </si>
  <si>
    <t xml:space="preserve">COSSINO MENDOZA JONATHAN </t>
  </si>
  <si>
    <t xml:space="preserve">Cossino Mendoza Jonathan </t>
  </si>
  <si>
    <t>23422070060 586</t>
  </si>
  <si>
    <t>jonathancossino@cecyteq.edu.mx</t>
  </si>
  <si>
    <t>109</t>
  </si>
  <si>
    <t xml:space="preserve">GUERRERO MARTINEZ ALAN </t>
  </si>
  <si>
    <t xml:space="preserve">Guerrero Martinez Alan </t>
  </si>
  <si>
    <t>23422070060 634</t>
  </si>
  <si>
    <t>23422070060634@cecyteq.edu.mx</t>
  </si>
  <si>
    <t xml:space="preserve">SERVICIOS INDUSTRIALES (SIBA) </t>
  </si>
  <si>
    <t xml:space="preserve">HIDALGO NO.5 MANZANA 4 SAN JOSE </t>
  </si>
  <si>
    <t>fernando52u@hotmail.com</t>
  </si>
  <si>
    <t>repetido</t>
  </si>
  <si>
    <t>110</t>
  </si>
  <si>
    <t xml:space="preserve">PC06/MATUTINO/088/2026 </t>
  </si>
  <si>
    <t xml:space="preserve">PIÑA RIVERA AXEL FERNANDO </t>
  </si>
  <si>
    <t xml:space="preserve">Piña Rivera Axel Fernando </t>
  </si>
  <si>
    <t>23422070060 512</t>
  </si>
  <si>
    <t>axelpina4@cecyteq.edu.mx</t>
  </si>
  <si>
    <t>6T0-PROG-AM</t>
  </si>
  <si>
    <t>MUNICIPIO DEL MARQUÉS</t>
  </si>
  <si>
    <t>CARRETERA ESTATL 210, NO. 6301</t>
  </si>
  <si>
    <t>jramirezi@elmarques.gob.mx</t>
  </si>
  <si>
    <t>2 meses y 29 días</t>
  </si>
  <si>
    <t>111</t>
  </si>
  <si>
    <t>CASTAÑON ARREDONDO JULIO CESAR</t>
  </si>
  <si>
    <t>Castañon Arredondo Julio Cesar</t>
  </si>
  <si>
    <t>23422070060 575</t>
  </si>
  <si>
    <t>juliocastañon@cecyteq.edu.mx</t>
  </si>
  <si>
    <t>BIODIGESTOR</t>
  </si>
  <si>
    <t>112</t>
  </si>
  <si>
    <t xml:space="preserve">OLIVARES DE LA CRUZ ASTRID </t>
  </si>
  <si>
    <t xml:space="preserve">Olivares De La Cruz Astrid </t>
  </si>
  <si>
    <t>23422070060 037</t>
  </si>
  <si>
    <t>astridolivares@cecyteq.edu.mx</t>
  </si>
  <si>
    <t>113</t>
  </si>
  <si>
    <t>RODRÍGUEZ FAJARDO NICOLÁS</t>
  </si>
  <si>
    <t>Rodríguez Fajardo Nicolás</t>
  </si>
  <si>
    <t>23422070060 040</t>
  </si>
  <si>
    <t>nicolasrodriguez4@cecyteq.edu.mx</t>
  </si>
  <si>
    <t>114</t>
  </si>
  <si>
    <t>HERNÁNDEZ MARTÍNEZ LUIS CARLOS</t>
  </si>
  <si>
    <t>Hernández Martínez Luis Carlos</t>
  </si>
  <si>
    <t>23422070060 02</t>
  </si>
  <si>
    <t>luishernandez@cecyteq.edu.mx</t>
  </si>
  <si>
    <t>18/05/202</t>
  </si>
  <si>
    <t>115</t>
  </si>
  <si>
    <t xml:space="preserve">PC06/VESPERTINO/089/2026 </t>
  </si>
  <si>
    <t xml:space="preserve">LOPÉZ VERDE LUIS ANGEL </t>
  </si>
  <si>
    <t xml:space="preserve">Lopéz Verde Luis Angel </t>
  </si>
  <si>
    <t>23422070060 301</t>
  </si>
  <si>
    <t>Luislopez25@cecyteq.edu.mx</t>
  </si>
  <si>
    <t>6T0-MECA-AV</t>
  </si>
  <si>
    <t>meses y 1 día</t>
  </si>
  <si>
    <t>116</t>
  </si>
  <si>
    <t xml:space="preserve">PC06/MATUTINO/090/2026 </t>
  </si>
  <si>
    <t xml:space="preserve">JUÁREZ SÁNCHEZ KARLA KARIM </t>
  </si>
  <si>
    <t xml:space="preserve">Juárez Sánchez Karla Karim </t>
  </si>
  <si>
    <t>23422070060 397</t>
  </si>
  <si>
    <t>karlajuarez47@cecyteq.edu.mx</t>
  </si>
  <si>
    <t>6T0-PGA-AM</t>
  </si>
  <si>
    <t>SIEMENS S.A. DE C.V.</t>
  </si>
  <si>
    <t>CARRETERA LIBRE A CELAYA KM 8.25</t>
  </si>
  <si>
    <t>carlos.juarez1@CBRE.com</t>
  </si>
  <si>
    <t>2 meses y 18 días</t>
  </si>
  <si>
    <t>117</t>
  </si>
  <si>
    <t xml:space="preserve">PC06/VESPERTINO/091/2026 </t>
  </si>
  <si>
    <t xml:space="preserve">ANCONA SÁNCHEZ SHAMED ALANNA </t>
  </si>
  <si>
    <t xml:space="preserve">Ancona Sánchez Shamed Alanna </t>
  </si>
  <si>
    <t>23422070060 328</t>
  </si>
  <si>
    <t>shamedancona@cecyteq.edu.mx</t>
  </si>
  <si>
    <t>SMART AE S.A. DE C.V.</t>
  </si>
  <si>
    <t xml:space="preserve">CAM. REAL 274 COL. SAN PABLO </t>
  </si>
  <si>
    <t>contacto@smart.ae.com</t>
  </si>
  <si>
    <t>118</t>
  </si>
  <si>
    <t xml:space="preserve">CRUZ MANDUJANO ANA VICTORIA </t>
  </si>
  <si>
    <t xml:space="preserve">Cruz Mandujano Ana Victoria </t>
  </si>
  <si>
    <t>23422070060 620</t>
  </si>
  <si>
    <t>anacruz1@cecyteq,edu.mx</t>
  </si>
  <si>
    <t xml:space="preserve">GRUPO DECADFIS ASESORÍA CONTABLE </t>
  </si>
  <si>
    <t>HACIENDA MONTENEGRO 33 COL.DE VALLE</t>
  </si>
  <si>
    <t>gruppodecadfis@hotmail.com</t>
  </si>
  <si>
    <t>119</t>
  </si>
  <si>
    <t xml:space="preserve">CADENA LÓPEZ BRIZIA PAOLA </t>
  </si>
  <si>
    <t xml:space="preserve">Cadena López Brizia Paola </t>
  </si>
  <si>
    <t>23422070060 632</t>
  </si>
  <si>
    <t>23422070060632@cecyteq.edu.mx</t>
  </si>
  <si>
    <t>120</t>
  </si>
  <si>
    <t xml:space="preserve">PC06/MATUTINO/092/2026 </t>
  </si>
  <si>
    <t xml:space="preserve">LEDEZMA ARREOLA GUSTAVO ANGEL </t>
  </si>
  <si>
    <t xml:space="preserve">Ledezma Arreola Gustavo Angel </t>
  </si>
  <si>
    <t>23422070060 349</t>
  </si>
  <si>
    <t>gustavoledezma@cecyteq.edu.mx</t>
  </si>
  <si>
    <t>REPARACIÓN EQUIPO ELECTRÓNICO INDUSTRIAL</t>
  </si>
  <si>
    <t xml:space="preserve">CALLE 15 NO. 206 COL. LOMAS DE CASA BLANCA </t>
  </si>
  <si>
    <t>admi.repeei2602@gmail.com</t>
  </si>
  <si>
    <t>121</t>
  </si>
  <si>
    <t>LÓPEZ ERREGUIN JOSHUA ODIN</t>
  </si>
  <si>
    <t>López Erreguin Joshua Odin</t>
  </si>
  <si>
    <t>23422070060 351</t>
  </si>
  <si>
    <t>CENTRO DE ATENCIÓN INFANTIL MELISS</t>
  </si>
  <si>
    <t>FRIDA KALO 13, COL. ALCANFORES</t>
  </si>
  <si>
    <t>jocelyn @melis.academyonline.com.mx</t>
  </si>
  <si>
    <t>122</t>
  </si>
  <si>
    <t>PC06/MATUTINO/093/2026</t>
  </si>
  <si>
    <t>BARRÓN SÁNCHEZ MARÍA JOSÉ</t>
  </si>
  <si>
    <t>Barrón Sánchez María José</t>
  </si>
  <si>
    <t>23422070060 234</t>
  </si>
  <si>
    <t>mariabarron37@cecyteq.edu.mx</t>
  </si>
  <si>
    <t>MC'PITS AUTOMOTIVE</t>
  </si>
  <si>
    <t xml:space="preserve">CALLE 25 NO. 208 B COL. LOMAS DE CASA BLANCA </t>
  </si>
  <si>
    <t>mcpitsrosario@outlook.com</t>
  </si>
  <si>
    <t>COMIDA</t>
  </si>
  <si>
    <t>123</t>
  </si>
  <si>
    <t>FRAGA MORAL JESSICA</t>
  </si>
  <si>
    <t>Fraga Moral Jessica</t>
  </si>
  <si>
    <t>23422070060 110</t>
  </si>
  <si>
    <t>jessicafraga@cecyteq.edu.mx</t>
  </si>
  <si>
    <t>KRONTAINER</t>
  </si>
  <si>
    <t xml:space="preserve">RIO PANUCO 3, EL POCITO, QRO. </t>
  </si>
  <si>
    <t>gustavo.villanueva@kiontainer.com</t>
  </si>
  <si>
    <t>124</t>
  </si>
  <si>
    <t>PACHECO PEZA KENYA</t>
  </si>
  <si>
    <t>Pacheco Peza Kenya</t>
  </si>
  <si>
    <t>23422070060 132</t>
  </si>
  <si>
    <t>kenyapacheco@cecyteq.edu.mx</t>
  </si>
  <si>
    <t>01/12/025</t>
  </si>
  <si>
    <t>125</t>
  </si>
  <si>
    <t xml:space="preserve">PC06/MATUTINO/094/2026 </t>
  </si>
  <si>
    <t>GUERRERO TORRES LUIS DAVID</t>
  </si>
  <si>
    <t>Guerrero Torres Luis David</t>
  </si>
  <si>
    <t>23422070060 156</t>
  </si>
  <si>
    <t>luisguerrero73@cecyteq.edu.mx</t>
  </si>
  <si>
    <t>MAQUINARIA Y REPUESTOS S.A. DE C.V.</t>
  </si>
  <si>
    <t xml:space="preserve">C. CARLOS SEPTIEN GORÁN 44 CIMATARIO </t>
  </si>
  <si>
    <t>rh.futura@outlook.com</t>
  </si>
  <si>
    <t>23-29</t>
  </si>
  <si>
    <t>2 meses y 25 días.</t>
  </si>
  <si>
    <t>126</t>
  </si>
  <si>
    <t>FONSECA GONZALEZ DAVID</t>
  </si>
  <si>
    <t>Fonseca Gonzalez David</t>
  </si>
  <si>
    <t>24422070060 400</t>
  </si>
  <si>
    <t>24422070060100@cecyteq.edu.mx</t>
  </si>
  <si>
    <t>127</t>
  </si>
  <si>
    <t>LÓPEZ SERRANO RODRIGO</t>
  </si>
  <si>
    <t>López Serrano Rodrigo</t>
  </si>
  <si>
    <t>23422070060 452</t>
  </si>
  <si>
    <t>rodrigolopez4q@cecyteq.edu.mx</t>
  </si>
  <si>
    <t>DELEGACIÓN JOSEFA VERGARA Y HERNÁNDEZ</t>
  </si>
  <si>
    <t>CALLE 21 NO. 1000</t>
  </si>
  <si>
    <t>alfredo.cambell@municipiodequeretaro.gob.mx</t>
  </si>
  <si>
    <t>128</t>
  </si>
  <si>
    <t>VEGA SALDAÑA DANIEL</t>
  </si>
  <si>
    <t>Vega Saldaña Daniel</t>
  </si>
  <si>
    <t>23422070060 094</t>
  </si>
  <si>
    <t>danielvega12@cecyteq.edu.mx</t>
  </si>
  <si>
    <t>ZONA VIVA HUERTO URBANO</t>
  </si>
  <si>
    <t xml:space="preserve">PRUDENCIA NO. 479, COL. LA JOYA </t>
  </si>
  <si>
    <t>contacto@zonaviva.org</t>
  </si>
  <si>
    <t>129</t>
  </si>
  <si>
    <t>ALEMÓN GUZMÁN ERANDI</t>
  </si>
  <si>
    <t>Alemón Guzmán Erandi</t>
  </si>
  <si>
    <t>2342200600 04</t>
  </si>
  <si>
    <t>erandialemon@cecyteq.edu.mx</t>
  </si>
  <si>
    <t>130</t>
  </si>
  <si>
    <t xml:space="preserve">PC06/MATUTINO/095/2026 </t>
  </si>
  <si>
    <t>HERNÁNDEZ DELGADILLO GUSTAVO JESÚS</t>
  </si>
  <si>
    <t>Hernández Delgadillo Gustavo Jesús</t>
  </si>
  <si>
    <t>23422070060 490</t>
  </si>
  <si>
    <t>gustavohernandez0@cecyteq.edu.mx</t>
  </si>
  <si>
    <t>131</t>
  </si>
  <si>
    <t>PC06/MATUTINO/096/2026</t>
  </si>
  <si>
    <t>TORRES PADILLA CASSANDRA MAITE</t>
  </si>
  <si>
    <t>Torres Padilla Cassandra Maite</t>
  </si>
  <si>
    <t>23422070060 519</t>
  </si>
  <si>
    <t>cansandratorres1@cecyteq,edu,mx</t>
  </si>
  <si>
    <t>132</t>
  </si>
  <si>
    <t xml:space="preserve">TREJO OLVERA MARIANA </t>
  </si>
  <si>
    <t xml:space="preserve">Trejo Olvera Mariana </t>
  </si>
  <si>
    <t>23422070060 371</t>
  </si>
  <si>
    <t>marianatrejo17@cecyteq.edu.mx</t>
  </si>
  <si>
    <t xml:space="preserve">MAQUINCE S. DE R.L. DE C.V. </t>
  </si>
  <si>
    <t>RTO. QUERÉTARO #16 INT 1 COL. LA SIERRITA</t>
  </si>
  <si>
    <t>maquincelo@prodign.net,mx</t>
  </si>
  <si>
    <t>133</t>
  </si>
  <si>
    <t>LOPEZ MORALES BIBIANA</t>
  </si>
  <si>
    <t>Lopez Morales Bibiana</t>
  </si>
  <si>
    <t>23422070060 502</t>
  </si>
  <si>
    <t>lbibiana679@gmail.com</t>
  </si>
  <si>
    <t>6T0-LOG-AV</t>
  </si>
  <si>
    <t>134</t>
  </si>
  <si>
    <t>MONGE SANTIAGO ENRIQUE</t>
  </si>
  <si>
    <t>Monge Santiago Enrique</t>
  </si>
  <si>
    <t>enriquemonge@cecyteq.edu.mx</t>
  </si>
  <si>
    <t>135</t>
  </si>
  <si>
    <t>LÓPEZ TAVITAS YARETZI</t>
  </si>
  <si>
    <t>López Tavitas Yaretzi</t>
  </si>
  <si>
    <t>23422070060 401</t>
  </si>
  <si>
    <t>yaretzilopez1@cecyteq.edu.mx</t>
  </si>
  <si>
    <t>PONGA TELECOMINICACIONES</t>
  </si>
  <si>
    <t>CIRCUTO DE LOS LAGOS INT. 108</t>
  </si>
  <si>
    <t>jlavadores@ponga.mx</t>
  </si>
  <si>
    <t>136</t>
  </si>
  <si>
    <t xml:space="preserve">OLVERA FONSECA TADEO </t>
  </si>
  <si>
    <t xml:space="preserve">Olvera Fonseca Tadeo </t>
  </si>
  <si>
    <t>23422070060 505</t>
  </si>
  <si>
    <t>tadeoolvera1@cecyteq.edu.mx</t>
  </si>
  <si>
    <t>FISCALÍA GENERAL DEL ESTADO D EQUERÉTARO</t>
  </si>
  <si>
    <t>LATERAL AUTOPISTA MÉXICO- QRO NO. 2060, COL. CEYTIS</t>
  </si>
  <si>
    <t>137</t>
  </si>
  <si>
    <t xml:space="preserve">PC06/MATUTINO/097/2026 </t>
  </si>
  <si>
    <t>ROJAS CERVANTES DULCE IVONNE</t>
  </si>
  <si>
    <t>Rojas Cervantes Dulce Ivonne</t>
  </si>
  <si>
    <t>23422070060 415</t>
  </si>
  <si>
    <t>dulcerojas18@cecyteq.edu.mx</t>
  </si>
  <si>
    <t>DENTAL CLINIC QUERÉTARO</t>
  </si>
  <si>
    <t xml:space="preserve">BERBARDO QUINTANA 21, ALAMOS 2DA SECCIÓN </t>
  </si>
  <si>
    <t>138</t>
  </si>
  <si>
    <t xml:space="preserve">ESQUIVEL LINARES MARIA DE CARMEN </t>
  </si>
  <si>
    <t xml:space="preserve">Esquivel Linares Maria De Carmen </t>
  </si>
  <si>
    <t>23422070060 443</t>
  </si>
  <si>
    <t>mariaesquivel36@36cecyteq.edu.mx</t>
  </si>
  <si>
    <t>INSTITUTO DE INFRAESTRUCTURA FISICA EDUCATIVA DEL ESTADO DE QUERÉTARO</t>
  </si>
  <si>
    <t>4422161276 EXT.101</t>
  </si>
  <si>
    <t>GUATEMALA 2-A LOMAS DE QUERÉTARO</t>
  </si>
  <si>
    <t>aalvarez8@queretaro.gob.mx</t>
  </si>
  <si>
    <t>139</t>
  </si>
  <si>
    <t>MONTES PACHECO EVELYN ABRIL</t>
  </si>
  <si>
    <t>Montes Pacheco Evelyn Abril</t>
  </si>
  <si>
    <t>23422070060 455</t>
  </si>
  <si>
    <t>evelunmontes4@cecyteq.edu.mx</t>
  </si>
  <si>
    <t xml:space="preserve">CALLE:21 H1000 COL. LOMAS DE CASA BLANCA </t>
  </si>
  <si>
    <t>140</t>
  </si>
  <si>
    <t>CERVANTES NAVARRO GABRIEL</t>
  </si>
  <si>
    <t>Cervantes Navarro Gabriel</t>
  </si>
  <si>
    <t>23422070060 437</t>
  </si>
  <si>
    <t>gabrielcervantes8@cecyteq.edu.mx</t>
  </si>
  <si>
    <t xml:space="preserve">MATERIAS PRIMAS, PLASTICOS Y DERIVADOS S.A. DE C.V </t>
  </si>
  <si>
    <t>AUTOPISTA MÉX-QRO</t>
  </si>
  <si>
    <t>joel@materiasprimas.com</t>
  </si>
  <si>
    <t>141</t>
  </si>
  <si>
    <t>DÍAZ QUEZADA JUAN</t>
  </si>
  <si>
    <t>Díaz Quezada Juan</t>
  </si>
  <si>
    <t>23422070060 057</t>
  </si>
  <si>
    <t>juandiaz178@cecyteq.edu.mx</t>
  </si>
  <si>
    <t>CENTRO DE BACHILLERATO TECNOLÓGICO AGROPECUARIO NO. 256</t>
  </si>
  <si>
    <t>CARRETERA PANAMERICANA 197</t>
  </si>
  <si>
    <t>qro.cbta256.depservescdgtaycm.sem.gob.mx</t>
  </si>
  <si>
    <t>142</t>
  </si>
  <si>
    <t>SANCHEZ RAMIREZ JOSUE ADALID</t>
  </si>
  <si>
    <t>Sanchez Ramirez Josue Adalid</t>
  </si>
  <si>
    <t>23422070060 612</t>
  </si>
  <si>
    <t>josue.s@cecyteq.edu.mx</t>
  </si>
  <si>
    <t>INTERCONEXIÓNTECNICA DE MÉXICO</t>
  </si>
  <si>
    <t>BVLR. GOBERNADOR NO. 23</t>
  </si>
  <si>
    <t>s.lopez @itemsa.com.mx</t>
  </si>
  <si>
    <t>143</t>
  </si>
  <si>
    <t xml:space="preserve">PC06/MATUTINO/098/2026 </t>
  </si>
  <si>
    <t>SALAZAR ARIAS GUSTAVO</t>
  </si>
  <si>
    <t>Salazar Arias Gustavo</t>
  </si>
  <si>
    <t>23422070060 268</t>
  </si>
  <si>
    <t>.</t>
  </si>
  <si>
    <t>KIDS KIDS ADONTOPRDIATRA</t>
  </si>
  <si>
    <t xml:space="preserve">HERACLIO CABRERA 58 COL. ENSUEÑO </t>
  </si>
  <si>
    <t>aguirreromo@hotmail.com</t>
  </si>
  <si>
    <t>2 meses y 30 días</t>
  </si>
  <si>
    <t>144</t>
  </si>
  <si>
    <t>GÓMEZ CANEDA AMAIRANI</t>
  </si>
  <si>
    <t>Gómez Caneda Amairani</t>
  </si>
  <si>
    <t>23422070060 572</t>
  </si>
  <si>
    <t>mariaramirez1@cecyteq.edu.mx</t>
  </si>
  <si>
    <t>SERVICIOS DACOMBA</t>
  </si>
  <si>
    <t xml:space="preserve">CORDILLERA 129-95, COL CUMBRES DE ROBLE </t>
  </si>
  <si>
    <t>rhservicios documba@gmail.com</t>
  </si>
  <si>
    <t>145</t>
  </si>
  <si>
    <t xml:space="preserve">AVILEZ ONTIVEROS PAULINA </t>
  </si>
  <si>
    <t xml:space="preserve">Avilez Ontiveros Paulina </t>
  </si>
  <si>
    <t>23422070060 479</t>
  </si>
  <si>
    <t xml:space="preserve">paulinaavilez@cecyteq.edu.mx </t>
  </si>
  <si>
    <t>146</t>
  </si>
  <si>
    <t>RAMÍREZ TORRES MARÍA JOSÉ</t>
  </si>
  <si>
    <t>Ramírez Torres María José</t>
  </si>
  <si>
    <t>23422070060 555</t>
  </si>
  <si>
    <t>147</t>
  </si>
  <si>
    <t xml:space="preserve">TOLEDO RUIZ ISABEL VIANEY </t>
  </si>
  <si>
    <t xml:space="preserve">Toledo Ruiz Isabel Vianey </t>
  </si>
  <si>
    <t>23422070060 597</t>
  </si>
  <si>
    <t>isabeltoledo@cecyteq.edu.mx</t>
  </si>
  <si>
    <t xml:space="preserve">LETICIA SÁNCHEZ RODRIGUEZ </t>
  </si>
  <si>
    <t xml:space="preserve">C. PEÑASCO 104, MISIÓN 76903, CANDILES </t>
  </si>
  <si>
    <t>christian.herrera.msac@hotmail.com</t>
  </si>
  <si>
    <t>148</t>
  </si>
  <si>
    <t>HERRERA MORALES EDGAR EMMANUEL</t>
  </si>
  <si>
    <t>Herrera Morales Edgar Emmanuel</t>
  </si>
  <si>
    <t>23422070060 539</t>
  </si>
  <si>
    <t>edgarherrera9@cecyteq.edu.mx</t>
  </si>
  <si>
    <t>149</t>
  </si>
  <si>
    <t>ROJAS MORALES NAOMI VANESSA</t>
  </si>
  <si>
    <t>Rojas Morales Naomi Vanessa</t>
  </si>
  <si>
    <t>23422070060 468</t>
  </si>
  <si>
    <t>naomi rojas1@cecyteq.edu.mx</t>
  </si>
  <si>
    <t xml:space="preserve">MUELLES Y SUSPENSIONES RANGEL </t>
  </si>
  <si>
    <t xml:space="preserve">CALLE ANTONIO ACONA </t>
  </si>
  <si>
    <t>muellesicnr@gmail.com</t>
  </si>
  <si>
    <t>150</t>
  </si>
  <si>
    <t>MAYA HERRERA ALENJANDRA DESIRÉE</t>
  </si>
  <si>
    <t>Maya Herrera Alenjandra Desirée</t>
  </si>
  <si>
    <t>23422070060 129</t>
  </si>
  <si>
    <t>alejandramaya3@cecyteq.edu.mx</t>
  </si>
  <si>
    <t>SOLINT</t>
  </si>
  <si>
    <t>SENDERO ILUMINADO 2 MILENIO 3</t>
  </si>
  <si>
    <t>151</t>
  </si>
  <si>
    <t xml:space="preserve">PC06/MATUTINO/099/2026 </t>
  </si>
  <si>
    <t>RAZO RAMIREZ LUZ ESTRELLA</t>
  </si>
  <si>
    <t>Razo Ramirez Luz Estrella</t>
  </si>
  <si>
    <t>23422070060 138</t>
  </si>
  <si>
    <t>luzrazi1@cecyteq.edu.mx</t>
  </si>
  <si>
    <t>IMA SERVICIOS COMERCIALES S. DE R.L. DE C.V.</t>
  </si>
  <si>
    <t>VIRREY DE REVILLAGIGEDO 100</t>
  </si>
  <si>
    <t>iornelas@imaservicioscomerciale.com</t>
  </si>
  <si>
    <t>152</t>
  </si>
  <si>
    <t>PC06/MATUTINO/100/2026</t>
  </si>
  <si>
    <t>OLVERA MAYA MELISSA</t>
  </si>
  <si>
    <t>Olvera Maya Melissa</t>
  </si>
  <si>
    <t>23422070060 506</t>
  </si>
  <si>
    <t>melissaolvera1cecyteq.edu.mx</t>
  </si>
  <si>
    <t>SERVICIO DE MANTENIMIENTO Y EQUIPAMIENTO INDUSTRIAL S.A DE C.V.</t>
  </si>
  <si>
    <t xml:space="preserve">FRESNOS 21, LOS OLVERA CORREGIDORA </t>
  </si>
  <si>
    <t>admdrsindustrial@gmail.com</t>
  </si>
  <si>
    <t>3 meses y 22 días</t>
  </si>
  <si>
    <t>153</t>
  </si>
  <si>
    <t>HERRERA MOSQUERA ALONDRA</t>
  </si>
  <si>
    <t>Herrera Mosquera Alondra</t>
  </si>
  <si>
    <t>23422070060 393</t>
  </si>
  <si>
    <t>alondraherrera10@cecyteq.edu.mx</t>
  </si>
  <si>
    <t>GRUPO MEDICO SAN FRANCISCO S.A DE C.V.</t>
  </si>
  <si>
    <t>JUAN CABALLERO Y OCIO 397 COL. EL CORTIJO C.P. 76020</t>
  </si>
  <si>
    <t>administración@clinicasanfrancisco.com.mx</t>
  </si>
  <si>
    <t>154</t>
  </si>
  <si>
    <t>PC06/MATUTINO/101/2026</t>
  </si>
  <si>
    <t>ESPINOZA OLVERA JOSE IGNACIO</t>
  </si>
  <si>
    <t>Espinoza Olvera Jose Ignacio</t>
  </si>
  <si>
    <t>23422070060 108</t>
  </si>
  <si>
    <t>joseespinoza6@cecyteq.edu.mx</t>
  </si>
  <si>
    <t>GRUPO MAQUELO S. DE R.L. DE C.V</t>
  </si>
  <si>
    <t>SEGUNDA PRIVADA SAN PEDRO</t>
  </si>
  <si>
    <t>daniel. Garcia @maquelo.com</t>
  </si>
  <si>
    <t>155</t>
  </si>
  <si>
    <t>HERNÁNDEZ HERRERA AYLEN YARELI</t>
  </si>
  <si>
    <t>Hernández Herrera Aylen Yareli</t>
  </si>
  <si>
    <t>23422070060 159</t>
  </si>
  <si>
    <t>aylenhernandez1@cecyteq.edu.mx</t>
  </si>
  <si>
    <t>DIFARMER</t>
  </si>
  <si>
    <t>PARQUE TECNOLÓGICO INNOCACIÓN QUERÉTARO</t>
  </si>
  <si>
    <t>auxiliarlogisticaqueretaro@difamer.com</t>
  </si>
  <si>
    <t>156</t>
  </si>
  <si>
    <t>MOYA RANGEL CARLOS IVAN</t>
  </si>
  <si>
    <t>Moya Rangel Carlos Ivan</t>
  </si>
  <si>
    <t>23422070060 173</t>
  </si>
  <si>
    <t>carlosmoya4@cecyteq.edu.mx</t>
  </si>
  <si>
    <t>MOYÁ MOLD MAKERS</t>
  </si>
  <si>
    <t xml:space="preserve">CARR. A LA MPURISIMA , PURISIMA DE SAN RAFAEL </t>
  </si>
  <si>
    <t>compras@moya.mx</t>
  </si>
  <si>
    <t>157</t>
  </si>
  <si>
    <t>MOYA RANGEL JOSÉ FABIAN</t>
  </si>
  <si>
    <t>Moya Rangel José Fabian</t>
  </si>
  <si>
    <t>23422070060 174</t>
  </si>
  <si>
    <t>josemoya13@cecyteq.edu.mx</t>
  </si>
  <si>
    <t>158</t>
  </si>
  <si>
    <t>PC06/MATUTINO/102/2026</t>
  </si>
  <si>
    <t>JUÁREZ MEDINA NOEMÍ VIANEY</t>
  </si>
  <si>
    <t>Juárez Medina Noemí Vianey</t>
  </si>
  <si>
    <t>23422070060 027</t>
  </si>
  <si>
    <t>noemijuarez 2@cecyteq.edu.mx</t>
  </si>
  <si>
    <t>BIOGELIX-T</t>
  </si>
  <si>
    <t>159</t>
  </si>
  <si>
    <t xml:space="preserve">PC06/MATUTINO/103/2026 </t>
  </si>
  <si>
    <t>HUERTA MENDIETA BRIANDA NAHOMI</t>
  </si>
  <si>
    <t>Huerta Mendieta Brianda Nahomi</t>
  </si>
  <si>
    <t>23422070060 564</t>
  </si>
  <si>
    <t>briandahuerta@cecyteq.edu.mx</t>
  </si>
  <si>
    <t>160</t>
  </si>
  <si>
    <t xml:space="preserve">CHÁVEZ AGUILAR YOSELIN FERNANDA </t>
  </si>
  <si>
    <t xml:space="preserve">Chávez Aguilar Yoselin Fernanda </t>
  </si>
  <si>
    <t>23422070060 438</t>
  </si>
  <si>
    <t>yoselinchavez4@cecyteq.edu.mx</t>
  </si>
  <si>
    <t>NEO CARE PEDIATRIA</t>
  </si>
  <si>
    <t>BLVD. BERRNARDO QUINTANA ARRIOJA# 670</t>
  </si>
  <si>
    <t>pediatras804@gmail.com</t>
  </si>
  <si>
    <t>161</t>
  </si>
  <si>
    <t>CARBAJAL BRIONES ALDRICH</t>
  </si>
  <si>
    <t>Carbajal Briones Aldrich</t>
  </si>
  <si>
    <t>23422070060 238</t>
  </si>
  <si>
    <t>aldrichcarbajal@cecyteq.com</t>
  </si>
  <si>
    <t>MOFLES CHAVEZ</t>
  </si>
  <si>
    <t>FRANCISCO MADAS 218</t>
  </si>
  <si>
    <t>racingmotorscompany@cecyteq.edu.mx</t>
  </si>
  <si>
    <t>162</t>
  </si>
  <si>
    <t>CAMPUZANO PEREZ LEONEL</t>
  </si>
  <si>
    <t>Campuzano Perez Leonel</t>
  </si>
  <si>
    <t>23422070060 237</t>
  </si>
  <si>
    <t>leonelcampuzano@cecyteq.edu.mx</t>
  </si>
  <si>
    <t>BAZAR EL GÜERO</t>
  </si>
  <si>
    <t>CALLE 27 NUMERO 830 AV. 18 LOMAS</t>
  </si>
  <si>
    <t xml:space="preserve">   </t>
  </si>
  <si>
    <t>163</t>
  </si>
  <si>
    <t>TRENADO BREÑA OSCAR GABRIEL</t>
  </si>
  <si>
    <t>Trenado Breña Oscar Gabriel</t>
  </si>
  <si>
    <t>23422070060 190</t>
  </si>
  <si>
    <t>oscartrenado@cecyteq.edu.mx</t>
  </si>
  <si>
    <t xml:space="preserve">PARQUE INDUSTRIAL ORP. LAS ADJUNTAS </t>
  </si>
  <si>
    <t>164</t>
  </si>
  <si>
    <t>MIRANDA COLÍN JUANA MARÍA</t>
  </si>
  <si>
    <t>Miranda Colín Juana María</t>
  </si>
  <si>
    <t>23422070060 169</t>
  </si>
  <si>
    <t>juanamiranda.1@cecyteq.edu.mx</t>
  </si>
  <si>
    <t>-</t>
  </si>
  <si>
    <t>165</t>
  </si>
  <si>
    <t>SANDOVAL ECHEVERRIA DAVID ALEJANDRO</t>
  </si>
  <si>
    <t>Sandoval Echeverria David Alejandro</t>
  </si>
  <si>
    <t>23422070060 517</t>
  </si>
  <si>
    <t>davidsandoval9@cecyteq.edu.mx</t>
  </si>
  <si>
    <t>CENTRO INFANTIL DEL DESARROLLO HUMANO</t>
  </si>
  <si>
    <t>JIMÉNEZ 78 COL. LINDAVISTA</t>
  </si>
  <si>
    <t>maricela.gonzalez@cidh.edu.mx</t>
  </si>
  <si>
    <t>166</t>
  </si>
  <si>
    <t>PÉREZ MENDIETA EDIEL ABRAHAM</t>
  </si>
  <si>
    <t>Pérez Mendieta Ediel Abraham</t>
  </si>
  <si>
    <t>23422070060 511</t>
  </si>
  <si>
    <t>edielperez@cecyteq.edu.mx</t>
  </si>
  <si>
    <t>167</t>
  </si>
  <si>
    <t>RAMIREZ GARCIA ANDREA ROMINA</t>
  </si>
  <si>
    <t>Ramirez Garcia Andrea Romina</t>
  </si>
  <si>
    <t>23422070060 462</t>
  </si>
  <si>
    <t>andrearamirez48@cecyteq.edu.mx</t>
  </si>
  <si>
    <t>TU TIENDA</t>
  </si>
  <si>
    <t>CALLE 25 318 LOMAS DE CASA BLANCA</t>
  </si>
  <si>
    <t>emilioemio29gmail.com</t>
  </si>
  <si>
    <t>168</t>
  </si>
  <si>
    <t>CASAS RUIZ DIANA SARAÍ</t>
  </si>
  <si>
    <t>Casas Ruiz Diana Saraí</t>
  </si>
  <si>
    <t>23422070060 434</t>
  </si>
  <si>
    <t>dianacasas4@cecyteq.edu.mx</t>
  </si>
  <si>
    <t>169</t>
  </si>
  <si>
    <t>MESA VEGA VALERIA</t>
  </si>
  <si>
    <t>Mesa Vega Valeria</t>
  </si>
  <si>
    <t>23422070060 454</t>
  </si>
  <si>
    <t>valeriamesa@cecyteq.edu.mx</t>
  </si>
  <si>
    <t>INSTITUTO MUNICIPAL JUVENTUD</t>
  </si>
  <si>
    <t>FRAY JOSE BERMUEDEZ 27</t>
  </si>
  <si>
    <t>imjc@corregidora.gob.mx</t>
  </si>
  <si>
    <t>BAJA</t>
  </si>
  <si>
    <t>170</t>
  </si>
  <si>
    <t>HERNÁNDEZ ORTEGA CECILIA</t>
  </si>
  <si>
    <t>Hernández Ortega Cecilia</t>
  </si>
  <si>
    <t>23422070060 118</t>
  </si>
  <si>
    <t>ceciliahermadez84@cecyteq.edu.mx</t>
  </si>
  <si>
    <t>MOLDES MANO FACTURA Y DISEÑO S.A. DE C.V.</t>
  </si>
  <si>
    <t>INGENIEROS CIVILES 107 NAVE 12</t>
  </si>
  <si>
    <t>paola.gomez@molmad.com.mx</t>
  </si>
  <si>
    <t>171</t>
  </si>
  <si>
    <t>DE LA TORRE VILLEDA ANDREA</t>
  </si>
  <si>
    <t>De La Torre Villeda Andrea</t>
  </si>
  <si>
    <t>23422070060 382</t>
  </si>
  <si>
    <t>andreade57@cecyteq.edu.mx</t>
  </si>
  <si>
    <t>CAFFETO13</t>
  </si>
  <si>
    <t>DEL RESCATE 30, LOMAS DE SAN PEDRITO</t>
  </si>
  <si>
    <t>idalia13@gmail.com</t>
  </si>
  <si>
    <t>172</t>
  </si>
  <si>
    <t>GÓMEZ HERNÁNDEZ ALEJANDRO</t>
  </si>
  <si>
    <t>Gómez Hernández Alejandro</t>
  </si>
  <si>
    <t>23422070060 203</t>
  </si>
  <si>
    <t>alejandrogomez57@cecyteq.edu.mx</t>
  </si>
  <si>
    <t>6T0-MECA-AMBI</t>
  </si>
  <si>
    <t>173</t>
  </si>
  <si>
    <t>PC06/MATUTINO/104/2026</t>
  </si>
  <si>
    <t>ZÁRATE LUNA DIEGO ALEXANDER</t>
  </si>
  <si>
    <t>Zárate Luna Diego Alexander</t>
  </si>
  <si>
    <t>23422070060 227</t>
  </si>
  <si>
    <t>diegozarate7@cecyteq.edu.mx</t>
  </si>
  <si>
    <t>174</t>
  </si>
  <si>
    <t xml:space="preserve">JUÁREZ VEGA ANA VALERIA </t>
  </si>
  <si>
    <t xml:space="preserve">Juárez Vega Ana Valeria </t>
  </si>
  <si>
    <t>23422070060 163</t>
  </si>
  <si>
    <t>anajuarez58@cecyteq.edu.mx</t>
  </si>
  <si>
    <t>gustavo_ayala@celo.com</t>
  </si>
  <si>
    <t>175</t>
  </si>
  <si>
    <t>SALOMÓN AGUILAR SAID</t>
  </si>
  <si>
    <t>Salomón Aguilar Said</t>
  </si>
  <si>
    <t>23422070060 270</t>
  </si>
  <si>
    <t>saidsalomon @cecyteq.edu.mx</t>
  </si>
  <si>
    <t>176</t>
  </si>
  <si>
    <t xml:space="preserve">ALMAGUER CASTILLO CARLOS ENRIQUE </t>
  </si>
  <si>
    <t xml:space="preserve">Almaguer Castillo Carlos Enrique </t>
  </si>
  <si>
    <t>23422070060 230</t>
  </si>
  <si>
    <t>carlosalmaguer7@cecyteq.edu.mx</t>
  </si>
  <si>
    <t>JOSÉ ANTONIO CASTILLO GUERRERO (FAMIQ)</t>
  </si>
  <si>
    <t xml:space="preserve">SAN JUAN DOL. LOS ANGELES GORREGIDORA </t>
  </si>
  <si>
    <t>famiq-castillo@outlook.com</t>
  </si>
  <si>
    <t>177</t>
  </si>
  <si>
    <t>RUIZ RAMÍREZ LEONARDO ERNESTO</t>
  </si>
  <si>
    <t>Ruiz Ramírez Leonardo Ernesto</t>
  </si>
  <si>
    <t>23422070060 267</t>
  </si>
  <si>
    <t>leonardoruiz16@cecyteq.edu.mx</t>
  </si>
  <si>
    <t>178</t>
  </si>
  <si>
    <t>LUCAS HERNÁNDEZ FERNANDO</t>
  </si>
  <si>
    <t>Lucas Hernández Fernando</t>
  </si>
  <si>
    <t>23422070060 577</t>
  </si>
  <si>
    <t>fernandolucas1@cecyteq.edu.mx</t>
  </si>
  <si>
    <t>TIMAQ</t>
  </si>
  <si>
    <t>VALLE DE LAS FLORES , M4 110</t>
  </si>
  <si>
    <t>luistimaq@gmail.com</t>
  </si>
  <si>
    <t>179</t>
  </si>
  <si>
    <t>CHAVEz BAILÓN ISMAEL</t>
  </si>
  <si>
    <t>Chavez Bailón Ismael</t>
  </si>
  <si>
    <t>23422070060 286</t>
  </si>
  <si>
    <t>ismaelchavez3@cecyteq.edu.mx</t>
  </si>
  <si>
    <t>KÜCHE</t>
  </si>
  <si>
    <t xml:space="preserve">AV. PASEOS DE LOS VENADOS </t>
  </si>
  <si>
    <t>servicios@kuche.mx</t>
  </si>
  <si>
    <t>180</t>
  </si>
  <si>
    <t>ESPINDOLA ORTA HUGO SANTIAGO</t>
  </si>
  <si>
    <t>Espindola Orta Hugo Santiago</t>
  </si>
  <si>
    <t>hugoespindola@cecyteq.edu.mx</t>
  </si>
  <si>
    <t>E-MAARE</t>
  </si>
  <si>
    <t>ALMANDO BIRLOIN 5200 T1 PISO 11A</t>
  </si>
  <si>
    <t>echeverri4m@maane.com</t>
  </si>
  <si>
    <t>181</t>
  </si>
  <si>
    <t>SOLIS DEL PINO LUCIANO</t>
  </si>
  <si>
    <t>Solis Del Pino Luciano</t>
  </si>
  <si>
    <t>23422070060 141</t>
  </si>
  <si>
    <t>lucianosolis@cecyteq.edu.mx</t>
  </si>
  <si>
    <t xml:space="preserve">INGENIERIA APLICADA SERVICIOS Y PRODUCTOS INTEGRALES S.A. DE C.V. </t>
  </si>
  <si>
    <t>BLVD. BERNARDO QUINTANA 2001</t>
  </si>
  <si>
    <t>facturación@iapaingenieria.com.mx</t>
  </si>
  <si>
    <t>182</t>
  </si>
  <si>
    <t>MARTÍNEZ SERRANO ALEX MICHAEL</t>
  </si>
  <si>
    <t>Martínez Serrano Alex Michael</t>
  </si>
  <si>
    <t>22422070060 075</t>
  </si>
  <si>
    <t>22422070060075@cecyteq.edu.mx</t>
  </si>
  <si>
    <t>SO DENT</t>
  </si>
  <si>
    <t xml:space="preserve">PROLOMG. ZARAGOZA 906. PLAZA DG </t>
  </si>
  <si>
    <t>kati. Sodent.adm@gmail.com</t>
  </si>
  <si>
    <t>183</t>
  </si>
  <si>
    <t>RIVERA FEREGRINO MARIA JOSÉ</t>
  </si>
  <si>
    <t>Rivera Feregrino Maria José</t>
  </si>
  <si>
    <t>23422070060 414</t>
  </si>
  <si>
    <t>mariarivera170@cecyteq.edu.mx</t>
  </si>
  <si>
    <t xml:space="preserve">PISOS VEGA'S PISOS, AZULEJOS Y MÁS. </t>
  </si>
  <si>
    <t xml:space="preserve">AVENIDA 26 NO 902 LOMAS DE CASA BLANCA </t>
  </si>
  <si>
    <t>josue.leon.salcedo1988@gmail.com</t>
  </si>
  <si>
    <t>184</t>
  </si>
  <si>
    <t>CÁRDENAS JIMÉNEZ JOSHUA OSVALDO</t>
  </si>
  <si>
    <t>Cárdenas Jiménez Joshua Osvaldo</t>
  </si>
  <si>
    <t>23422070060 526</t>
  </si>
  <si>
    <t>Jjoshuacardenas2@cecyteq.edu.mx</t>
  </si>
  <si>
    <t xml:space="preserve">MAQUILAS Y PROCESOS INDUSTRIALES S.A. DE CV </t>
  </si>
  <si>
    <t xml:space="preserve">MONTERREY 31 SAN JOSÉ </t>
  </si>
  <si>
    <t>Ip3_ip@hotmail.com</t>
  </si>
  <si>
    <t>185</t>
  </si>
  <si>
    <t>ESCOBAR RAMÍREZ JUANA GABRIELA</t>
  </si>
  <si>
    <t>Escobar Ramírez Juana Gabriela</t>
  </si>
  <si>
    <t>23422070060 598</t>
  </si>
  <si>
    <t>facturación@iapsaingenieria.com.mx</t>
  </si>
  <si>
    <t>186</t>
  </si>
  <si>
    <t>MORALES MARTÍNEZ KAREN</t>
  </si>
  <si>
    <t>Morales Martínez Karen</t>
  </si>
  <si>
    <t>23422070060 456</t>
  </si>
  <si>
    <t>karenmorales36@cecyteq.edu.mx</t>
  </si>
  <si>
    <t>COMERCIO NARVAEZ</t>
  </si>
  <si>
    <t xml:space="preserve">AV. 32 NO. 1202 LOMAS DE CASA BLANCA </t>
  </si>
  <si>
    <t>lic_luis@live.com</t>
  </si>
  <si>
    <t>187</t>
  </si>
  <si>
    <t xml:space="preserve">RAMÍREZ RETANA KAROL GUADALUPE </t>
  </si>
  <si>
    <t xml:space="preserve">Ramírez Retana Karol Guadalupe </t>
  </si>
  <si>
    <t>MIA TALET</t>
  </si>
  <si>
    <t>AV. CORDILLERA 129</t>
  </si>
  <si>
    <t>anabel.gaspar@miatalet.com.mx</t>
  </si>
  <si>
    <t>188</t>
  </si>
  <si>
    <t>JIMÉNEZ TORRES LUA</t>
  </si>
  <si>
    <t>Jiménez Torres Lua</t>
  </si>
  <si>
    <t>23422070060 396</t>
  </si>
  <si>
    <t>luajimenez@cecyteq.edu.mx</t>
  </si>
  <si>
    <t>QRONOS</t>
  </si>
  <si>
    <t xml:space="preserve">CALLE IGNACIO PÉREZ N 7/IN 3 </t>
  </si>
  <si>
    <t>lilyramos.qronos@gmail.com</t>
  </si>
  <si>
    <t>189</t>
  </si>
  <si>
    <t>VEGA OLVERA SCHOENSLATT LIZETH</t>
  </si>
  <si>
    <t>Vega Olvera Schoenslatt Lizeth</t>
  </si>
  <si>
    <t>23422070060 191</t>
  </si>
  <si>
    <t>schoentattvega@cecyteq.edu.mx</t>
  </si>
  <si>
    <t>ACEWAY DE MÉXICO S.A. DE C.V.</t>
  </si>
  <si>
    <t xml:space="preserve">HP492WPARQUE INDISTRIAL TECNOLOGICA INNOVACIÓN </t>
  </si>
  <si>
    <t>rodrigo.perez@aceway.com.mx</t>
  </si>
  <si>
    <t>190</t>
  </si>
  <si>
    <t>SÁNCHEZ PADRÓN JOSÉ MARTIN</t>
  </si>
  <si>
    <t>Sánchez Padrón José Martin</t>
  </si>
  <si>
    <t>23422070060 090</t>
  </si>
  <si>
    <t>sanchezpadronjosemartin@gmail.com</t>
  </si>
  <si>
    <t>alfredocambell@municipiodequeretaro.gob.mx</t>
  </si>
  <si>
    <t>191</t>
  </si>
  <si>
    <t>MARTÍNEZ RAMOS MIRIAM EUNICE</t>
  </si>
  <si>
    <t>Martínez Ramos Miriam Eunice</t>
  </si>
  <si>
    <t>23422070060 498</t>
  </si>
  <si>
    <t>miriammartinez83@cecyteq,edu.mx</t>
  </si>
  <si>
    <t>CEDEM</t>
  </si>
  <si>
    <t xml:space="preserve">SAN RAFAEL 52 LOS ANGELES QRO. </t>
  </si>
  <si>
    <t>f.olvera.daniela.30@gmail.com</t>
  </si>
  <si>
    <t>192</t>
  </si>
  <si>
    <t>VAZQUEZ JIMENEZ ABIGAIL</t>
  </si>
  <si>
    <t>Vazquez Jimenez Abigail</t>
  </si>
  <si>
    <t>23422070060 522</t>
  </si>
  <si>
    <t>abigailvazquez17@cecyteq,edu.mx</t>
  </si>
  <si>
    <t>193</t>
  </si>
  <si>
    <t>ECHEVARRIA ONTIVEROS IKER ESTEBAN</t>
  </si>
  <si>
    <t>Echevarria Ontiveros Iker Esteban</t>
  </si>
  <si>
    <t>23422070060 199</t>
  </si>
  <si>
    <t>ikerechevearria@cecyteq.edu.mx</t>
  </si>
  <si>
    <t xml:space="preserve">AV. CANDILES 317 </t>
  </si>
  <si>
    <t>194</t>
  </si>
  <si>
    <t>JIMENEZ PEREZ BRISA VALERIA</t>
  </si>
  <si>
    <t>Jimenez Perez Brisa Valeria</t>
  </si>
  <si>
    <t>23422070060 066</t>
  </si>
  <si>
    <t>brisajimenezp@gmail.com</t>
  </si>
  <si>
    <t>BIOSYNTHESIA TECNOLOGICO DE MONTERREY</t>
  </si>
  <si>
    <t xml:space="preserve">EPIGMENIO GONZALEZ 500 FRACC. </t>
  </si>
  <si>
    <t>biosythesa.pt@gmail.com</t>
  </si>
  <si>
    <t>195</t>
  </si>
  <si>
    <t xml:space="preserve">CASTILLO HIGAREDA DIEGO LEONARDO </t>
  </si>
  <si>
    <t xml:space="preserve">Castillo Higareda Diego Leonardo </t>
  </si>
  <si>
    <t>23422070060 333</t>
  </si>
  <si>
    <t>diegocstillo21@cecyteq.edu.mx</t>
  </si>
  <si>
    <t>196</t>
  </si>
  <si>
    <t>NERI GRANADOS GRACE ISABELLA</t>
  </si>
  <si>
    <t>Neri Granados Grace Isabella</t>
  </si>
  <si>
    <t>23422070060 130</t>
  </si>
  <si>
    <t>graceneri@cecyteq.edu.mx</t>
  </si>
  <si>
    <t>RUBEN GRANADOS GARCIA (HILATURAS)</t>
  </si>
  <si>
    <t xml:space="preserve">CONOCIDOS S/N CERRO COLORADO </t>
  </si>
  <si>
    <t>hilaturas.rosario@gmail.com</t>
  </si>
  <si>
    <t>197</t>
  </si>
  <si>
    <t>HERNÁNDEZ RESÉNDIZ JOCELYN</t>
  </si>
  <si>
    <t>Hernández Reséndiz Jocelyn</t>
  </si>
  <si>
    <t>23422070060 119</t>
  </si>
  <si>
    <t>jocelynhernandez27@cecyteq.edu.mx</t>
  </si>
  <si>
    <t xml:space="preserve">MAQUINADOS INDUSTRIALES HERNÁNDEZ </t>
  </si>
  <si>
    <t>CONOCIDO S/N CHARCO BLANCO</t>
  </si>
  <si>
    <t>maquinher_@hotmail.com</t>
  </si>
  <si>
    <t>198</t>
  </si>
  <si>
    <t>JIMÉNEZ ZARATE JAIR OCTAVIO</t>
  </si>
  <si>
    <t>Jiménez Zarate Jair Octavio</t>
  </si>
  <si>
    <t>23422070060 243</t>
  </si>
  <si>
    <t>jairijimenez@cecyteq.edu.mx</t>
  </si>
  <si>
    <t>SERICIO DIESEL ESPECIALIZADO</t>
  </si>
  <si>
    <t xml:space="preserve">C.P.76249 LA GRIEGA </t>
  </si>
  <si>
    <t>martinrg199@gmail.com</t>
  </si>
  <si>
    <t>199</t>
  </si>
  <si>
    <t>LUNA CORONADO ZAIRA REBECA</t>
  </si>
  <si>
    <t>Luna Coronado Zaira Rebeca</t>
  </si>
  <si>
    <t>23422070060 028</t>
  </si>
  <si>
    <t>zairaluna3@cecyteq.edu.mx</t>
  </si>
  <si>
    <t>CAFETERIA EBENEZER</t>
  </si>
  <si>
    <t>CALLE. SAN LUCAS S/N</t>
  </si>
  <si>
    <t>faty7munchis@gmail.com</t>
  </si>
  <si>
    <t>200</t>
  </si>
  <si>
    <t>GUEVARA ARREGUIN VALERIA</t>
  </si>
  <si>
    <t>Guevara Arreguin Valeria</t>
  </si>
  <si>
    <t>23422070060 022</t>
  </si>
  <si>
    <t>valeriaguevara4@cecyteq.edu.mx</t>
  </si>
  <si>
    <t xml:space="preserve">PLANTEL 6 CORREGIDORA </t>
  </si>
  <si>
    <t>AV. CANDILES 317</t>
  </si>
  <si>
    <t>201</t>
  </si>
  <si>
    <t xml:space="preserve">GARCIA SANCHEZ DAYANA SUSANA </t>
  </si>
  <si>
    <t xml:space="preserve">Garcia Sanchez Dayana Susana </t>
  </si>
  <si>
    <t>23422070060 020</t>
  </si>
  <si>
    <t>dayanagarcia10@cecyteq.edu.mx</t>
  </si>
  <si>
    <t xml:space="preserve">ESCUELA GENERAL NO.4 BENITO JUAREZ </t>
  </si>
  <si>
    <t xml:space="preserve">x </t>
  </si>
  <si>
    <t xml:space="preserve">CALLE37 S/N LOMAS DE CASA BLANCA </t>
  </si>
  <si>
    <t>22des0014e@usebeq.edu.mx</t>
  </si>
  <si>
    <t>23/06/226</t>
  </si>
  <si>
    <t>202</t>
  </si>
  <si>
    <t>MORENO LUNA JORGUE TADEO</t>
  </si>
  <si>
    <t>Moreno Luna Jorgue Tadeo</t>
  </si>
  <si>
    <t>23422070060 319</t>
  </si>
  <si>
    <t>jorguemoreno@cecyteq.edu.mx</t>
  </si>
  <si>
    <t>203</t>
  </si>
  <si>
    <t>MOYA HERNÁNDEZ JAQUELINE</t>
  </si>
  <si>
    <t>Moya Hernández Jaqueline</t>
  </si>
  <si>
    <t>23422070060 073</t>
  </si>
  <si>
    <t>jaquelinemaya1@cecyteq.edu.mx</t>
  </si>
  <si>
    <t>60/07/2026</t>
  </si>
  <si>
    <t>204</t>
  </si>
  <si>
    <t>AGUIRRE ASCENCIO JUAN CARLOS</t>
  </si>
  <si>
    <t>Aguirre Ascencio Juan Carlos</t>
  </si>
  <si>
    <t>23422070060 578</t>
  </si>
  <si>
    <t>juanaguirre33@cecyteq.edu.mx</t>
  </si>
  <si>
    <t>IA INGENIERIA EN REFRIGERACIÓN</t>
  </si>
  <si>
    <t>BOULEVARD LIS. MANUEL GOMEZ MORIN 3960</t>
  </si>
  <si>
    <t>ingenieria@iaref.mx</t>
  </si>
  <si>
    <t>205</t>
  </si>
  <si>
    <t>RODRIGUEZ HERNÁNDEZ GABRIEL FRANCISCO</t>
  </si>
  <si>
    <t>Rodriguez Hernández Gabriel Francisco</t>
  </si>
  <si>
    <t>23422070060 593</t>
  </si>
  <si>
    <t>gabrielrodriguez49@cecyteq.edu.mx</t>
  </si>
  <si>
    <t xml:space="preserve">AV. CANDIL 317 </t>
  </si>
  <si>
    <t>206</t>
  </si>
  <si>
    <t xml:space="preserve">SÁNCHEZ PADILLA VALERIA </t>
  </si>
  <si>
    <t xml:space="preserve">Sánchez Padilla Valeria </t>
  </si>
  <si>
    <t>23422070060 560</t>
  </si>
  <si>
    <t>valeriasanchez45@cecyteq.edu.mx</t>
  </si>
  <si>
    <t>CALLE. JESÚS MARÍA VÁZQUEZ NO. 303</t>
  </si>
  <si>
    <t>207</t>
  </si>
  <si>
    <t>VAZQUEZ DIAZ YERELIN ARIEL</t>
  </si>
  <si>
    <t>Vazquez Diaz Yerelin Ariel</t>
  </si>
  <si>
    <t>23422070060 588</t>
  </si>
  <si>
    <t>yerelynvazquez@cecyteq.edu.mx</t>
  </si>
  <si>
    <t>ORVIT CORPORATIVO CENTER</t>
  </si>
  <si>
    <t>AV. PASEO MIRANDA 76240</t>
  </si>
  <si>
    <t>flor.morales@eliverconsultores.com</t>
  </si>
  <si>
    <t>208</t>
  </si>
  <si>
    <t>RODRIGUEZ AVILES LUCERO ALEJANDRA</t>
  </si>
  <si>
    <t>Rodriguez Aviles Lucero Alejandra</t>
  </si>
  <si>
    <t>23422070060 618</t>
  </si>
  <si>
    <t>lucero.r@cecyteq.edu.mx</t>
  </si>
  <si>
    <t>SISTEMA PARA EL DESARROLLLO INTEGRAL DE LA FAMILIA DEL ESTADO DE QUERETARO</t>
  </si>
  <si>
    <t>AV. UNIVERSIDAD ESQUINA TECNOLOGICO COLONIA</t>
  </si>
  <si>
    <t>amendozae@queretaro</t>
  </si>
  <si>
    <t>209</t>
  </si>
  <si>
    <t>ARVIZU MARTINEZ MARTIN BRIAN</t>
  </si>
  <si>
    <t>Arvizu Martinez Martin Brian</t>
  </si>
  <si>
    <t>23422070060 580</t>
  </si>
  <si>
    <t>martinarvizu2@cecyteq.edu.mx</t>
  </si>
  <si>
    <t>210</t>
  </si>
  <si>
    <t>DURAN OLVERA LUIS DAVID</t>
  </si>
  <si>
    <t>Duran Olvera Luis David</t>
  </si>
  <si>
    <t>23422070060 528</t>
  </si>
  <si>
    <t>luis duran35@cecyteq.edu.mx</t>
  </si>
  <si>
    <t>211</t>
  </si>
  <si>
    <t>PELÁEZ LARA DIEGO</t>
  </si>
  <si>
    <t>Peláez Lara Diego</t>
  </si>
  <si>
    <t>23422070060 258</t>
  </si>
  <si>
    <t>diegooelaez@cecyteq.edu.mx</t>
  </si>
  <si>
    <t>212</t>
  </si>
  <si>
    <t>AVILES RODRIGUEZ ANA YARETZI</t>
  </si>
  <si>
    <t>Aviles Rodriguez Ana Yaretzi</t>
  </si>
  <si>
    <t>23422070060 283</t>
  </si>
  <si>
    <t>anaaviles4@cecyteq.edu.mx</t>
  </si>
  <si>
    <t xml:space="preserve">CAPEOLA CELULOSA Y DERIVADOS </t>
  </si>
  <si>
    <t>CALLE: HERCULES 4 COL. EL PUEBLITO</t>
  </si>
  <si>
    <t>julio-garcia_v@hotmail.com</t>
  </si>
  <si>
    <t>213</t>
  </si>
  <si>
    <t>LOPEZ CRUZ JESUS ARMANDO</t>
  </si>
  <si>
    <t>Lopez Cruz Jesus Armando</t>
  </si>
  <si>
    <t>23422070060 451</t>
  </si>
  <si>
    <t>jesuslopez@cecyteq.edu.mx</t>
  </si>
  <si>
    <t xml:space="preserve">ARQBRE DISEÑO Y CONSTRUCCIÓN </t>
  </si>
  <si>
    <t>C. JOSE I NOVELO 3 REFORMA AGRARIA</t>
  </si>
  <si>
    <t>vicyordaniel.arq@gmail.com</t>
  </si>
  <si>
    <t>214</t>
  </si>
  <si>
    <t>SALGADO ESPARAZA ANNA YARED</t>
  </si>
  <si>
    <t>Salgado Esparaza Anna Yared</t>
  </si>
  <si>
    <t>23422070060 470</t>
  </si>
  <si>
    <t>annaalgado@cecyteq.edu.mx</t>
  </si>
  <si>
    <t>KIANOVA SEMINUEVOS</t>
  </si>
  <si>
    <t>PROL.TECNOLOGICO NORTE 998</t>
  </si>
  <si>
    <t>pilar.ocampo@kianovaqro.mx</t>
  </si>
  <si>
    <t>215</t>
  </si>
  <si>
    <t xml:space="preserve">SINECIO FLORES LUIS FERNANDO </t>
  </si>
  <si>
    <t xml:space="preserve">Sinecio Flores Luis Fernando </t>
  </si>
  <si>
    <t>23422070060 320</t>
  </si>
  <si>
    <t>luissinecio@cecyteq.edu.mx</t>
  </si>
  <si>
    <t>CITY MOLD</t>
  </si>
  <si>
    <t>CLAVEL 20 COL. RINCONADA CAMPESTRE</t>
  </si>
  <si>
    <t>citymold2015@gmail.com</t>
  </si>
  <si>
    <t>216</t>
  </si>
  <si>
    <t>ZUÑIGA G´MEZ LUZ ESTRELLA</t>
  </si>
  <si>
    <t>Zuñiga G´Mez Luz Estrella</t>
  </si>
  <si>
    <t>23422070060 631</t>
  </si>
  <si>
    <t>23422070060631@cecyteq.edu.mx</t>
  </si>
  <si>
    <t>MARCOZER</t>
  </si>
  <si>
    <t>CTO. MOISES SOLANA 790</t>
  </si>
  <si>
    <t>ventas@marcozer.com.mx</t>
  </si>
  <si>
    <t>217</t>
  </si>
  <si>
    <t>ARREOLA VILLALON CYNTHIA</t>
  </si>
  <si>
    <t>Arreola Villalon Cynthia</t>
  </si>
  <si>
    <t>23422070060 096</t>
  </si>
  <si>
    <t>cynthiaarreola@cecyteq.edu.mx</t>
  </si>
  <si>
    <t>GRUPO LEOMAR</t>
  </si>
  <si>
    <t>LIBRAMIENTO SUR PONIENTE</t>
  </si>
  <si>
    <t>ventas.queretaro@grupoleomar.com.mx</t>
  </si>
  <si>
    <t>218</t>
  </si>
  <si>
    <t>DÍAZ BAÑUELOS GAEL</t>
  </si>
  <si>
    <t>Díaz Bañuelos Gael</t>
  </si>
  <si>
    <t>23422070060 291</t>
  </si>
  <si>
    <t>gaeldiaz5@cecyteq.edu.mx</t>
  </si>
  <si>
    <t>CLAVEL20 COL.RINCONADA CAMPESTRE</t>
  </si>
  <si>
    <t>219</t>
  </si>
  <si>
    <t>GARCÍA GALLEGOS ALBIS YAEL</t>
  </si>
  <si>
    <t>García Gallegos Albis Yael</t>
  </si>
  <si>
    <t>23422070060 569</t>
  </si>
  <si>
    <t>albisgarcia@cecyteq.edu.mx</t>
  </si>
  <si>
    <t>6T0-MECA-BV</t>
  </si>
  <si>
    <t>AV. CANDILES 317 COL.CANDILES</t>
  </si>
  <si>
    <t>ismael.montoya@cecyteq.edu.mx</t>
  </si>
  <si>
    <t>220</t>
  </si>
  <si>
    <t>AGUILLÓN GARCÍA SHARON BRIDGET</t>
  </si>
  <si>
    <t>Aguillón García Sharon Bridget</t>
  </si>
  <si>
    <t>23422070060 326</t>
  </si>
  <si>
    <t>sharonaguillon@cecyteq.edu.mx</t>
  </si>
  <si>
    <t>221</t>
  </si>
  <si>
    <t>ANGELES ESCOBEDO RODRIGO</t>
  </si>
  <si>
    <t>Angeles Escobedo Rodrigo</t>
  </si>
  <si>
    <t>23422070060 329</t>
  </si>
  <si>
    <t>rodrigoangeles1@cecyteq.edu.mx</t>
  </si>
  <si>
    <t>222</t>
  </si>
  <si>
    <t>HUITRON VALENCIA JUAN IGNACIO</t>
  </si>
  <si>
    <t>Huitron Valencia Juan Ignacio</t>
  </si>
  <si>
    <t>23422070060 346</t>
  </si>
  <si>
    <t>juanhuitron3@cecyteq.edu.mx</t>
  </si>
  <si>
    <t>223</t>
  </si>
  <si>
    <t>CORONA VÁSQUEZ DANIEL ABRAHAM</t>
  </si>
  <si>
    <t>Corona Vásquez Daniel Abraham</t>
  </si>
  <si>
    <t>23422070060 335</t>
  </si>
  <si>
    <t>danielcorona7@cecyteq.edu.mx</t>
  </si>
  <si>
    <t>224</t>
  </si>
  <si>
    <t>225</t>
  </si>
  <si>
    <t>226</t>
  </si>
  <si>
    <t xml:space="preserve">RODRÍGUEZ CAMARGO SAÚL </t>
  </si>
  <si>
    <t xml:space="preserve">Rodríguez Camargo Saúl </t>
  </si>
  <si>
    <t>23422070060 361</t>
  </si>
  <si>
    <t>saulrodriguez46@cecyteq.edu.mx</t>
  </si>
  <si>
    <t>227</t>
  </si>
  <si>
    <t>SOLANO TRUJILLO ÁNGEL DE JESÚS</t>
  </si>
  <si>
    <t>Solano Trujillo Ángel De Jesús</t>
  </si>
  <si>
    <t>23422070060 627</t>
  </si>
  <si>
    <t>angelsolano2@cecyteq.edu.mx</t>
  </si>
  <si>
    <t>228</t>
  </si>
  <si>
    <t>OSORNIO HERNÁNDEZ SAID GAEL</t>
  </si>
  <si>
    <t>Osornio Hernández Said Gael</t>
  </si>
  <si>
    <t>23422070060 357</t>
  </si>
  <si>
    <t>saidsornio@cecyteq.edu.mx</t>
  </si>
  <si>
    <t>229</t>
  </si>
  <si>
    <t>PLAZA RODRÍGUEZ CAROLINA GUADALUPE</t>
  </si>
  <si>
    <t>Plaza Rodríguez Carolina Guadalupe</t>
  </si>
  <si>
    <t>23422070060 348</t>
  </si>
  <si>
    <t>23422070060348@cecyteq.edu.mx</t>
  </si>
  <si>
    <t>230</t>
  </si>
  <si>
    <t>CORREA SALINAS ÁNGEL SAÚL</t>
  </si>
  <si>
    <t>Correa Salinas Ángel Saúl</t>
  </si>
  <si>
    <t>23422070060 336</t>
  </si>
  <si>
    <t>angelcorrea13@cecyteq.edu.mx</t>
  </si>
  <si>
    <t>231</t>
  </si>
  <si>
    <t>GUERRA CORONA DIEGO</t>
  </si>
  <si>
    <t>Guerra Corona Diego</t>
  </si>
  <si>
    <t>23422070060 297</t>
  </si>
  <si>
    <t>diegoguerra7@cecyteq.edu.mx</t>
  </si>
  <si>
    <t>232</t>
  </si>
  <si>
    <t>MONTOYA CHAVÉZ CARLOS</t>
  </si>
  <si>
    <t>Montoya Chavéz Carlos</t>
  </si>
  <si>
    <t>23422070060 306</t>
  </si>
  <si>
    <t>carlosmontoya23@cecyteq.edu.mx</t>
  </si>
  <si>
    <t>233</t>
  </si>
  <si>
    <t>MENDOZA UGALDE PAULINA</t>
  </si>
  <si>
    <t>Mendoza Ugalde Paulina</t>
  </si>
  <si>
    <t>23422070060 547</t>
  </si>
  <si>
    <t>pailinamendoza@cecyteq.edu.mx</t>
  </si>
  <si>
    <t>SEPSA</t>
  </si>
  <si>
    <t>ESPUELA DEL FERROCARRIL NUM.204</t>
  </si>
  <si>
    <t>ttallersepsaqro@gmail.com</t>
  </si>
  <si>
    <t>234</t>
  </si>
  <si>
    <t>HERNÁNDEZ DOMÍNGUEZ KARLA FERNANDA</t>
  </si>
  <si>
    <t>Hernández Domínguez Karla Fernanda</t>
  </si>
  <si>
    <t>23422070060 537</t>
  </si>
  <si>
    <t>karlahernadez2@cecyteq.edu.mx</t>
  </si>
  <si>
    <t>235</t>
  </si>
  <si>
    <t>CHÁVEZ MORA KAREN</t>
  </si>
  <si>
    <t>Chávez Mora Karen</t>
  </si>
  <si>
    <t>23422070060 568</t>
  </si>
  <si>
    <t>karenchavez19@cecyteq.edu.mx</t>
  </si>
  <si>
    <t>236</t>
  </si>
  <si>
    <t>VILLANUEVA SÁNCHEZ GUSTAVO JAVIER</t>
  </si>
  <si>
    <t>Villanueva Sánchez Gustavo Javier</t>
  </si>
  <si>
    <t>23422070060 144</t>
  </si>
  <si>
    <t>gustavovillanueva4@cecyteq.edu.mx</t>
  </si>
  <si>
    <t>KRONTAINER CARGO</t>
  </si>
  <si>
    <t>SANTAMARIA 18</t>
  </si>
  <si>
    <t>gustavo.villanueva@krontainer.com</t>
  </si>
  <si>
    <t>237</t>
  </si>
  <si>
    <t>GUERRERO LEÓN GENO ALESSANDRO</t>
  </si>
  <si>
    <t>Guerrero León Geno Alessandro</t>
  </si>
  <si>
    <t>23422070060 114</t>
  </si>
  <si>
    <t>geno.guerrero@cecyteq.edu.mx</t>
  </si>
  <si>
    <t>KB ADVANCED ENGINEERING</t>
  </si>
  <si>
    <t>JOSÉ MARÍA OCHOA 486 LOS CANDILES QRO.</t>
  </si>
  <si>
    <t>contacto@kbae.com</t>
  </si>
  <si>
    <t>238</t>
  </si>
  <si>
    <t>ELIZARRARAZ CABRERA GUILLERMO TADEO</t>
  </si>
  <si>
    <t>Elizarraraz Cabrera Guillermo Tadeo</t>
  </si>
  <si>
    <t>23422070060 107</t>
  </si>
  <si>
    <t>guillermoelizarraraz@cecyteq.edu.mx</t>
  </si>
  <si>
    <t>TRANSPORTES MEMO´S</t>
  </si>
  <si>
    <t>CRISANTEMO 8 LOMAS DEL CAMPANARIO</t>
  </si>
  <si>
    <t>logistmemos@gmail.com</t>
  </si>
  <si>
    <t>239</t>
  </si>
  <si>
    <t>BLANCAS FLORES ISMAEL</t>
  </si>
  <si>
    <t>Blancas Flores Ismael</t>
  </si>
  <si>
    <t>23422070060 048</t>
  </si>
  <si>
    <t>ismaelblancas@cecyteq.edu.mx</t>
  </si>
  <si>
    <t>240</t>
  </si>
  <si>
    <t/>
  </si>
  <si>
    <t>MATRICULA ACTUAL 25-26</t>
  </si>
  <si>
    <r>
      <rPr>
        <rFont val="Calibri"/>
        <color theme="1"/>
        <sz val="11.0"/>
      </rPr>
      <t xml:space="preserve">El </t>
    </r>
    <r>
      <rPr>
        <rFont val="Calibri"/>
        <b/>
        <color theme="1"/>
        <sz val="11.0"/>
      </rPr>
      <t>30% de 493</t>
    </r>
    <r>
      <rPr>
        <rFont val="Calibri"/>
        <color theme="1"/>
        <sz val="11.0"/>
      </rPr>
      <t xml:space="preserve"> es:</t>
    </r>
  </si>
  <si>
    <t>BLOQUE 3</t>
  </si>
  <si>
    <t>5T0-BIO-AV</t>
  </si>
  <si>
    <t xml:space="preserve"> </t>
  </si>
  <si>
    <r>
      <rPr>
        <rFont val="Calibri"/>
        <color theme="1"/>
        <sz val="11.0"/>
      </rPr>
      <t xml:space="preserve">✅ Resultado: </t>
    </r>
    <r>
      <rPr>
        <rFont val="Calibri"/>
        <b/>
        <color theme="1"/>
        <sz val="11.0"/>
      </rPr>
      <t>493 × 0.30 = 147.9</t>
    </r>
  </si>
  <si>
    <t>TOTAL</t>
  </si>
  <si>
    <t>FALTAN</t>
  </si>
  <si>
    <t>5T0-MECA-BV</t>
  </si>
  <si>
    <t>DUAL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</si>
</sst>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&quot;$&quot;#,##0.00"/>
    <numFmt numFmtId="166" formatCode="_-&quot;$&quot;* #,##0.00_-;\-&quot;$&quot;* #,##0.00_-;_-&quot;$&quot;* &quot;-&quot;??_-;_-@"/>
    <numFmt numFmtId="167" formatCode="&quot;$&quot;#,##0;[Red]\-&quot;$&quot;#,##0"/>
    <numFmt numFmtId="168" formatCode="0_ ;\-0\ "/>
  </numFmts>
  <fonts count="48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rgb="FFFFFFFF"/>
      <name val="Calibri"/>
    </font>
    <font>
      <sz val="11.0"/>
      <color theme="1"/>
      <name val="Calibri"/>
    </font>
    <font>
      <sz val="9.0"/>
      <color theme="1"/>
      <name val="Arial"/>
    </font>
    <font>
      <u/>
      <sz val="11.0"/>
      <color theme="1"/>
      <name val="Calibri"/>
    </font>
    <font>
      <sz val="11.0"/>
      <color theme="0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0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0.0"/>
      <color theme="1"/>
      <name val="Calibri"/>
    </font>
    <font>
      <u/>
      <sz val="11.0"/>
      <color theme="1"/>
      <name val="Calibri"/>
    </font>
    <font>
      <sz val="11.0"/>
      <color rgb="FF0C0C0C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0.0"/>
      <color theme="1"/>
      <name val="Calibri"/>
    </font>
    <font>
      <u/>
      <sz val="11.0"/>
      <color theme="1"/>
      <name val="Calibri"/>
    </font>
    <font>
      <sz val="10.0"/>
      <color theme="1"/>
      <name val="Calibri"/>
    </font>
    <font>
      <color theme="1"/>
      <name val="Arial"/>
      <scheme val="minor"/>
    </font>
    <font>
      <u/>
      <sz val="11.0"/>
      <color rgb="FF0C0C0C"/>
      <name val="Calibri"/>
    </font>
    <font>
      <u/>
      <sz val="11.0"/>
      <color rgb="FF0C0C0C"/>
      <name val="Calibri"/>
    </font>
    <font>
      <u/>
      <sz val="9.0"/>
      <color theme="1"/>
      <name val="Calibri"/>
    </font>
    <font>
      <u/>
      <sz val="11.0"/>
      <color theme="10"/>
      <name val="Calibri"/>
    </font>
    <font>
      <sz val="9.0"/>
      <color theme="1"/>
      <name val="Calibri"/>
    </font>
    <font>
      <u/>
      <sz val="9.0"/>
      <color theme="1"/>
      <name val="Calibri"/>
    </font>
    <font>
      <u/>
      <sz val="11.0"/>
      <color theme="1"/>
      <name val="Calibri"/>
    </font>
    <font>
      <u/>
      <sz val="9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b/>
      <sz val="11.0"/>
      <color theme="0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0"/>
      <name val="Calibri"/>
    </font>
    <font>
      <u/>
      <sz val="11.0"/>
      <color theme="1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BF9000"/>
        <bgColor rgb="FFBF9000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theme="7"/>
        <bgColor theme="7"/>
      </patternFill>
    </fill>
    <fill>
      <patternFill patternType="solid">
        <fgColor rgb="FF8EAADB"/>
        <bgColor rgb="FF8EAADB"/>
      </patternFill>
    </fill>
    <fill>
      <patternFill patternType="solid">
        <fgColor rgb="FFC55A11"/>
        <bgColor rgb="FFC55A11"/>
      </patternFill>
    </fill>
    <fill>
      <patternFill patternType="solid">
        <fgColor rgb="FFFFFF00"/>
        <bgColor rgb="FFFFFF00"/>
      </patternFill>
    </fill>
    <fill>
      <patternFill patternType="solid">
        <fgColor rgb="FFFF4D15"/>
        <bgColor rgb="FFFF4D15"/>
      </patternFill>
    </fill>
    <fill>
      <patternFill patternType="solid">
        <fgColor rgb="FF339966"/>
        <bgColor rgb="FF339966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9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164" xfId="0" applyBorder="1" applyFont="1" applyNumberFormat="1"/>
    <xf borderId="0" fillId="0" fontId="1" numFmtId="0" xfId="0" applyFont="1"/>
    <xf borderId="2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4" fillId="0" fontId="2" numFmtId="0" xfId="0" applyAlignment="1" applyBorder="1" applyFont="1">
      <alignment horizontal="center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horizontal="center" readingOrder="0" shrinkToFit="0" vertical="center" wrapText="0"/>
    </xf>
    <xf borderId="1" fillId="2" fontId="3" numFmtId="49" xfId="0" applyAlignment="1" applyBorder="1" applyFill="1" applyFont="1" applyNumberFormat="1">
      <alignment horizontal="center" shrinkToFit="0" vertical="center" wrapText="0"/>
    </xf>
    <xf borderId="1" fillId="0" fontId="3" numFmtId="2" xfId="0" applyAlignment="1" applyBorder="1" applyFont="1" applyNumberFormat="1">
      <alignment horizontal="center"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3" fontId="3" numFmtId="0" xfId="0" applyAlignment="1" applyBorder="1" applyFill="1" applyFont="1">
      <alignment shrinkToFit="0" vertical="center" wrapText="0"/>
    </xf>
    <xf borderId="1" fillId="4" fontId="4" numFmtId="0" xfId="0" applyAlignment="1" applyBorder="1" applyFill="1" applyFont="1">
      <alignment shrinkToFit="0" vertical="center" wrapText="0"/>
    </xf>
    <xf borderId="1" fillId="3" fontId="3" numFmtId="1" xfId="0" applyAlignment="1" applyBorder="1" applyFont="1" applyNumberFormat="1">
      <alignment horizontal="left" shrinkToFit="0" vertical="center" wrapText="0"/>
    </xf>
    <xf borderId="1" fillId="3" fontId="5" numFmtId="2" xfId="0" applyAlignment="1" applyBorder="1" applyFont="1" applyNumberFormat="1">
      <alignment horizontal="left" shrinkToFit="0" vertical="center" wrapText="0"/>
    </xf>
    <xf borderId="1" fillId="3" fontId="3" numFmtId="0" xfId="0" applyAlignment="1" applyBorder="1" applyFont="1">
      <alignment horizontal="left" shrinkToFit="0" vertical="center" wrapText="0"/>
    </xf>
    <xf borderId="1" fillId="3" fontId="6" numFmtId="0" xfId="0" applyAlignment="1" applyBorder="1" applyFont="1">
      <alignment horizontal="center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1" fillId="3" fontId="7" numFmtId="0" xfId="0" applyAlignment="1" applyBorder="1" applyFont="1">
      <alignment shrinkToFit="0" vertical="center" wrapText="0"/>
    </xf>
    <xf borderId="1" fillId="3" fontId="8" numFmtId="0" xfId="0" applyAlignment="1" applyBorder="1" applyFont="1">
      <alignment horizontal="center" shrinkToFit="0" vertical="center" wrapText="0"/>
    </xf>
    <xf borderId="1" fillId="3" fontId="9" numFmtId="2" xfId="0" applyAlignment="1" applyBorder="1" applyFont="1" applyNumberFormat="1">
      <alignment horizontal="center" shrinkToFit="0" vertical="center" wrapText="0"/>
    </xf>
    <xf borderId="1" fillId="3" fontId="3" numFmtId="164" xfId="0" applyAlignment="1" applyBorder="1" applyFont="1" applyNumberFormat="1">
      <alignment horizontal="center" shrinkToFit="0" vertical="center" wrapText="0"/>
    </xf>
    <xf borderId="6" fillId="3" fontId="3" numFmtId="164" xfId="0" applyAlignment="1" applyBorder="1" applyFont="1" applyNumberFormat="1">
      <alignment shrinkToFit="0" vertical="center" wrapText="0"/>
    </xf>
    <xf borderId="6" fillId="3" fontId="3" numFmtId="0" xfId="0" applyAlignment="1" applyBorder="1" applyFont="1">
      <alignment shrinkToFit="0" vertical="center" wrapText="0"/>
    </xf>
    <xf borderId="6" fillId="3" fontId="3" numFmtId="0" xfId="0" applyAlignment="1" applyBorder="1" applyFont="1">
      <alignment horizontal="center" shrinkToFit="0" vertical="center" wrapText="0"/>
    </xf>
    <xf borderId="1" fillId="3" fontId="3" numFmtId="2" xfId="0" applyAlignment="1" applyBorder="1" applyFont="1" applyNumberFormat="1">
      <alignment horizontal="center" shrinkToFit="0" vertical="center" wrapText="0"/>
    </xf>
    <xf borderId="1" fillId="3" fontId="3" numFmtId="9" xfId="0" applyAlignment="1" applyBorder="1" applyFont="1" applyNumberFormat="1">
      <alignment horizontal="center" shrinkToFit="0" vertical="center" wrapText="0"/>
    </xf>
    <xf borderId="1" fillId="3" fontId="3" numFmtId="49" xfId="0" applyAlignment="1" applyBorder="1" applyFont="1" applyNumberFormat="1">
      <alignment horizontal="center" shrinkToFit="0" vertical="center" wrapText="0"/>
    </xf>
    <xf borderId="1" fillId="3" fontId="1" numFmtId="0" xfId="0" applyAlignment="1" applyBorder="1" applyFont="1">
      <alignment horizontal="center" shrinkToFit="0" vertical="center" wrapText="0"/>
    </xf>
    <xf borderId="1" fillId="3" fontId="3" numFmtId="164" xfId="0" applyAlignment="1" applyBorder="1" applyFont="1" applyNumberFormat="1">
      <alignment shrinkToFit="0" vertical="center" wrapText="0"/>
    </xf>
    <xf borderId="7" fillId="3" fontId="3" numFmtId="164" xfId="0" applyAlignment="1" applyBorder="1" applyFont="1" applyNumberFormat="1">
      <alignment horizontal="center" shrinkToFit="0" vertical="center" wrapText="0"/>
    </xf>
    <xf borderId="1" fillId="0" fontId="3" numFmtId="49" xfId="0" applyAlignment="1" applyBorder="1" applyFont="1" applyNumberFormat="1">
      <alignment horizontal="center" shrinkToFit="0" vertical="center" wrapText="0"/>
    </xf>
    <xf borderId="1" fillId="3" fontId="10" numFmtId="0" xfId="0" applyAlignment="1" applyBorder="1" applyFont="1">
      <alignment horizontal="left" shrinkToFit="0" vertical="center" wrapText="0"/>
    </xf>
    <xf borderId="1" fillId="3" fontId="3" numFmtId="164" xfId="0" applyAlignment="1" applyBorder="1" applyFont="1" applyNumberFormat="1">
      <alignment horizontal="right" shrinkToFit="0" vertical="center" wrapText="0"/>
    </xf>
    <xf borderId="1" fillId="3" fontId="3" numFmtId="49" xfId="0" applyAlignment="1" applyBorder="1" applyFont="1" applyNumberFormat="1">
      <alignment shrinkToFit="0" vertical="center" wrapText="0"/>
    </xf>
    <xf borderId="1" fillId="3" fontId="3" numFmtId="49" xfId="0" applyAlignment="1" applyBorder="1" applyFont="1" applyNumberFormat="1">
      <alignment horizontal="left" shrinkToFit="0" vertical="center" wrapText="0"/>
    </xf>
    <xf borderId="1" fillId="0" fontId="3" numFmtId="49" xfId="0" applyAlignment="1" applyBorder="1" applyFont="1" applyNumberFormat="1">
      <alignment shrinkToFit="0" vertical="center" wrapText="1"/>
    </xf>
    <xf borderId="1" fillId="3" fontId="3" numFmtId="165" xfId="0" applyAlignment="1" applyBorder="1" applyFont="1" applyNumberFormat="1">
      <alignment horizontal="center" shrinkToFit="0" vertical="center" wrapText="0"/>
    </xf>
    <xf borderId="1" fillId="0" fontId="3" numFmtId="0" xfId="0" applyAlignment="1" applyBorder="1" applyFont="1">
      <alignment horizontal="left" shrinkToFit="0" vertical="center" wrapText="0"/>
    </xf>
    <xf borderId="1" fillId="0" fontId="3" numFmtId="1" xfId="0" applyAlignment="1" applyBorder="1" applyFont="1" applyNumberFormat="1">
      <alignment horizontal="left" shrinkToFit="0" vertical="center" wrapText="0"/>
    </xf>
    <xf borderId="1" fillId="0" fontId="11" numFmtId="2" xfId="0" applyAlignment="1" applyBorder="1" applyFont="1" applyNumberFormat="1">
      <alignment horizontal="left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12" numFmtId="0" xfId="0" applyAlignment="1" applyBorder="1" applyFont="1">
      <alignment horizontal="left" shrinkToFit="0" vertical="center" wrapText="0"/>
    </xf>
    <xf borderId="1" fillId="0" fontId="13" numFmtId="0" xfId="0" applyAlignment="1" applyBorder="1" applyFont="1">
      <alignment horizontal="center" shrinkToFit="0" vertical="center" wrapText="0"/>
    </xf>
    <xf borderId="1" fillId="0" fontId="14" numFmtId="0" xfId="0" applyAlignment="1" applyBorder="1" applyFont="1">
      <alignment shrinkToFit="0" vertical="center" wrapText="0"/>
    </xf>
    <xf borderId="1" fillId="0" fontId="15" numFmtId="2" xfId="0" applyAlignment="1" applyBorder="1" applyFont="1" applyNumberFormat="1">
      <alignment horizontal="center" shrinkToFit="0" vertical="center" wrapText="0"/>
    </xf>
    <xf borderId="1" fillId="0" fontId="3" numFmtId="164" xfId="0" applyAlignment="1" applyBorder="1" applyFont="1" applyNumberFormat="1">
      <alignment horizontal="center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1" fillId="5" fontId="6" numFmtId="164" xfId="0" applyAlignment="1" applyBorder="1" applyFill="1" applyFont="1" applyNumberFormat="1">
      <alignment horizontal="center" shrinkToFit="0" vertical="center" wrapText="0"/>
    </xf>
    <xf borderId="1" fillId="0" fontId="3" numFmtId="9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3" numFmtId="164" xfId="0" applyAlignment="1" applyBorder="1" applyFont="1" applyNumberFormat="1">
      <alignment shrinkToFit="0" vertical="center" wrapText="0"/>
    </xf>
    <xf borderId="8" fillId="0" fontId="3" numFmtId="164" xfId="0" applyAlignment="1" applyBorder="1" applyFont="1" applyNumberFormat="1">
      <alignment horizontal="center" shrinkToFit="0" vertical="center" wrapText="0"/>
    </xf>
    <xf borderId="1" fillId="6" fontId="6" numFmtId="164" xfId="0" applyAlignment="1" applyBorder="1" applyFill="1" applyFont="1" applyNumberFormat="1">
      <alignment horizontal="center" shrinkToFit="0" vertical="center" wrapText="0"/>
    </xf>
    <xf borderId="8" fillId="0" fontId="3" numFmtId="0" xfId="0" applyAlignment="1" applyBorder="1" applyFont="1">
      <alignment horizontal="center" shrinkToFit="0" vertical="center" wrapText="0"/>
    </xf>
    <xf borderId="1" fillId="3" fontId="3" numFmtId="1" xfId="0" applyAlignment="1" applyBorder="1" applyFont="1" applyNumberFormat="1">
      <alignment horizontal="center" shrinkToFit="0" vertical="center" wrapText="0"/>
    </xf>
    <xf borderId="1" fillId="3" fontId="16" numFmtId="166" xfId="0" applyAlignment="1" applyBorder="1" applyFont="1" applyNumberFormat="1">
      <alignment horizontal="center" shrinkToFit="0" vertical="center" wrapText="0"/>
    </xf>
    <xf borderId="1" fillId="3" fontId="17" numFmtId="164" xfId="0" applyAlignment="1" applyBorder="1" applyFont="1" applyNumberFormat="1">
      <alignment horizontal="center" shrinkToFit="0" vertical="center" wrapText="0"/>
    </xf>
    <xf borderId="1" fillId="7" fontId="3" numFmtId="0" xfId="0" applyAlignment="1" applyBorder="1" applyFill="1" applyFont="1">
      <alignment horizontal="left" shrinkToFit="0" vertical="center" wrapText="0"/>
    </xf>
    <xf borderId="1" fillId="7" fontId="3" numFmtId="1" xfId="0" applyAlignment="1" applyBorder="1" applyFont="1" applyNumberFormat="1">
      <alignment horizontal="left" shrinkToFit="0" vertical="center" wrapText="0"/>
    </xf>
    <xf borderId="1" fillId="7" fontId="18" numFmtId="2" xfId="0" applyAlignment="1" applyBorder="1" applyFont="1" applyNumberFormat="1">
      <alignment horizontal="left" shrinkToFit="0" vertical="center" wrapText="0"/>
    </xf>
    <xf borderId="1" fillId="7" fontId="6" numFmtId="0" xfId="0" applyAlignment="1" applyBorder="1" applyFont="1">
      <alignment horizontal="center" shrinkToFit="0" vertical="center" wrapText="0"/>
    </xf>
    <xf borderId="1" fillId="7" fontId="3" numFmtId="0" xfId="0" applyAlignment="1" applyBorder="1" applyFont="1">
      <alignment shrinkToFit="0" vertical="center" wrapText="0"/>
    </xf>
    <xf borderId="1" fillId="7" fontId="3" numFmtId="0" xfId="0" applyAlignment="1" applyBorder="1" applyFont="1">
      <alignment horizontal="center" shrinkToFit="0" vertical="center" wrapText="0"/>
    </xf>
    <xf borderId="1" fillId="7" fontId="19" numFmtId="0" xfId="0" applyAlignment="1" applyBorder="1" applyFont="1">
      <alignment horizontal="left" shrinkToFit="0" vertical="center" wrapText="0"/>
    </xf>
    <xf borderId="1" fillId="7" fontId="20" numFmtId="0" xfId="0" applyAlignment="1" applyBorder="1" applyFont="1">
      <alignment horizontal="center" shrinkToFit="0" vertical="center" wrapText="0"/>
    </xf>
    <xf borderId="1" fillId="7" fontId="21" numFmtId="0" xfId="0" applyAlignment="1" applyBorder="1" applyFont="1">
      <alignment shrinkToFit="0" vertical="center" wrapText="0"/>
    </xf>
    <xf borderId="1" fillId="7" fontId="22" numFmtId="2" xfId="0" applyAlignment="1" applyBorder="1" applyFont="1" applyNumberFormat="1">
      <alignment horizontal="center" shrinkToFit="0" vertical="center" wrapText="0"/>
    </xf>
    <xf borderId="1" fillId="7" fontId="23" numFmtId="166" xfId="0" applyAlignment="1" applyBorder="1" applyFont="1" applyNumberFormat="1">
      <alignment horizontal="center" shrinkToFit="0" vertical="center" wrapText="0"/>
    </xf>
    <xf borderId="1" fillId="7" fontId="3" numFmtId="164" xfId="0" applyAlignment="1" applyBorder="1" applyFont="1" applyNumberFormat="1">
      <alignment horizontal="center" shrinkToFit="0" vertical="center" wrapText="0"/>
    </xf>
    <xf borderId="6" fillId="7" fontId="3" numFmtId="164" xfId="0" applyAlignment="1" applyBorder="1" applyFont="1" applyNumberFormat="1">
      <alignment shrinkToFit="0" vertical="center" wrapText="0"/>
    </xf>
    <xf borderId="6" fillId="7" fontId="3" numFmtId="0" xfId="0" applyAlignment="1" applyBorder="1" applyFont="1">
      <alignment shrinkToFit="0" vertical="center" wrapText="0"/>
    </xf>
    <xf borderId="1" fillId="7" fontId="3" numFmtId="2" xfId="0" applyAlignment="1" applyBorder="1" applyFont="1" applyNumberFormat="1">
      <alignment horizontal="center" shrinkToFit="0" vertical="center" wrapText="0"/>
    </xf>
    <xf borderId="1" fillId="7" fontId="3" numFmtId="9" xfId="0" applyAlignment="1" applyBorder="1" applyFont="1" applyNumberFormat="1">
      <alignment horizontal="center" shrinkToFit="0" vertical="center" wrapText="0"/>
    </xf>
    <xf borderId="1" fillId="7" fontId="3" numFmtId="49" xfId="0" applyAlignment="1" applyBorder="1" applyFont="1" applyNumberFormat="1">
      <alignment horizontal="center" shrinkToFit="0" vertical="center" wrapText="0"/>
    </xf>
    <xf borderId="1" fillId="7" fontId="1" numFmtId="0" xfId="0" applyAlignment="1" applyBorder="1" applyFont="1">
      <alignment horizontal="center" shrinkToFit="0" vertical="top" wrapText="1"/>
    </xf>
    <xf borderId="7" fillId="7" fontId="3" numFmtId="0" xfId="0" applyAlignment="1" applyBorder="1" applyFont="1">
      <alignment horizontal="center" shrinkToFit="0" vertical="center" wrapText="0"/>
    </xf>
    <xf borderId="7" fillId="3" fontId="3" numFmtId="0" xfId="0" applyAlignment="1" applyBorder="1" applyFont="1">
      <alignment horizontal="center" shrinkToFit="0" vertical="center" wrapText="0"/>
    </xf>
    <xf borderId="1" fillId="3" fontId="3" numFmtId="166" xfId="0" applyAlignment="1" applyBorder="1" applyFont="1" applyNumberFormat="1">
      <alignment horizontal="center" shrinkToFit="0" vertical="center" wrapText="0"/>
    </xf>
    <xf borderId="0" fillId="0" fontId="3" numFmtId="164" xfId="0" applyFont="1" applyNumberFormat="1"/>
    <xf borderId="1" fillId="7" fontId="3" numFmtId="164" xfId="0" applyAlignment="1" applyBorder="1" applyFont="1" applyNumberFormat="1">
      <alignment shrinkToFit="0" vertical="center" wrapText="0"/>
    </xf>
    <xf borderId="7" fillId="7" fontId="3" numFmtId="164" xfId="0" applyAlignment="1" applyBorder="1" applyFont="1" applyNumberFormat="1">
      <alignment horizontal="center" shrinkToFit="0" vertical="center" wrapText="0"/>
    </xf>
    <xf borderId="1" fillId="3" fontId="24" numFmtId="2" xfId="0" applyAlignment="1" applyBorder="1" applyFont="1" applyNumberFormat="1">
      <alignment horizontal="center" shrinkToFit="0" vertical="center" wrapText="0"/>
    </xf>
    <xf borderId="0" fillId="0" fontId="25" numFmtId="0" xfId="0" applyFont="1"/>
    <xf borderId="1" fillId="0" fontId="26" numFmtId="0" xfId="0" applyAlignment="1" applyBorder="1" applyFont="1">
      <alignment horizontal="left" shrinkToFit="0" vertical="center" wrapText="0"/>
    </xf>
    <xf borderId="1" fillId="3" fontId="27" numFmtId="0" xfId="0" applyAlignment="1" applyBorder="1" applyFont="1">
      <alignment horizontal="left" shrinkToFit="0" vertical="center" wrapText="0"/>
    </xf>
    <xf borderId="1" fillId="3" fontId="3" numFmtId="167" xfId="0" applyAlignment="1" applyBorder="1" applyFont="1" applyNumberFormat="1">
      <alignment horizontal="center" shrinkToFit="0" vertical="center" wrapText="0"/>
    </xf>
    <xf borderId="1" fillId="3" fontId="28" numFmtId="2" xfId="0" applyAlignment="1" applyBorder="1" applyFont="1" applyNumberFormat="1">
      <alignment horizontal="center" shrinkToFit="0" vertical="center" wrapText="0"/>
    </xf>
    <xf borderId="1" fillId="3" fontId="3" numFmtId="2" xfId="0" applyAlignment="1" applyBorder="1" applyFont="1" applyNumberFormat="1">
      <alignment horizontal="left" shrinkToFit="0" vertical="center" wrapText="0"/>
    </xf>
    <xf borderId="1" fillId="0" fontId="3" numFmtId="164" xfId="0" applyAlignment="1" applyBorder="1" applyFont="1" applyNumberFormat="1">
      <alignment horizontal="left" shrinkToFit="0" vertical="center" wrapText="0"/>
    </xf>
    <xf borderId="1" fillId="0" fontId="29" numFmtId="0" xfId="0" applyAlignment="1" applyBorder="1" applyFont="1">
      <alignment horizontal="left" shrinkToFit="0" vertical="center" wrapText="0"/>
    </xf>
    <xf borderId="1" fillId="0" fontId="24" numFmtId="2" xfId="0" applyAlignment="1" applyBorder="1" applyFont="1" applyNumberFormat="1">
      <alignment horizontal="center" shrinkToFit="0" vertical="center" wrapText="0"/>
    </xf>
    <xf borderId="1" fillId="0" fontId="3" numFmtId="49" xfId="0" applyAlignment="1" applyBorder="1" applyFont="1" applyNumberFormat="1">
      <alignment horizontal="right" shrinkToFit="0" vertical="center" wrapText="0"/>
    </xf>
    <xf borderId="8" fillId="0" fontId="3" numFmtId="49" xfId="0" applyAlignment="1" applyBorder="1" applyFont="1" applyNumberFormat="1">
      <alignment horizontal="center" shrinkToFit="0" vertical="center" wrapText="0"/>
    </xf>
    <xf borderId="1" fillId="7" fontId="24" numFmtId="2" xfId="0" applyAlignment="1" applyBorder="1" applyFont="1" applyNumberFormat="1">
      <alignment horizontal="center" shrinkToFit="0" vertical="center" wrapText="0"/>
    </xf>
    <xf borderId="1" fillId="7" fontId="6" numFmtId="164" xfId="0" applyAlignment="1" applyBorder="1" applyFont="1" applyNumberFormat="1">
      <alignment horizontal="center" shrinkToFit="0" vertical="center" wrapText="0"/>
    </xf>
    <xf borderId="1" fillId="3" fontId="30" numFmtId="2" xfId="0" applyAlignment="1" applyBorder="1" applyFont="1" applyNumberFormat="1">
      <alignment horizontal="center" shrinkToFit="0" vertical="center" wrapText="0"/>
    </xf>
    <xf borderId="1" fillId="0" fontId="31" numFmtId="2" xfId="0" applyAlignment="1" applyBorder="1" applyFont="1" applyNumberFormat="1">
      <alignment horizontal="center" shrinkToFit="0" vertical="center" wrapText="0"/>
    </xf>
    <xf borderId="1" fillId="0" fontId="32" numFmtId="166" xfId="0" applyAlignment="1" applyBorder="1" applyFont="1" applyNumberFormat="1">
      <alignment horizontal="center" shrinkToFit="0" vertical="center" wrapText="0"/>
    </xf>
    <xf borderId="1" fillId="6" fontId="3" numFmtId="164" xfId="0" applyAlignment="1" applyBorder="1" applyFont="1" applyNumberFormat="1">
      <alignment horizontal="center" shrinkToFit="0" vertical="center" wrapText="0"/>
    </xf>
    <xf borderId="1" fillId="7" fontId="33" numFmtId="2" xfId="0" applyAlignment="1" applyBorder="1" applyFont="1" applyNumberFormat="1">
      <alignment horizontal="center" shrinkToFit="0" vertical="center" wrapText="0"/>
    </xf>
    <xf borderId="9" fillId="7" fontId="3" numFmtId="166" xfId="0" applyAlignment="1" applyBorder="1" applyFont="1" applyNumberFormat="1">
      <alignment horizontal="center" shrinkToFit="0" vertical="center" wrapText="0"/>
    </xf>
    <xf borderId="9" fillId="7" fontId="3" numFmtId="0" xfId="0" applyAlignment="1" applyBorder="1" applyFont="1">
      <alignment horizontal="center" shrinkToFit="0" vertical="center" wrapText="0"/>
    </xf>
    <xf borderId="9" fillId="7" fontId="3" numFmtId="164" xfId="0" applyAlignment="1" applyBorder="1" applyFont="1" applyNumberFormat="1">
      <alignment horizontal="center" shrinkToFit="0" vertical="center" wrapText="0"/>
    </xf>
    <xf borderId="10" fillId="7" fontId="3" numFmtId="166" xfId="0" applyAlignment="1" applyBorder="1" applyFont="1" applyNumberFormat="1">
      <alignment horizontal="center" shrinkToFit="0" vertical="center" wrapText="0"/>
    </xf>
    <xf borderId="10" fillId="7" fontId="3" numFmtId="0" xfId="0" applyAlignment="1" applyBorder="1" applyFont="1">
      <alignment horizontal="center" shrinkToFit="0" vertical="center" wrapText="0"/>
    </xf>
    <xf borderId="10" fillId="7" fontId="3" numFmtId="164" xfId="0" applyAlignment="1" applyBorder="1" applyFont="1" applyNumberFormat="1">
      <alignment horizontal="center" shrinkToFit="0" vertical="center" wrapText="0"/>
    </xf>
    <xf borderId="1" fillId="0" fontId="3" numFmtId="166" xfId="0" applyAlignment="1" applyBorder="1" applyFont="1" applyNumberFormat="1">
      <alignment horizontal="center" shrinkToFit="0" vertical="center" wrapText="0"/>
    </xf>
    <xf borderId="0" fillId="0" fontId="3" numFmtId="49" xfId="0" applyAlignment="1" applyFont="1" applyNumberFormat="1">
      <alignment horizontal="center" shrinkToFit="0" vertical="center" wrapText="0"/>
    </xf>
    <xf borderId="1" fillId="7" fontId="3" numFmtId="166" xfId="0" applyAlignment="1" applyBorder="1" applyFont="1" applyNumberFormat="1">
      <alignment horizontal="center" shrinkToFit="0" vertical="center" wrapText="0"/>
    </xf>
    <xf borderId="1" fillId="2" fontId="3" numFmtId="168" xfId="0" applyAlignment="1" applyBorder="1" applyFont="1" applyNumberFormat="1">
      <alignment horizontal="center" shrinkToFit="0" vertical="center" wrapText="0"/>
    </xf>
    <xf borderId="1" fillId="8" fontId="3" numFmtId="0" xfId="0" applyAlignment="1" applyBorder="1" applyFill="1" applyFont="1">
      <alignment horizontal="left" shrinkToFit="0" vertical="center" wrapText="0"/>
    </xf>
    <xf borderId="1" fillId="8" fontId="3" numFmtId="1" xfId="0" applyAlignment="1" applyBorder="1" applyFont="1" applyNumberFormat="1">
      <alignment horizontal="left" shrinkToFit="0" vertical="center" wrapText="0"/>
    </xf>
    <xf borderId="1" fillId="8" fontId="3" numFmtId="2" xfId="0" applyAlignment="1" applyBorder="1" applyFont="1" applyNumberFormat="1">
      <alignment horizontal="left" shrinkToFit="0" vertical="center" wrapText="0"/>
    </xf>
    <xf borderId="1" fillId="8" fontId="3" numFmtId="0" xfId="0" applyAlignment="1" applyBorder="1" applyFont="1">
      <alignment horizontal="center" shrinkToFit="0" vertical="center" wrapText="0"/>
    </xf>
    <xf borderId="1" fillId="8" fontId="3" numFmtId="0" xfId="0" applyAlignment="1" applyBorder="1" applyFont="1">
      <alignment shrinkToFit="0" vertical="center" wrapText="0"/>
    </xf>
    <xf borderId="1" fillId="8" fontId="34" numFmtId="0" xfId="0" applyAlignment="1" applyBorder="1" applyFont="1">
      <alignment horizontal="left" shrinkToFit="0" vertical="center" wrapText="0"/>
    </xf>
    <xf borderId="1" fillId="8" fontId="35" numFmtId="0" xfId="0" applyAlignment="1" applyBorder="1" applyFont="1">
      <alignment shrinkToFit="0" vertical="center" wrapText="0"/>
    </xf>
    <xf borderId="1" fillId="8" fontId="24" numFmtId="2" xfId="0" applyAlignment="1" applyBorder="1" applyFont="1" applyNumberFormat="1">
      <alignment horizontal="center" shrinkToFit="0" vertical="center" wrapText="0"/>
    </xf>
    <xf borderId="1" fillId="8" fontId="3" numFmtId="164" xfId="0" applyAlignment="1" applyBorder="1" applyFont="1" applyNumberFormat="1">
      <alignment horizontal="center" shrinkToFit="0" vertical="center" wrapText="0"/>
    </xf>
    <xf borderId="6" fillId="8" fontId="3" numFmtId="164" xfId="0" applyAlignment="1" applyBorder="1" applyFont="1" applyNumberFormat="1">
      <alignment shrinkToFit="0" vertical="center" wrapText="0"/>
    </xf>
    <xf borderId="6" fillId="8" fontId="3" numFmtId="0" xfId="0" applyAlignment="1" applyBorder="1" applyFont="1">
      <alignment shrinkToFit="0" vertical="center" wrapText="0"/>
    </xf>
    <xf borderId="1" fillId="8" fontId="3" numFmtId="2" xfId="0" applyAlignment="1" applyBorder="1" applyFont="1" applyNumberFormat="1">
      <alignment horizontal="center" shrinkToFit="0" vertical="center" wrapText="0"/>
    </xf>
    <xf borderId="1" fillId="8" fontId="3" numFmtId="9" xfId="0" applyAlignment="1" applyBorder="1" applyFont="1" applyNumberFormat="1">
      <alignment horizontal="center" shrinkToFit="0" vertical="center" wrapText="0"/>
    </xf>
    <xf borderId="1" fillId="8" fontId="3" numFmtId="49" xfId="0" applyAlignment="1" applyBorder="1" applyFont="1" applyNumberFormat="1">
      <alignment horizontal="center" shrinkToFit="0" vertical="center" wrapText="0"/>
    </xf>
    <xf borderId="1" fillId="8" fontId="1" numFmtId="0" xfId="0" applyAlignment="1" applyBorder="1" applyFont="1">
      <alignment horizontal="center" shrinkToFit="0" vertical="center" wrapText="0"/>
    </xf>
    <xf borderId="7" fillId="8" fontId="3" numFmtId="0" xfId="0" applyAlignment="1" applyBorder="1" applyFont="1">
      <alignment horizontal="center" shrinkToFit="0" vertical="center" wrapText="0"/>
    </xf>
    <xf borderId="1" fillId="8" fontId="36" numFmtId="1" xfId="0" applyAlignment="1" applyBorder="1" applyFont="1" applyNumberFormat="1">
      <alignment horizontal="left" shrinkToFit="0" vertical="center" wrapText="0"/>
    </xf>
    <xf borderId="1" fillId="8" fontId="37" numFmtId="0" xfId="0" applyAlignment="1" applyBorder="1" applyFont="1">
      <alignment horizontal="center" shrinkToFit="0" vertical="center" wrapText="0"/>
    </xf>
    <xf borderId="1" fillId="7" fontId="3" numFmtId="2" xfId="0" applyAlignment="1" applyBorder="1" applyFont="1" applyNumberFormat="1">
      <alignment horizontal="left" shrinkToFit="0" vertical="center" wrapText="0"/>
    </xf>
    <xf borderId="1" fillId="9" fontId="3" numFmtId="164" xfId="0" applyAlignment="1" applyBorder="1" applyFill="1" applyFont="1" applyNumberFormat="1">
      <alignment horizontal="center" shrinkToFit="0" vertical="center" wrapText="0"/>
    </xf>
    <xf borderId="1" fillId="0" fontId="3" numFmtId="4" xfId="0" applyAlignment="1" applyBorder="1" applyFont="1" applyNumberFormat="1">
      <alignment horizontal="center" shrinkToFit="0" vertical="center" wrapText="0"/>
    </xf>
    <xf borderId="1" fillId="7" fontId="38" numFmtId="0" xfId="0" applyAlignment="1" applyBorder="1" applyFont="1">
      <alignment horizontal="center" shrinkToFit="0" vertical="center" wrapText="0"/>
    </xf>
    <xf borderId="1" fillId="7" fontId="30" numFmtId="2" xfId="0" applyAlignment="1" applyBorder="1" applyFont="1" applyNumberFormat="1">
      <alignment horizontal="center" shrinkToFit="0" vertical="center" wrapText="0"/>
    </xf>
    <xf borderId="1" fillId="0" fontId="30" numFmtId="2" xfId="0" applyAlignment="1" applyBorder="1" applyFont="1" applyNumberFormat="1">
      <alignment horizontal="center" shrinkToFit="0" vertical="center" wrapText="0"/>
    </xf>
    <xf borderId="1" fillId="0" fontId="39" numFmtId="1" xfId="0" applyAlignment="1" applyBorder="1" applyFont="1" applyNumberFormat="1">
      <alignment horizontal="left" shrinkToFit="0" vertical="center" wrapText="0"/>
    </xf>
    <xf borderId="1" fillId="10" fontId="3" numFmtId="0" xfId="0" applyAlignment="1" applyBorder="1" applyFill="1" applyFont="1">
      <alignment horizontal="left" shrinkToFit="0" vertical="center" wrapText="0"/>
    </xf>
    <xf borderId="1" fillId="10" fontId="3" numFmtId="1" xfId="0" applyAlignment="1" applyBorder="1" applyFont="1" applyNumberFormat="1">
      <alignment horizontal="left" shrinkToFit="0" vertical="center" wrapText="0"/>
    </xf>
    <xf borderId="1" fillId="10" fontId="40" numFmtId="0" xfId="0" applyAlignment="1" applyBorder="1" applyFont="1">
      <alignment shrinkToFit="0" vertical="center" wrapText="0"/>
    </xf>
    <xf borderId="1" fillId="10" fontId="3" numFmtId="0" xfId="0" applyAlignment="1" applyBorder="1" applyFont="1">
      <alignment horizontal="center" shrinkToFit="0" vertical="center" wrapText="0"/>
    </xf>
    <xf borderId="1" fillId="10" fontId="3" numFmtId="0" xfId="0" applyAlignment="1" applyBorder="1" applyFont="1">
      <alignment shrinkToFit="0" vertical="center" wrapText="0"/>
    </xf>
    <xf borderId="1" fillId="10" fontId="41" numFmtId="0" xfId="0" applyAlignment="1" applyBorder="1" applyFont="1">
      <alignment horizontal="left" shrinkToFit="0" vertical="center" wrapText="0"/>
    </xf>
    <xf borderId="1" fillId="10" fontId="42" numFmtId="0" xfId="0" applyAlignment="1" applyBorder="1" applyFont="1">
      <alignment horizontal="center" shrinkToFit="0" vertical="center" wrapText="0"/>
    </xf>
    <xf borderId="1" fillId="10" fontId="24" numFmtId="2" xfId="0" applyAlignment="1" applyBorder="1" applyFont="1" applyNumberFormat="1">
      <alignment horizontal="center" shrinkToFit="0" vertical="center" wrapText="0"/>
    </xf>
    <xf borderId="1" fillId="10" fontId="3" numFmtId="164" xfId="0" applyAlignment="1" applyBorder="1" applyFont="1" applyNumberFormat="1">
      <alignment horizontal="center" shrinkToFit="0" vertical="center" wrapText="0"/>
    </xf>
    <xf borderId="6" fillId="10" fontId="3" numFmtId="164" xfId="0" applyAlignment="1" applyBorder="1" applyFont="1" applyNumberFormat="1">
      <alignment shrinkToFit="0" vertical="center" wrapText="0"/>
    </xf>
    <xf borderId="6" fillId="10" fontId="3" numFmtId="0" xfId="0" applyAlignment="1" applyBorder="1" applyFont="1">
      <alignment shrinkToFit="0" vertical="center" wrapText="0"/>
    </xf>
    <xf borderId="1" fillId="10" fontId="3" numFmtId="164" xfId="0" applyAlignment="1" applyBorder="1" applyFont="1" applyNumberFormat="1">
      <alignment shrinkToFit="0" vertical="center" wrapText="0"/>
    </xf>
    <xf borderId="1" fillId="10" fontId="6" numFmtId="164" xfId="0" applyAlignment="1" applyBorder="1" applyFont="1" applyNumberFormat="1">
      <alignment horizontal="center" shrinkToFit="0" vertical="center" wrapText="0"/>
    </xf>
    <xf borderId="1" fillId="10" fontId="3" numFmtId="2" xfId="0" applyAlignment="1" applyBorder="1" applyFont="1" applyNumberFormat="1">
      <alignment horizontal="center" shrinkToFit="0" vertical="center" wrapText="0"/>
    </xf>
    <xf borderId="1" fillId="10" fontId="3" numFmtId="9" xfId="0" applyAlignment="1" applyBorder="1" applyFont="1" applyNumberFormat="1">
      <alignment horizontal="center" shrinkToFit="0" vertical="center" wrapText="0"/>
    </xf>
    <xf borderId="1" fillId="10" fontId="1" numFmtId="0" xfId="0" applyAlignment="1" applyBorder="1" applyFont="1">
      <alignment horizontal="center" shrinkToFit="0" vertical="center" wrapText="0"/>
    </xf>
    <xf borderId="7" fillId="10" fontId="3" numFmtId="0" xfId="0" applyAlignment="1" applyBorder="1" applyFont="1">
      <alignment horizontal="center" shrinkToFit="0" vertical="center" wrapText="0"/>
    </xf>
    <xf borderId="1" fillId="7" fontId="1" numFmtId="0" xfId="0" applyAlignment="1" applyBorder="1" applyFont="1">
      <alignment horizontal="center" shrinkToFit="0" vertical="center" wrapText="0"/>
    </xf>
    <xf borderId="1" fillId="7" fontId="4" numFmtId="0" xfId="0" applyAlignment="1" applyBorder="1" applyFont="1">
      <alignment shrinkToFit="0" vertical="center" wrapText="0"/>
    </xf>
    <xf borderId="6" fillId="7" fontId="3" numFmtId="164" xfId="0" applyAlignment="1" applyBorder="1" applyFont="1" applyNumberFormat="1">
      <alignment horizontal="center" shrinkToFit="0" vertical="center" wrapText="0"/>
    </xf>
    <xf borderId="6" fillId="7" fontId="3" numFmtId="0" xfId="0" applyAlignment="1" applyBorder="1" applyFont="1">
      <alignment horizontal="center" shrinkToFit="0" vertical="center" wrapText="0"/>
    </xf>
    <xf borderId="0" fillId="0" fontId="3" numFmtId="164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11" fillId="0" fontId="3" numFmtId="0" xfId="0" applyAlignment="1" applyBorder="1" applyFont="1">
      <alignment horizontal="center" shrinkToFit="0" vertical="center" wrapText="0"/>
    </xf>
    <xf borderId="12" fillId="7" fontId="3" numFmtId="0" xfId="0" applyAlignment="1" applyBorder="1" applyFont="1">
      <alignment horizontal="center" shrinkToFit="0" vertical="center" wrapText="0"/>
    </xf>
    <xf borderId="13" fillId="7" fontId="3" numFmtId="0" xfId="0" applyAlignment="1" applyBorder="1" applyFont="1">
      <alignment horizontal="center" shrinkToFit="0" vertical="center" wrapText="0"/>
    </xf>
    <xf borderId="14" fillId="0" fontId="3" numFmtId="0" xfId="0" applyAlignment="1" applyBorder="1" applyFont="1">
      <alignment horizontal="center" shrinkToFit="0" vertical="center" wrapText="0"/>
    </xf>
    <xf borderId="9" fillId="7" fontId="3" numFmtId="0" xfId="0" applyAlignment="1" applyBorder="1" applyFont="1">
      <alignment horizontal="left" shrinkToFit="0" vertical="center" wrapText="0"/>
    </xf>
    <xf borderId="9" fillId="4" fontId="4" numFmtId="0" xfId="0" applyAlignment="1" applyBorder="1" applyFont="1">
      <alignment shrinkToFit="0" vertical="center" wrapText="0"/>
    </xf>
    <xf borderId="9" fillId="7" fontId="3" numFmtId="1" xfId="0" applyAlignment="1" applyBorder="1" applyFont="1" applyNumberFormat="1">
      <alignment horizontal="left" shrinkToFit="0" vertical="center" wrapText="0"/>
    </xf>
    <xf borderId="9" fillId="7" fontId="43" numFmtId="0" xfId="0" applyAlignment="1" applyBorder="1" applyFont="1">
      <alignment shrinkToFit="0" vertical="center" wrapText="0"/>
    </xf>
    <xf borderId="9" fillId="7" fontId="38" numFmtId="0" xfId="0" applyAlignment="1" applyBorder="1" applyFont="1">
      <alignment horizontal="center" shrinkToFit="0" vertical="center" wrapText="0"/>
    </xf>
    <xf borderId="9" fillId="7" fontId="44" numFmtId="0" xfId="0" applyAlignment="1" applyBorder="1" applyFont="1">
      <alignment horizontal="left" shrinkToFit="0" vertical="center" wrapText="0"/>
    </xf>
    <xf borderId="9" fillId="7" fontId="45" numFmtId="0" xfId="0" applyAlignment="1" applyBorder="1" applyFont="1">
      <alignment horizontal="center" shrinkToFit="0" vertical="center" wrapText="0"/>
    </xf>
    <xf borderId="9" fillId="7" fontId="24" numFmtId="2" xfId="0" applyAlignment="1" applyBorder="1" applyFont="1" applyNumberFormat="1">
      <alignment horizontal="center" shrinkToFit="0" vertical="center" wrapText="0"/>
    </xf>
    <xf borderId="15" fillId="7" fontId="3" numFmtId="164" xfId="0" applyAlignment="1" applyBorder="1" applyFont="1" applyNumberFormat="1">
      <alignment horizontal="center" shrinkToFit="0" vertical="center" wrapText="0"/>
    </xf>
    <xf borderId="16" fillId="7" fontId="3" numFmtId="0" xfId="0" applyAlignment="1" applyBorder="1" applyFont="1">
      <alignment horizontal="center" shrinkToFit="0" vertical="center" wrapText="0"/>
    </xf>
    <xf borderId="17" fillId="7" fontId="3" numFmtId="0" xfId="0" applyAlignment="1" applyBorder="1" applyFont="1">
      <alignment horizontal="center" shrinkToFit="0" vertical="center" wrapText="0"/>
    </xf>
    <xf borderId="9" fillId="7" fontId="3" numFmtId="164" xfId="0" applyAlignment="1" applyBorder="1" applyFont="1" applyNumberFormat="1">
      <alignment shrinkToFit="0" vertical="center" wrapText="0"/>
    </xf>
    <xf borderId="9" fillId="7" fontId="3" numFmtId="0" xfId="0" applyAlignment="1" applyBorder="1" applyFont="1">
      <alignment shrinkToFit="0" vertical="center" wrapText="0"/>
    </xf>
    <xf borderId="9" fillId="7" fontId="3" numFmtId="2" xfId="0" applyAlignment="1" applyBorder="1" applyFont="1" applyNumberFormat="1">
      <alignment horizontal="center" shrinkToFit="0" vertical="center" wrapText="0"/>
    </xf>
    <xf borderId="9" fillId="7" fontId="3" numFmtId="9" xfId="0" applyAlignment="1" applyBorder="1" applyFont="1" applyNumberFormat="1">
      <alignment horizontal="center" shrinkToFit="0" vertical="center" wrapText="0"/>
    </xf>
    <xf borderId="9" fillId="7" fontId="3" numFmtId="49" xfId="0" applyAlignment="1" applyBorder="1" applyFont="1" applyNumberFormat="1">
      <alignment horizontal="center" shrinkToFit="0" vertical="center" wrapText="0"/>
    </xf>
    <xf borderId="15" fillId="7" fontId="3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7" fontId="46" numFmtId="0" xfId="0" applyAlignment="1" applyBorder="1" applyFont="1">
      <alignment horizontal="left" shrinkToFit="0" vertical="center" wrapText="0"/>
    </xf>
    <xf borderId="1" fillId="0" fontId="47" numFmtId="0" xfId="0" applyAlignment="1" applyBorder="1" applyFont="1">
      <alignment shrinkToFit="0" vertical="center" wrapText="0"/>
    </xf>
    <xf borderId="0" fillId="0" fontId="3" numFmtId="0" xfId="0" applyAlignment="1" applyFont="1">
      <alignment horizontal="left"/>
    </xf>
    <xf borderId="0" fillId="0" fontId="1" numFmtId="0" xfId="0" applyAlignment="1" applyFont="1">
      <alignment horizontal="left"/>
    </xf>
    <xf borderId="6" fillId="11" fontId="3" numFmtId="0" xfId="0" applyBorder="1" applyFill="1" applyFont="1"/>
    <xf borderId="0" fillId="0" fontId="3" numFmtId="168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  <tableStyles count="1">
    <tableStyle count="4" pivot="0" name=" En tramite 23-26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BM244" displayName="Tabla1" name="Tabla1" id="1">
  <tableColumns count="65">
    <tableColumn name="No. REGISTRO" id="1"/>
    <tableColumn name="CONSECUTIVO" id="2"/>
    <tableColumn name="No. CONSTANCIA" id="3"/>
    <tableColumn name="NOMBRE" id="4"/>
    <tableColumn name="Nombre Minusculas" id="5"/>
    <tableColumn name="MATRÍCULA" id="6"/>
    <tableColumn name="TELÉFONO" id="7"/>
    <tableColumn name="CORREO ESTUDIANTE" id="8"/>
    <tableColumn name="GRADO-CARRERA" id="9"/>
    <tableColumn name="TURNO" id="10"/>
    <tableColumn name="CARRERA" id="11"/>
    <tableColumn name="OBSERVACIONES" id="12"/>
    <tableColumn name="PROCESO" id="13"/>
    <tableColumn name="EMPRESA" id="14"/>
    <tableColumn name="SECTOR" id="15"/>
    <tableColumn name="NOMBRE DEL PROYECTO " id="16"/>
    <tableColumn name="TEL. EMPRESA" id="17"/>
    <tableColumn name="DIRECCIÓN EMPRESA" id="18"/>
    <tableColumn name="CORR. EM" id="19"/>
    <tableColumn name="GENERACIÓN " id="20"/>
    <tableColumn name="H/M" id="21"/>
    <tableColumn name="BECADOS " id="22"/>
    <tableColumn name="MONTO " id="23"/>
    <tableColumn name="S. PRÁC" id="24"/>
    <tableColumn name="S. PRÁC." id="25"/>
    <tableColumn name="F. INICIO" id="26"/>
    <tableColumn name="DIA " id="27"/>
    <tableColumn name="MES" id="28"/>
    <tableColumn name="AÑO " id="29"/>
    <tableColumn name="C.PRES." id="30"/>
    <tableColumn name="C.PRES.2" id="31"/>
    <tableColumn name="F.C.P" id="32"/>
    <tableColumn name="C. ACEP" id="33"/>
    <tableColumn name="C. ACEP." id="34"/>
    <tableColumn name="F.C.A" id="35"/>
    <tableColumn name="DIA 3" id="36"/>
    <tableColumn name="MES4" id="37"/>
    <tableColumn name="AÑO 5" id="38"/>
    <tableColumn name="P. TRABJ" id="39"/>
    <tableColumn name="P. TRABJ." id="40"/>
    <tableColumn name="F. P.TR" id="41"/>
    <tableColumn name="I. INTER" id="42"/>
    <tableColumn name="I. INTER." id="43"/>
    <tableColumn name="F.I.I." id="44"/>
    <tableColumn name="F.L. I.I." id="45"/>
    <tableColumn name="ESTADO" id="46"/>
    <tableColumn name="INF. FINAL" id="47"/>
    <tableColumn name="INF. FINAL6" id="48"/>
    <tableColumn name="F.I.FINAL" id="49"/>
    <tableColumn name="ESTADO7" id="50"/>
    <tableColumn name="R-E-FINAL" id="51"/>
    <tableColumn name="R-E-FINAL8" id="52"/>
    <tableColumn name="F.R-E FINAL" id="53"/>
    <tableColumn name="CONS.T" id="54"/>
    <tableColumn name="C.T" id="55"/>
    <tableColumn name="F.C.T" id="56"/>
    <tableColumn name="DIA2" id="57"/>
    <tableColumn name="MES2" id="58"/>
    <tableColumn name="AÑO2" id="59"/>
    <tableColumn name="PROMEDIO" id="60"/>
    <tableColumn name="TIEMPO DEL PROCESO" id="61"/>
    <tableColumn name="RESUMEN -OBSERVACIONES " id="62"/>
    <tableColumn name="CARPETA" id="63"/>
    <tableColumn name="PASO POR CONSTANCIA " id="64"/>
    <tableColumn name="P.C." id="65"/>
  </tableColumns>
  <tableStyleInfo name=" En tramite 23-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mailto:f.lopez@emka.mx" TargetMode="External"/><Relationship Id="rId194" Type="http://schemas.openxmlformats.org/officeDocument/2006/relationships/hyperlink" Target="mailto:fm.jroberto@hotmail.com" TargetMode="External"/><Relationship Id="rId193" Type="http://schemas.openxmlformats.org/officeDocument/2006/relationships/hyperlink" Target="mailto:juanajuarez5@cecyteq.edu.mx" TargetMode="External"/><Relationship Id="rId192" Type="http://schemas.openxmlformats.org/officeDocument/2006/relationships/hyperlink" Target="mailto:schoenstattlaboratorio@gmail.com" TargetMode="External"/><Relationship Id="rId191" Type="http://schemas.openxmlformats.org/officeDocument/2006/relationships/hyperlink" Target="mailto:gabrielarico3@cecyteq.edu.mx" TargetMode="External"/><Relationship Id="rId187" Type="http://schemas.openxmlformats.org/officeDocument/2006/relationships/hyperlink" Target="about:blank" TargetMode="External"/><Relationship Id="rId186" Type="http://schemas.openxmlformats.org/officeDocument/2006/relationships/hyperlink" Target="mailto:22des0014e@Usebeq.edu.mx" TargetMode="External"/><Relationship Id="rId185" Type="http://schemas.openxmlformats.org/officeDocument/2006/relationships/hyperlink" Target="mailto:schoenstattbecerril@cecyteq.edu.mx" TargetMode="External"/><Relationship Id="rId184" Type="http://schemas.openxmlformats.org/officeDocument/2006/relationships/hyperlink" Target="mailto:fertilsuelo@gmail.com" TargetMode="External"/><Relationship Id="rId189" Type="http://schemas.openxmlformats.org/officeDocument/2006/relationships/hyperlink" Target="mailto:josselyncabrera@cecyteq.edu.mx" TargetMode="External"/><Relationship Id="rId188" Type="http://schemas.openxmlformats.org/officeDocument/2006/relationships/hyperlink" Target="mailto:22des0014e@Usebeq.edu.mx" TargetMode="External"/><Relationship Id="rId183" Type="http://schemas.openxmlformats.org/officeDocument/2006/relationships/hyperlink" Target="mailto:tamaramoya@cecyteq.edu.mx" TargetMode="External"/><Relationship Id="rId182" Type="http://schemas.openxmlformats.org/officeDocument/2006/relationships/hyperlink" Target="mailto:fertilsuelo@gmail.com" TargetMode="External"/><Relationship Id="rId181" Type="http://schemas.openxmlformats.org/officeDocument/2006/relationships/hyperlink" Target="mailto:azulnavarroserna@gmail.com" TargetMode="External"/><Relationship Id="rId180" Type="http://schemas.openxmlformats.org/officeDocument/2006/relationships/hyperlink" Target="mailto:fertilsuelo@gmail.com" TargetMode="External"/><Relationship Id="rId176" Type="http://schemas.openxmlformats.org/officeDocument/2006/relationships/hyperlink" Target="mailto:e.armendariz@cecyteq.edu.mx" TargetMode="External"/><Relationship Id="rId297" Type="http://schemas.openxmlformats.org/officeDocument/2006/relationships/hyperlink" Target="mailto:yoselinchavez4@cecyteq.edu.mx" TargetMode="External"/><Relationship Id="rId175" Type="http://schemas.openxmlformats.org/officeDocument/2006/relationships/hyperlink" Target="mailto:salvadormartinez23@cecyteq.edu.mx" TargetMode="External"/><Relationship Id="rId296" Type="http://schemas.openxmlformats.org/officeDocument/2006/relationships/hyperlink" Target="mailto:teresa.r@cecyteq.edu.mx" TargetMode="External"/><Relationship Id="rId174" Type="http://schemas.openxmlformats.org/officeDocument/2006/relationships/hyperlink" Target="mailto:e.armendariz@cecyteq.edu.mx" TargetMode="External"/><Relationship Id="rId295" Type="http://schemas.openxmlformats.org/officeDocument/2006/relationships/hyperlink" Target="mailto:briandahuerta@cecyteq.edu.mx" TargetMode="External"/><Relationship Id="rId173" Type="http://schemas.openxmlformats.org/officeDocument/2006/relationships/hyperlink" Target="mailto:enriqueledezma@cecyteq.edu.mx" TargetMode="External"/><Relationship Id="rId294" Type="http://schemas.openxmlformats.org/officeDocument/2006/relationships/hyperlink" Target="mailto:teresa.r@cecyteq.edu.mx" TargetMode="External"/><Relationship Id="rId179" Type="http://schemas.openxmlformats.org/officeDocument/2006/relationships/hyperlink" Target="mailto:dianagomez1@cecyteq.edu.mx" TargetMode="External"/><Relationship Id="rId178" Type="http://schemas.openxmlformats.org/officeDocument/2006/relationships/hyperlink" Target="mailto:e.armendariz@cecyteq.edu.mx" TargetMode="External"/><Relationship Id="rId299" Type="http://schemas.openxmlformats.org/officeDocument/2006/relationships/hyperlink" Target="mailto:4421065628aldrichcarbajal@cecyteq.com" TargetMode="External"/><Relationship Id="rId177" Type="http://schemas.openxmlformats.org/officeDocument/2006/relationships/hyperlink" Target="mailto:dantetrujillo@cecyteq.edu.mx" TargetMode="External"/><Relationship Id="rId298" Type="http://schemas.openxmlformats.org/officeDocument/2006/relationships/hyperlink" Target="mailto:pediatras804@gmail.com" TargetMode="External"/><Relationship Id="rId198" Type="http://schemas.openxmlformats.org/officeDocument/2006/relationships/hyperlink" Target="mailto:alondrade45@cecyteq.edu.mx" TargetMode="External"/><Relationship Id="rId197" Type="http://schemas.openxmlformats.org/officeDocument/2006/relationships/hyperlink" Target="mailto:marianela.talavera@uteq.edu.mx" TargetMode="External"/><Relationship Id="rId196" Type="http://schemas.openxmlformats.org/officeDocument/2006/relationships/hyperlink" Target="mailto:alejandrocastillo16@cecyteq.edu.mx" TargetMode="External"/><Relationship Id="rId195" Type="http://schemas.openxmlformats.org/officeDocument/2006/relationships/hyperlink" Target="mailto:23422070060635@cecyteq.edu.mx" TargetMode="External"/><Relationship Id="rId199" Type="http://schemas.openxmlformats.org/officeDocument/2006/relationships/hyperlink" Target="mailto:angeltorres2@cecyteq.edu.mx" TargetMode="External"/><Relationship Id="rId150" Type="http://schemas.openxmlformats.org/officeDocument/2006/relationships/hyperlink" Target="mailto:axelarteaga@cecyteq.edu.mx" TargetMode="External"/><Relationship Id="rId271" Type="http://schemas.openxmlformats.org/officeDocument/2006/relationships/hyperlink" Target="mailto:josue.s@cecyteq.edu.mx" TargetMode="External"/><Relationship Id="rId392" Type="http://schemas.openxmlformats.org/officeDocument/2006/relationships/hyperlink" Target="mailto:marianela.talavera@uteq.edu.mx" TargetMode="External"/><Relationship Id="rId270" Type="http://schemas.openxmlformats.org/officeDocument/2006/relationships/hyperlink" Target="mailto:juandiaz178@cecyteq.edu.mx" TargetMode="External"/><Relationship Id="rId391" Type="http://schemas.openxmlformats.org/officeDocument/2006/relationships/hyperlink" Target="mailto:martinarvizu2@cecyteq.edu.mx" TargetMode="External"/><Relationship Id="rId390" Type="http://schemas.openxmlformats.org/officeDocument/2006/relationships/hyperlink" Target="about:blank" TargetMode="External"/><Relationship Id="rId1" Type="http://schemas.openxmlformats.org/officeDocument/2006/relationships/comments" Target="../comments1.xml"/><Relationship Id="rId2" Type="http://schemas.openxmlformats.org/officeDocument/2006/relationships/hyperlink" Target="mailto:brendamagallon@cecyteq.edu.mx" TargetMode="External"/><Relationship Id="rId3" Type="http://schemas.openxmlformats.org/officeDocument/2006/relationships/hyperlink" Target="mailto:polygon3dworkshop@gmail.com" TargetMode="External"/><Relationship Id="rId149" Type="http://schemas.openxmlformats.org/officeDocument/2006/relationships/hyperlink" Target="mailto:e.armendariz@cecyteq.edu.mx" TargetMode="External"/><Relationship Id="rId4" Type="http://schemas.openxmlformats.org/officeDocument/2006/relationships/hyperlink" Target="about:blank" TargetMode="External"/><Relationship Id="rId148" Type="http://schemas.openxmlformats.org/officeDocument/2006/relationships/hyperlink" Target="mailto:marcosamano1@cecyteq.edu.mx" TargetMode="External"/><Relationship Id="rId269" Type="http://schemas.openxmlformats.org/officeDocument/2006/relationships/hyperlink" Target="mailto:joel@materiasprimas.com" TargetMode="External"/><Relationship Id="rId9" Type="http://schemas.openxmlformats.org/officeDocument/2006/relationships/hyperlink" Target="mailto:teresa.r@cecyteq.edu.mx" TargetMode="External"/><Relationship Id="rId143" Type="http://schemas.openxmlformats.org/officeDocument/2006/relationships/hyperlink" Target="mailto:e.armendariz@cecyteq.edu.mx" TargetMode="External"/><Relationship Id="rId264" Type="http://schemas.openxmlformats.org/officeDocument/2006/relationships/hyperlink" Target="mailto:dulcerojas18@cecyteq.edu.mx" TargetMode="External"/><Relationship Id="rId385" Type="http://schemas.openxmlformats.org/officeDocument/2006/relationships/hyperlink" Target="mailto:valeriasanchez45@cecyteq.edu.mx" TargetMode="External"/><Relationship Id="rId142" Type="http://schemas.openxmlformats.org/officeDocument/2006/relationships/hyperlink" Target="mailto:joshuaalarcon@cecyteq.edu.mx" TargetMode="External"/><Relationship Id="rId263" Type="http://schemas.openxmlformats.org/officeDocument/2006/relationships/hyperlink" Target="mailto:tadeoolvera1@cecyteq.edu.mx" TargetMode="External"/><Relationship Id="rId384" Type="http://schemas.openxmlformats.org/officeDocument/2006/relationships/hyperlink" Target="mailto:e.armendariz@cecyteq.edu.mx" TargetMode="External"/><Relationship Id="rId141" Type="http://schemas.openxmlformats.org/officeDocument/2006/relationships/hyperlink" Target="mailto:e.armendariz@cecyteq.edu.mx" TargetMode="External"/><Relationship Id="rId262" Type="http://schemas.openxmlformats.org/officeDocument/2006/relationships/hyperlink" Target="mailto:jlavadores@ponga.mx" TargetMode="External"/><Relationship Id="rId383" Type="http://schemas.openxmlformats.org/officeDocument/2006/relationships/hyperlink" Target="mailto:gabrielrodriguez49@cecyteq.edu.mx" TargetMode="External"/><Relationship Id="rId140" Type="http://schemas.openxmlformats.org/officeDocument/2006/relationships/hyperlink" Target="mailto:angelgonzalez27@cecyteq.edu.mx" TargetMode="External"/><Relationship Id="rId261" Type="http://schemas.openxmlformats.org/officeDocument/2006/relationships/hyperlink" Target="mailto:yaretzilopez1@cecyteq.edu.mx" TargetMode="External"/><Relationship Id="rId382" Type="http://schemas.openxmlformats.org/officeDocument/2006/relationships/hyperlink" Target="mailto:ingenieria@iaref.mx" TargetMode="External"/><Relationship Id="rId5" Type="http://schemas.openxmlformats.org/officeDocument/2006/relationships/hyperlink" Target="mailto:e.armendariz@cecyteq.edu.mx" TargetMode="External"/><Relationship Id="rId147" Type="http://schemas.openxmlformats.org/officeDocument/2006/relationships/hyperlink" Target="mailto:mrbordados25@gmail.com" TargetMode="External"/><Relationship Id="rId268" Type="http://schemas.openxmlformats.org/officeDocument/2006/relationships/hyperlink" Target="mailto:gabrielcervantes8@cecyteq.edu.mx" TargetMode="External"/><Relationship Id="rId389" Type="http://schemas.openxmlformats.org/officeDocument/2006/relationships/hyperlink" Target="mailto:lucero.r@cecyteq.edu.mx" TargetMode="External"/><Relationship Id="rId6" Type="http://schemas.openxmlformats.org/officeDocument/2006/relationships/hyperlink" Target="mailto:juanhernadez14@cecyteq.edu.cm" TargetMode="External"/><Relationship Id="rId146" Type="http://schemas.openxmlformats.org/officeDocument/2006/relationships/hyperlink" Target="mailto:sofiauribe1@cecyteq.edu.mx" TargetMode="External"/><Relationship Id="rId267" Type="http://schemas.openxmlformats.org/officeDocument/2006/relationships/hyperlink" Target="mailto:evelunmontes4@cecyteq.edu.mx" TargetMode="External"/><Relationship Id="rId388" Type="http://schemas.openxmlformats.org/officeDocument/2006/relationships/hyperlink" Target="mailto:flor.morales@eliverconsultores.com" TargetMode="External"/><Relationship Id="rId7" Type="http://schemas.openxmlformats.org/officeDocument/2006/relationships/hyperlink" Target="mailto:teresa.r@cecyteq.edu.mx" TargetMode="External"/><Relationship Id="rId145" Type="http://schemas.openxmlformats.org/officeDocument/2006/relationships/hyperlink" Target="mailto:sti_admiva@hotmail.com" TargetMode="External"/><Relationship Id="rId266" Type="http://schemas.openxmlformats.org/officeDocument/2006/relationships/hyperlink" Target="mailto:aalvarez8@queretaro.gob.mx" TargetMode="External"/><Relationship Id="rId387" Type="http://schemas.openxmlformats.org/officeDocument/2006/relationships/hyperlink" Target="mailto:yerelynvazquez@cecyteq.edu.mx" TargetMode="External"/><Relationship Id="rId8" Type="http://schemas.openxmlformats.org/officeDocument/2006/relationships/hyperlink" Target="mailto:ricardocervantes14@cecyteq.edu.mx" TargetMode="External"/><Relationship Id="rId144" Type="http://schemas.openxmlformats.org/officeDocument/2006/relationships/hyperlink" Target="mailto:cristianolvera5@cecyteq.edu.mx" TargetMode="External"/><Relationship Id="rId265" Type="http://schemas.openxmlformats.org/officeDocument/2006/relationships/hyperlink" Target="mailto:mariaesquivel36@36cecyteq.edu.mx" TargetMode="External"/><Relationship Id="rId386" Type="http://schemas.openxmlformats.org/officeDocument/2006/relationships/hyperlink" Target="mailto:alarmaspro@hotmail.com" TargetMode="External"/><Relationship Id="rId260" Type="http://schemas.openxmlformats.org/officeDocument/2006/relationships/hyperlink" Target="mailto:yadira.f@cecyteq.edu.mx" TargetMode="External"/><Relationship Id="rId381" Type="http://schemas.openxmlformats.org/officeDocument/2006/relationships/hyperlink" Target="mailto:juanaguirre33@cecyteq.edu.mx" TargetMode="External"/><Relationship Id="rId380" Type="http://schemas.openxmlformats.org/officeDocument/2006/relationships/hyperlink" Target="mailto:teresa.r@cecyteq.edu.mx" TargetMode="External"/><Relationship Id="rId139" Type="http://schemas.openxmlformats.org/officeDocument/2006/relationships/hyperlink" Target="mailto:e.armendariz@cecyteq.edu.mx" TargetMode="External"/><Relationship Id="rId138" Type="http://schemas.openxmlformats.org/officeDocument/2006/relationships/hyperlink" Target="mailto:victorcamacho9@cecyteq.edu.mx" TargetMode="External"/><Relationship Id="rId259" Type="http://schemas.openxmlformats.org/officeDocument/2006/relationships/hyperlink" Target="mailto:enriquemonge@cecyteq.edu.mx" TargetMode="External"/><Relationship Id="rId137" Type="http://schemas.openxmlformats.org/officeDocument/2006/relationships/hyperlink" Target="mailto:e.armendariz@cecyteq.edu.mx" TargetMode="External"/><Relationship Id="rId258" Type="http://schemas.openxmlformats.org/officeDocument/2006/relationships/hyperlink" Target="mailto:gustavo.ayala@celo.com" TargetMode="External"/><Relationship Id="rId379" Type="http://schemas.openxmlformats.org/officeDocument/2006/relationships/hyperlink" Target="mailto:jaquelinemaya1@cecyteq.edu.mx" TargetMode="External"/><Relationship Id="rId132" Type="http://schemas.openxmlformats.org/officeDocument/2006/relationships/hyperlink" Target="mailto:ximenagutierrez8@cecyteq.edu.mx" TargetMode="External"/><Relationship Id="rId253" Type="http://schemas.openxmlformats.org/officeDocument/2006/relationships/hyperlink" Target="about:blank" TargetMode="External"/><Relationship Id="rId374" Type="http://schemas.openxmlformats.org/officeDocument/2006/relationships/hyperlink" Target="mailto:teresa.r@cecyteq.edu.mx" TargetMode="External"/><Relationship Id="rId131" Type="http://schemas.openxmlformats.org/officeDocument/2006/relationships/hyperlink" Target="mailto:gustavo.ayala@celo.com" TargetMode="External"/><Relationship Id="rId252" Type="http://schemas.openxmlformats.org/officeDocument/2006/relationships/hyperlink" Target="mailto:yadira.f@cecyteq.edu.mx" TargetMode="External"/><Relationship Id="rId373" Type="http://schemas.openxmlformats.org/officeDocument/2006/relationships/hyperlink" Target="mailto:valeriaguevara4@cecyteq.edu.mx" TargetMode="External"/><Relationship Id="rId130" Type="http://schemas.openxmlformats.org/officeDocument/2006/relationships/hyperlink" Target="mailto:chistophersalgado@cecyteq.edu.mx" TargetMode="External"/><Relationship Id="rId251" Type="http://schemas.openxmlformats.org/officeDocument/2006/relationships/hyperlink" Target="mailto:gustavohernandez0@cecyteq.edu.mx" TargetMode="External"/><Relationship Id="rId372" Type="http://schemas.openxmlformats.org/officeDocument/2006/relationships/hyperlink" Target="mailto:faty7munchis@gmail.com" TargetMode="External"/><Relationship Id="rId250" Type="http://schemas.openxmlformats.org/officeDocument/2006/relationships/hyperlink" Target="mailto:teresa.r@cecyteq.edu.mx" TargetMode="External"/><Relationship Id="rId371" Type="http://schemas.openxmlformats.org/officeDocument/2006/relationships/hyperlink" Target="mailto:zairaluna3@cecyteq.edu.mx" TargetMode="External"/><Relationship Id="rId136" Type="http://schemas.openxmlformats.org/officeDocument/2006/relationships/hyperlink" Target="about:blank" TargetMode="External"/><Relationship Id="rId257" Type="http://schemas.openxmlformats.org/officeDocument/2006/relationships/hyperlink" Target="mailto:lbibiana679@gmail.com" TargetMode="External"/><Relationship Id="rId378" Type="http://schemas.openxmlformats.org/officeDocument/2006/relationships/hyperlink" Target="mailto:centro.cultural249@gmail.com" TargetMode="External"/><Relationship Id="rId135" Type="http://schemas.openxmlformats.org/officeDocument/2006/relationships/hyperlink" Target="mailto:e.armendariz@cecyteq.edu.mx" TargetMode="External"/><Relationship Id="rId256" Type="http://schemas.openxmlformats.org/officeDocument/2006/relationships/hyperlink" Target="about:blank" TargetMode="External"/><Relationship Id="rId377" Type="http://schemas.openxmlformats.org/officeDocument/2006/relationships/hyperlink" Target="mailto:jorguemoreno@cecyteq.edu.mx" TargetMode="External"/><Relationship Id="rId134" Type="http://schemas.openxmlformats.org/officeDocument/2006/relationships/hyperlink" Target="mailto:juanflores204@cecyteq.edu.mx" TargetMode="External"/><Relationship Id="rId255" Type="http://schemas.openxmlformats.org/officeDocument/2006/relationships/hyperlink" Target="mailto:marianatrejo17@cecyteq.edu.mx" TargetMode="External"/><Relationship Id="rId376" Type="http://schemas.openxmlformats.org/officeDocument/2006/relationships/hyperlink" Target="mailto:22des0014e@usebeq.edu.mx" TargetMode="External"/><Relationship Id="rId133" Type="http://schemas.openxmlformats.org/officeDocument/2006/relationships/hyperlink" Target="mailto:aaronmichel.ormen@gmail.com" TargetMode="External"/><Relationship Id="rId254" Type="http://schemas.openxmlformats.org/officeDocument/2006/relationships/hyperlink" Target="mailto:yadira.f@cecyteq.edu.mx" TargetMode="External"/><Relationship Id="rId375" Type="http://schemas.openxmlformats.org/officeDocument/2006/relationships/hyperlink" Target="mailto:dayanagarcia10@cecyteq.edu.mx" TargetMode="External"/><Relationship Id="rId172" Type="http://schemas.openxmlformats.org/officeDocument/2006/relationships/hyperlink" Target="mailto:e.armendariz@cecyteq.edu.mx" TargetMode="External"/><Relationship Id="rId293" Type="http://schemas.openxmlformats.org/officeDocument/2006/relationships/hyperlink" Target="mailto:compras@moya.mx" TargetMode="External"/><Relationship Id="rId171" Type="http://schemas.openxmlformats.org/officeDocument/2006/relationships/hyperlink" Target="mailto:gerardomarcial@cecyteq.edu.mx" TargetMode="External"/><Relationship Id="rId292" Type="http://schemas.openxmlformats.org/officeDocument/2006/relationships/hyperlink" Target="mailto:josemoya13@cecyteq.edu.mx" TargetMode="External"/><Relationship Id="rId170" Type="http://schemas.openxmlformats.org/officeDocument/2006/relationships/hyperlink" Target="mailto:e.armendariz@cecyteq.edu.mx" TargetMode="External"/><Relationship Id="rId291" Type="http://schemas.openxmlformats.org/officeDocument/2006/relationships/hyperlink" Target="mailto:compras@moya.mx" TargetMode="External"/><Relationship Id="rId290" Type="http://schemas.openxmlformats.org/officeDocument/2006/relationships/hyperlink" Target="mailto:carlosmoya4@cecyteq.edu.mx" TargetMode="External"/><Relationship Id="rId165" Type="http://schemas.openxmlformats.org/officeDocument/2006/relationships/hyperlink" Target="mailto:yunuensanchez1@cecyteq.edu.mx" TargetMode="External"/><Relationship Id="rId286" Type="http://schemas.openxmlformats.org/officeDocument/2006/relationships/hyperlink" Target="about:blank" TargetMode="External"/><Relationship Id="rId164" Type="http://schemas.openxmlformats.org/officeDocument/2006/relationships/hyperlink" Target="mailto:e.armendariz@cecyteq.edu.mx" TargetMode="External"/><Relationship Id="rId285" Type="http://schemas.openxmlformats.org/officeDocument/2006/relationships/hyperlink" Target="mailto:alondraherrera10@cecyteq.edu.mx" TargetMode="External"/><Relationship Id="rId163" Type="http://schemas.openxmlformats.org/officeDocument/2006/relationships/hyperlink" Target="mailto:mariajuarez164@cecyteq.edu.mx" TargetMode="External"/><Relationship Id="rId284" Type="http://schemas.openxmlformats.org/officeDocument/2006/relationships/hyperlink" Target="mailto:admdrsindustrial@gmail.com" TargetMode="External"/><Relationship Id="rId162" Type="http://schemas.openxmlformats.org/officeDocument/2006/relationships/hyperlink" Target="mailto:zamoramarco13@gmail.com" TargetMode="External"/><Relationship Id="rId283" Type="http://schemas.openxmlformats.org/officeDocument/2006/relationships/hyperlink" Target="mailto:iornelas@imaservicioscomerciale.com" TargetMode="External"/><Relationship Id="rId169" Type="http://schemas.openxmlformats.org/officeDocument/2006/relationships/hyperlink" Target="mailto:carlosmiranda20@cecyteq.edu.mx" TargetMode="External"/><Relationship Id="rId168" Type="http://schemas.openxmlformats.org/officeDocument/2006/relationships/hyperlink" Target="mailto:contacto@desazolvesvanguardia.com" TargetMode="External"/><Relationship Id="rId289" Type="http://schemas.openxmlformats.org/officeDocument/2006/relationships/hyperlink" Target="mailto:auxiliarlogisticaqueretaro@difamer.com" TargetMode="External"/><Relationship Id="rId167" Type="http://schemas.openxmlformats.org/officeDocument/2006/relationships/hyperlink" Target="mailto:anatrejo25@cecyteq.edu.mx" TargetMode="External"/><Relationship Id="rId288" Type="http://schemas.openxmlformats.org/officeDocument/2006/relationships/hyperlink" Target="mailto:aylenhernandez1@cecyteq.edu.mx" TargetMode="External"/><Relationship Id="rId166" Type="http://schemas.openxmlformats.org/officeDocument/2006/relationships/hyperlink" Target="mailto:e.armendariz@cecyteq.edu.mx" TargetMode="External"/><Relationship Id="rId287" Type="http://schemas.openxmlformats.org/officeDocument/2006/relationships/hyperlink" Target="mailto:joseespinoza6@cecyteq.edu.mx" TargetMode="External"/><Relationship Id="rId161" Type="http://schemas.openxmlformats.org/officeDocument/2006/relationships/hyperlink" Target="mailto:saulgarcia58@cecyteq.edu.mx" TargetMode="External"/><Relationship Id="rId282" Type="http://schemas.openxmlformats.org/officeDocument/2006/relationships/hyperlink" Target="mailto:luzrazi1@cecyteq.edu.mx" TargetMode="External"/><Relationship Id="rId160" Type="http://schemas.openxmlformats.org/officeDocument/2006/relationships/hyperlink" Target="mailto:e.armendariz@cecyteq.edu.mx" TargetMode="External"/><Relationship Id="rId281" Type="http://schemas.openxmlformats.org/officeDocument/2006/relationships/hyperlink" Target="mailto:alejandramaya3@cecyteq.edu.mx" TargetMode="External"/><Relationship Id="rId280" Type="http://schemas.openxmlformats.org/officeDocument/2006/relationships/hyperlink" Target="mailto:muellesicnr@gmail.com" TargetMode="External"/><Relationship Id="rId159" Type="http://schemas.openxmlformats.org/officeDocument/2006/relationships/hyperlink" Target="mailto:naomiresendiz@cecyteq.edu.mx" TargetMode="External"/><Relationship Id="rId154" Type="http://schemas.openxmlformats.org/officeDocument/2006/relationships/hyperlink" Target="mailto:fatimaavila10@cecyteq.edu.mx" TargetMode="External"/><Relationship Id="rId275" Type="http://schemas.openxmlformats.org/officeDocument/2006/relationships/hyperlink" Target="mailto:mariaramirez1@cecyteq.edu.mx" TargetMode="External"/><Relationship Id="rId396" Type="http://schemas.openxmlformats.org/officeDocument/2006/relationships/hyperlink" Target="mailto:anaaviles4@cecyteq.edu.mx" TargetMode="External"/><Relationship Id="rId153" Type="http://schemas.openxmlformats.org/officeDocument/2006/relationships/hyperlink" Target="mailto:e.armendariz@cecyteq.edu.mx" TargetMode="External"/><Relationship Id="rId274" Type="http://schemas.openxmlformats.org/officeDocument/2006/relationships/hyperlink" Target="mailto:paulinaavilez@cecyteq.edu.mx" TargetMode="External"/><Relationship Id="rId395" Type="http://schemas.openxmlformats.org/officeDocument/2006/relationships/hyperlink" Target="mailto:e.armendariz@cecyteq.edu.mx" TargetMode="External"/><Relationship Id="rId152" Type="http://schemas.openxmlformats.org/officeDocument/2006/relationships/hyperlink" Target="mailto:danabautista1@cecyteq.edu.mx" TargetMode="External"/><Relationship Id="rId273" Type="http://schemas.openxmlformats.org/officeDocument/2006/relationships/hyperlink" Target="mailto:mariaramirez1@cecyteq.edu.mx" TargetMode="External"/><Relationship Id="rId394" Type="http://schemas.openxmlformats.org/officeDocument/2006/relationships/hyperlink" Target="mailto:diegooelaez@cecyteq.edu.mx" TargetMode="External"/><Relationship Id="rId151" Type="http://schemas.openxmlformats.org/officeDocument/2006/relationships/hyperlink" Target="mailto:e.armendariz@cecyteq.edu.mx" TargetMode="External"/><Relationship Id="rId272" Type="http://schemas.openxmlformats.org/officeDocument/2006/relationships/hyperlink" Target="mailto:aguirreromo@hotmail.com" TargetMode="External"/><Relationship Id="rId393" Type="http://schemas.openxmlformats.org/officeDocument/2006/relationships/hyperlink" Target="mailto:marianela.talavera@uteq.edu.mx" TargetMode="External"/><Relationship Id="rId158" Type="http://schemas.openxmlformats.org/officeDocument/2006/relationships/hyperlink" Target="mailto:e.armendariz@cecyteq.edu.mx" TargetMode="External"/><Relationship Id="rId279" Type="http://schemas.openxmlformats.org/officeDocument/2006/relationships/hyperlink" Target="mailto:serviciosocial@usebeq.edu.mx" TargetMode="External"/><Relationship Id="rId157" Type="http://schemas.openxmlformats.org/officeDocument/2006/relationships/hyperlink" Target="mailto:luisamador24@cecyteq.edu.mx" TargetMode="External"/><Relationship Id="rId278" Type="http://schemas.openxmlformats.org/officeDocument/2006/relationships/hyperlink" Target="mailto:edgarherrera9@cecyteq.edu.mx" TargetMode="External"/><Relationship Id="rId399" Type="http://schemas.openxmlformats.org/officeDocument/2006/relationships/hyperlink" Target="mailto:vicyordaniel.arq@gmail.com" TargetMode="External"/><Relationship Id="rId156" Type="http://schemas.openxmlformats.org/officeDocument/2006/relationships/hyperlink" Target="mailto:e.armendariz@cecyteq.edu.mx" TargetMode="External"/><Relationship Id="rId277" Type="http://schemas.openxmlformats.org/officeDocument/2006/relationships/hyperlink" Target="mailto:christian.herrera.msac@hotmail.com" TargetMode="External"/><Relationship Id="rId398" Type="http://schemas.openxmlformats.org/officeDocument/2006/relationships/hyperlink" Target="mailto:jesuslopez@cecyteq.edu.mx" TargetMode="External"/><Relationship Id="rId155" Type="http://schemas.openxmlformats.org/officeDocument/2006/relationships/hyperlink" Target="mailto:davidcastillo1@cecyteq.edu.mx" TargetMode="External"/><Relationship Id="rId276" Type="http://schemas.openxmlformats.org/officeDocument/2006/relationships/hyperlink" Target="mailto:isabeltoledo@cecyteq.edu.mx" TargetMode="External"/><Relationship Id="rId397" Type="http://schemas.openxmlformats.org/officeDocument/2006/relationships/hyperlink" Target="mailto:julio-garcia_v@hotmail.com" TargetMode="External"/><Relationship Id="rId40" Type="http://schemas.openxmlformats.org/officeDocument/2006/relationships/hyperlink" Target="mailto:giovaniluna@cecyteq.edu.mx" TargetMode="External"/><Relationship Id="rId42" Type="http://schemas.openxmlformats.org/officeDocument/2006/relationships/hyperlink" Target="mailto:mariovelazquez6@cecyteq.edu.mx" TargetMode="External"/><Relationship Id="rId41" Type="http://schemas.openxmlformats.org/officeDocument/2006/relationships/hyperlink" Target="mailto:minisuperjapehj@gmail.com" TargetMode="External"/><Relationship Id="rId44" Type="http://schemas.openxmlformats.org/officeDocument/2006/relationships/hyperlink" Target="mailto:dianaolvera1@cecyteq.edu.mx" TargetMode="External"/><Relationship Id="rId43" Type="http://schemas.openxmlformats.org/officeDocument/2006/relationships/hyperlink" Target="mailto:antonio.rangel@municipiodequeretaro.gob.mx" TargetMode="External"/><Relationship Id="rId46" Type="http://schemas.openxmlformats.org/officeDocument/2006/relationships/hyperlink" Target="mailto:diegoalvarez5@gmail.com" TargetMode="External"/><Relationship Id="rId45" Type="http://schemas.openxmlformats.org/officeDocument/2006/relationships/hyperlink" Target="mailto:hemibasa@hemibasa.com.mx" TargetMode="External"/><Relationship Id="rId48" Type="http://schemas.openxmlformats.org/officeDocument/2006/relationships/hyperlink" Target="mailto:sandratorrejon@cecyteq.edu.mx" TargetMode="External"/><Relationship Id="rId47" Type="http://schemas.openxmlformats.org/officeDocument/2006/relationships/hyperlink" Target="mailto:Lrenteria@redes-mx.com" TargetMode="External"/><Relationship Id="rId49" Type="http://schemas.openxmlformats.org/officeDocument/2006/relationships/hyperlink" Target="mailto:rafaelcelmapalacios@gmail.com" TargetMode="External"/><Relationship Id="rId31" Type="http://schemas.openxmlformats.org/officeDocument/2006/relationships/hyperlink" Target="mailto:yadira.f@cecyteq.edu.mx" TargetMode="External"/><Relationship Id="rId30" Type="http://schemas.openxmlformats.org/officeDocument/2006/relationships/hyperlink" Target="mailto:josenavarro66@cecyteq.edu.mx" TargetMode="External"/><Relationship Id="rId33" Type="http://schemas.openxmlformats.org/officeDocument/2006/relationships/hyperlink" Target="mailto:dsamaquinados@gmail.com" TargetMode="External"/><Relationship Id="rId32" Type="http://schemas.openxmlformats.org/officeDocument/2006/relationships/hyperlink" Target="mailto:marianieves11@cecyteq.edu.mx" TargetMode="External"/><Relationship Id="rId35" Type="http://schemas.openxmlformats.org/officeDocument/2006/relationships/hyperlink" Target="mailto:teresa.r@cecyteq.edu.mx" TargetMode="External"/><Relationship Id="rId34" Type="http://schemas.openxmlformats.org/officeDocument/2006/relationships/hyperlink" Target="mailto:maria.jose@cecyteq.edu.mx" TargetMode="External"/><Relationship Id="rId37" Type="http://schemas.openxmlformats.org/officeDocument/2006/relationships/hyperlink" Target="mailto:yadira.f@cecyteq.edu.mx" TargetMode="External"/><Relationship Id="rId36" Type="http://schemas.openxmlformats.org/officeDocument/2006/relationships/hyperlink" Target="mailto:danielmorales79@cecyteq.edu.mx" TargetMode="External"/><Relationship Id="rId39" Type="http://schemas.openxmlformats.org/officeDocument/2006/relationships/hyperlink" Target="mailto:ameneyrow@hotmail.com" TargetMode="External"/><Relationship Id="rId38" Type="http://schemas.openxmlformats.org/officeDocument/2006/relationships/hyperlink" Target="mailto:pedroestrellagomez@cecyteq.edu.mx" TargetMode="External"/><Relationship Id="rId20" Type="http://schemas.openxmlformats.org/officeDocument/2006/relationships/hyperlink" Target="mailto:samuelmijangos@cecyteq.edu.mx" TargetMode="External"/><Relationship Id="rId22" Type="http://schemas.openxmlformats.org/officeDocument/2006/relationships/hyperlink" Target="mailto:luisamador24@cecyteq.edu.mx" TargetMode="External"/><Relationship Id="rId21" Type="http://schemas.openxmlformats.org/officeDocument/2006/relationships/hyperlink" Target="mailto:yadira.f@cecyteq.edu.mx" TargetMode="External"/><Relationship Id="rId24" Type="http://schemas.openxmlformats.org/officeDocument/2006/relationships/hyperlink" Target="mailto:kevinolvera3@cecyteq.edu.mx" TargetMode="External"/><Relationship Id="rId23" Type="http://schemas.openxmlformats.org/officeDocument/2006/relationships/hyperlink" Target="mailto:soporte.espaciociber@gmail.com" TargetMode="External"/><Relationship Id="rId409" Type="http://schemas.openxmlformats.org/officeDocument/2006/relationships/hyperlink" Target="mailto:citymold2015@gmail.com" TargetMode="External"/><Relationship Id="rId404" Type="http://schemas.openxmlformats.org/officeDocument/2006/relationships/hyperlink" Target="mailto:23422070060631@cecyteq.edu.mx" TargetMode="External"/><Relationship Id="rId403" Type="http://schemas.openxmlformats.org/officeDocument/2006/relationships/hyperlink" Target="mailto:citymold2015@gmail.com" TargetMode="External"/><Relationship Id="rId402" Type="http://schemas.openxmlformats.org/officeDocument/2006/relationships/hyperlink" Target="mailto:luissinecio@cecyteq.edu.mx" TargetMode="External"/><Relationship Id="rId401" Type="http://schemas.openxmlformats.org/officeDocument/2006/relationships/hyperlink" Target="mailto:pilar.ocampo@kianovaqro.mx" TargetMode="External"/><Relationship Id="rId408" Type="http://schemas.openxmlformats.org/officeDocument/2006/relationships/hyperlink" Target="mailto:gaeldiaz5@cecyteq.edu.mx" TargetMode="External"/><Relationship Id="rId407" Type="http://schemas.openxmlformats.org/officeDocument/2006/relationships/hyperlink" Target="mailto:ventas.queretaro@grupoleomar.com.mx" TargetMode="External"/><Relationship Id="rId406" Type="http://schemas.openxmlformats.org/officeDocument/2006/relationships/hyperlink" Target="mailto:cynthiaarreola@cecyteq.edu.mx" TargetMode="External"/><Relationship Id="rId405" Type="http://schemas.openxmlformats.org/officeDocument/2006/relationships/hyperlink" Target="mailto:ventas@marcozer.com.mx" TargetMode="External"/><Relationship Id="rId26" Type="http://schemas.openxmlformats.org/officeDocument/2006/relationships/hyperlink" Target="mailto:calebrios@cecyteq.edu.mx" TargetMode="External"/><Relationship Id="rId25" Type="http://schemas.openxmlformats.org/officeDocument/2006/relationships/hyperlink" Target="mailto:ameneyrow@hotmail.com" TargetMode="External"/><Relationship Id="rId28" Type="http://schemas.openxmlformats.org/officeDocument/2006/relationships/hyperlink" Target="mailto:josemata57@cecyteq.edu.mx" TargetMode="External"/><Relationship Id="rId27" Type="http://schemas.openxmlformats.org/officeDocument/2006/relationships/hyperlink" Target="mailto:arturo.urbiola@uteq.edu.mx" TargetMode="External"/><Relationship Id="rId400" Type="http://schemas.openxmlformats.org/officeDocument/2006/relationships/hyperlink" Target="mailto:annaalgado@cecyteq.edu.mx" TargetMode="External"/><Relationship Id="rId29" Type="http://schemas.openxmlformats.org/officeDocument/2006/relationships/hyperlink" Target="mailto:alarmaspro@hotmail.com" TargetMode="External"/><Relationship Id="rId11" Type="http://schemas.openxmlformats.org/officeDocument/2006/relationships/hyperlink" Target="mailto:administracion@kold.mx" TargetMode="External"/><Relationship Id="rId10" Type="http://schemas.openxmlformats.org/officeDocument/2006/relationships/hyperlink" Target="mailto:aixamartinez2@cecyteq.edu.mx" TargetMode="External"/><Relationship Id="rId13" Type="http://schemas.openxmlformats.org/officeDocument/2006/relationships/hyperlink" Target="mailto:cgalvanb@cecyteq.edu.mx" TargetMode="External"/><Relationship Id="rId12" Type="http://schemas.openxmlformats.org/officeDocument/2006/relationships/hyperlink" Target="mailto:gloriasanchez17@cecyteq.edu.mx" TargetMode="External"/><Relationship Id="rId15" Type="http://schemas.openxmlformats.org/officeDocument/2006/relationships/hyperlink" Target="mailto:maqypo.ind@gmail.com" TargetMode="External"/><Relationship Id="rId14" Type="http://schemas.openxmlformats.org/officeDocument/2006/relationships/hyperlink" Target="mailto:gaelarroyo3@cecyteq.edu.mx" TargetMode="External"/><Relationship Id="rId17" Type="http://schemas.openxmlformats.org/officeDocument/2006/relationships/hyperlink" Target="mailto:yadira.f@cecyteq.edu.mx" TargetMode="External"/><Relationship Id="rId16" Type="http://schemas.openxmlformats.org/officeDocument/2006/relationships/hyperlink" Target="mailto:karlaramos28@cecyteq.edu.mx" TargetMode="External"/><Relationship Id="rId19" Type="http://schemas.openxmlformats.org/officeDocument/2006/relationships/hyperlink" Target="mailto:yadira.f@cecyteq.edu.mx" TargetMode="External"/><Relationship Id="rId18" Type="http://schemas.openxmlformats.org/officeDocument/2006/relationships/hyperlink" Target="mailto:diegoguerrero3@cecyteq.edu.mx" TargetMode="External"/><Relationship Id="rId84" Type="http://schemas.openxmlformats.org/officeDocument/2006/relationships/hyperlink" Target="mailto:angelcabrera1@cecyteq.edu.mx" TargetMode="External"/><Relationship Id="rId83" Type="http://schemas.openxmlformats.org/officeDocument/2006/relationships/hyperlink" Target="mailto:joslirma@hotmail.com" TargetMode="External"/><Relationship Id="rId86" Type="http://schemas.openxmlformats.org/officeDocument/2006/relationships/hyperlink" Target="mailto:23422070820167@cecyteq.edu.mx" TargetMode="External"/><Relationship Id="rId85" Type="http://schemas.openxmlformats.org/officeDocument/2006/relationships/hyperlink" Target="mailto:joslirma@hotmail.com" TargetMode="External"/><Relationship Id="rId88" Type="http://schemas.openxmlformats.org/officeDocument/2006/relationships/hyperlink" Target="mailto:arturocruz21@cecyteq.edu.mx" TargetMode="External"/><Relationship Id="rId87" Type="http://schemas.openxmlformats.org/officeDocument/2006/relationships/hyperlink" Target="mailto:colonosbalvaneraac@gmail.com" TargetMode="External"/><Relationship Id="rId89" Type="http://schemas.openxmlformats.org/officeDocument/2006/relationships/hyperlink" Target="mailto:serviciosocial@usebeq.edu.mx" TargetMode="External"/><Relationship Id="rId80" Type="http://schemas.openxmlformats.org/officeDocument/2006/relationships/hyperlink" Target="mailto:jesuscordova45@cecyteq.edu.mx" TargetMode="External"/><Relationship Id="rId82" Type="http://schemas.openxmlformats.org/officeDocument/2006/relationships/hyperlink" Target="mailto:emmanuelramirez41@cecyteq.edu.mx" TargetMode="External"/><Relationship Id="rId81" Type="http://schemas.openxmlformats.org/officeDocument/2006/relationships/hyperlink" Target="mailto:yadira.f@cecyteq.edu.mx" TargetMode="External"/><Relationship Id="rId73" Type="http://schemas.openxmlformats.org/officeDocument/2006/relationships/hyperlink" Target="mailto:ontelmo.rdz@hotmail.com" TargetMode="External"/><Relationship Id="rId72" Type="http://schemas.openxmlformats.org/officeDocument/2006/relationships/hyperlink" Target="mailto:lucianovalencia@cecyteq.edu.mx" TargetMode="External"/><Relationship Id="rId75" Type="http://schemas.openxmlformats.org/officeDocument/2006/relationships/hyperlink" Target="mailto:e.armendariz@cecyteq.edu.mx" TargetMode="External"/><Relationship Id="rId74" Type="http://schemas.openxmlformats.org/officeDocument/2006/relationships/hyperlink" Target="mailto:nestorsanchez12@cecyteq.edu.mx" TargetMode="External"/><Relationship Id="rId77" Type="http://schemas.openxmlformats.org/officeDocument/2006/relationships/hyperlink" Target="mailto:e.armendariz@cecyteq.edu.mx" TargetMode="External"/><Relationship Id="rId76" Type="http://schemas.openxmlformats.org/officeDocument/2006/relationships/hyperlink" Target="mailto:efrainrodriguez7@cecyteq.edu.mx" TargetMode="External"/><Relationship Id="rId79" Type="http://schemas.openxmlformats.org/officeDocument/2006/relationships/hyperlink" Target="mailto:e.armendariz@cecyteq.edu.mx" TargetMode="External"/><Relationship Id="rId78" Type="http://schemas.openxmlformats.org/officeDocument/2006/relationships/hyperlink" Target="mailto:edgarlopez126@cecyteq.edu.mx" TargetMode="External"/><Relationship Id="rId71" Type="http://schemas.openxmlformats.org/officeDocument/2006/relationships/hyperlink" Target="mailto:ontelmo.rdz@hotmail.com" TargetMode="External"/><Relationship Id="rId70" Type="http://schemas.openxmlformats.org/officeDocument/2006/relationships/hyperlink" Target="mailto:hannacarrillo@cecyteq.edu.com" TargetMode="External"/><Relationship Id="rId62" Type="http://schemas.openxmlformats.org/officeDocument/2006/relationships/hyperlink" Target="mailto:juanmercado18@cecyteq.edu.mx" TargetMode="External"/><Relationship Id="rId61" Type="http://schemas.openxmlformats.org/officeDocument/2006/relationships/hyperlink" Target="about:blank" TargetMode="External"/><Relationship Id="rId64" Type="http://schemas.openxmlformats.org/officeDocument/2006/relationships/hyperlink" Target="mailto:nataliaresendiz3@cecyteq.edu.mx" TargetMode="External"/><Relationship Id="rId63" Type="http://schemas.openxmlformats.org/officeDocument/2006/relationships/hyperlink" Target="mailto:teresa.r@cecyteq.edu.mx" TargetMode="External"/><Relationship Id="rId66" Type="http://schemas.openxmlformats.org/officeDocument/2006/relationships/hyperlink" Target="mailto:mariaperez2@cecyteq.edu.mx" TargetMode="External"/><Relationship Id="rId65" Type="http://schemas.openxmlformats.org/officeDocument/2006/relationships/hyperlink" Target="mailto:COMPRAS@FORAPLAST.COM" TargetMode="External"/><Relationship Id="rId68" Type="http://schemas.openxmlformats.org/officeDocument/2006/relationships/hyperlink" Target="mailto:migelrodriguez196@cecyteq.edu.mx" TargetMode="External"/><Relationship Id="rId67" Type="http://schemas.openxmlformats.org/officeDocument/2006/relationships/hyperlink" Target="mailto:sellosgiron@hotmail.com" TargetMode="External"/><Relationship Id="rId60" Type="http://schemas.openxmlformats.org/officeDocument/2006/relationships/hyperlink" Target="mailto:ximena.f@cecyteq.edu.mx" TargetMode="External"/><Relationship Id="rId69" Type="http://schemas.openxmlformats.org/officeDocument/2006/relationships/hyperlink" Target="mailto:sellosgiron@hotmail.com" TargetMode="External"/><Relationship Id="rId51" Type="http://schemas.openxmlformats.org/officeDocument/2006/relationships/hyperlink" Target="mailto:taqueriadany01@gmail.com" TargetMode="External"/><Relationship Id="rId50" Type="http://schemas.openxmlformats.org/officeDocument/2006/relationships/hyperlink" Target="mailto:giovanniceciliano@cecyteq.edu.mx" TargetMode="External"/><Relationship Id="rId53" Type="http://schemas.openxmlformats.org/officeDocument/2006/relationships/hyperlink" Target="mailto:servicio.vazquez.admon@gmail.com" TargetMode="External"/><Relationship Id="rId52" Type="http://schemas.openxmlformats.org/officeDocument/2006/relationships/hyperlink" Target="mailto:danaflores6@cecyteq.edu.mx" TargetMode="External"/><Relationship Id="rId55" Type="http://schemas.openxmlformats.org/officeDocument/2006/relationships/hyperlink" Target="mailto:soporte@fixmart.mx" TargetMode="External"/><Relationship Id="rId54" Type="http://schemas.openxmlformats.org/officeDocument/2006/relationships/hyperlink" Target="mailto:carlosbrena@cecyteq.edu.mx" TargetMode="External"/><Relationship Id="rId57" Type="http://schemas.openxmlformats.org/officeDocument/2006/relationships/hyperlink" Target="mailto:soporte@fixmart.mx" TargetMode="External"/><Relationship Id="rId56" Type="http://schemas.openxmlformats.org/officeDocument/2006/relationships/hyperlink" Target="mailto:carlosreyes114@cecyteq.edu.mx" TargetMode="External"/><Relationship Id="rId59" Type="http://schemas.openxmlformats.org/officeDocument/2006/relationships/hyperlink" Target="mailto:aaronmichel.ormen@gmail.com" TargetMode="External"/><Relationship Id="rId58" Type="http://schemas.openxmlformats.org/officeDocument/2006/relationships/hyperlink" Target="mailto:giovannisegundo@cecyteq.edu.mx" TargetMode="External"/><Relationship Id="rId107" Type="http://schemas.openxmlformats.org/officeDocument/2006/relationships/hyperlink" Target="mailto:jpuga9495@gmail.com" TargetMode="External"/><Relationship Id="rId228" Type="http://schemas.openxmlformats.org/officeDocument/2006/relationships/hyperlink" Target="mailto:contacto@smart.ae.com" TargetMode="External"/><Relationship Id="rId349" Type="http://schemas.openxmlformats.org/officeDocument/2006/relationships/hyperlink" Target="mailto:luajimenez@cecyteq.edu.mx" TargetMode="External"/><Relationship Id="rId106" Type="http://schemas.openxmlformats.org/officeDocument/2006/relationships/hyperlink" Target="mailto:alexanderrubio@cecyteq.edu.mx" TargetMode="External"/><Relationship Id="rId227" Type="http://schemas.openxmlformats.org/officeDocument/2006/relationships/hyperlink" Target="mailto:shamedancona@cecyteq.edu.mx" TargetMode="External"/><Relationship Id="rId348" Type="http://schemas.openxmlformats.org/officeDocument/2006/relationships/hyperlink" Target="mailto:anabel.gaspar@miatalet.com.mx" TargetMode="External"/><Relationship Id="rId105" Type="http://schemas.openxmlformats.org/officeDocument/2006/relationships/hyperlink" Target="mailto:antoniogarcia56@cecyteq.edu.mx" TargetMode="External"/><Relationship Id="rId226" Type="http://schemas.openxmlformats.org/officeDocument/2006/relationships/hyperlink" Target="mailto:carlos.juarez1@CBRE.com" TargetMode="External"/><Relationship Id="rId347" Type="http://schemas.openxmlformats.org/officeDocument/2006/relationships/hyperlink" Target="about:blank" TargetMode="External"/><Relationship Id="rId104" Type="http://schemas.openxmlformats.org/officeDocument/2006/relationships/hyperlink" Target="mailto:mateo.t@cecyteq.edu.mx" TargetMode="External"/><Relationship Id="rId225" Type="http://schemas.openxmlformats.org/officeDocument/2006/relationships/hyperlink" Target="mailto:karlajuarez47@cecyteq.edu.mx" TargetMode="External"/><Relationship Id="rId346" Type="http://schemas.openxmlformats.org/officeDocument/2006/relationships/hyperlink" Target="mailto:lic_luis@live.com" TargetMode="External"/><Relationship Id="rId109" Type="http://schemas.openxmlformats.org/officeDocument/2006/relationships/hyperlink" Target="mailto:zamoramarco13@gmail.com" TargetMode="External"/><Relationship Id="rId108" Type="http://schemas.openxmlformats.org/officeDocument/2006/relationships/hyperlink" Target="mailto:salvadormorales10@cecyteq.edu.mx" TargetMode="External"/><Relationship Id="rId229" Type="http://schemas.openxmlformats.org/officeDocument/2006/relationships/hyperlink" Target="about:blank" TargetMode="External"/><Relationship Id="rId220" Type="http://schemas.openxmlformats.org/officeDocument/2006/relationships/hyperlink" Target="mailto:teresa.r@cecyteq.edu.mx" TargetMode="External"/><Relationship Id="rId341" Type="http://schemas.openxmlformats.org/officeDocument/2006/relationships/hyperlink" Target="mailto:Jjoshuacardenas2@cecyteq.edu.mx" TargetMode="External"/><Relationship Id="rId340" Type="http://schemas.openxmlformats.org/officeDocument/2006/relationships/hyperlink" Target="mailto:josue.leon.salcedo1988@gmail.com" TargetMode="External"/><Relationship Id="rId103" Type="http://schemas.openxmlformats.org/officeDocument/2006/relationships/hyperlink" Target="mailto:22dpro404a@usebeq.edu.mx" TargetMode="External"/><Relationship Id="rId224" Type="http://schemas.openxmlformats.org/officeDocument/2006/relationships/hyperlink" Target="mailto:serviciosocial@usebeq.edu.mx" TargetMode="External"/><Relationship Id="rId345" Type="http://schemas.openxmlformats.org/officeDocument/2006/relationships/hyperlink" Target="mailto:karenmorales36@cecyteq.edu.mx" TargetMode="External"/><Relationship Id="rId102" Type="http://schemas.openxmlformats.org/officeDocument/2006/relationships/hyperlink" Target="mailto:leilanipetrilli@cecyteq.edu.mx" TargetMode="External"/><Relationship Id="rId223" Type="http://schemas.openxmlformats.org/officeDocument/2006/relationships/hyperlink" Target="mailto:Luislopez25@cecyteq.edu.mx" TargetMode="External"/><Relationship Id="rId344" Type="http://schemas.openxmlformats.org/officeDocument/2006/relationships/hyperlink" Target="about:blank" TargetMode="External"/><Relationship Id="rId101" Type="http://schemas.openxmlformats.org/officeDocument/2006/relationships/hyperlink" Target="mailto:22dpro404a@usebeq.edu.mx" TargetMode="External"/><Relationship Id="rId222" Type="http://schemas.openxmlformats.org/officeDocument/2006/relationships/hyperlink" Target="mailto:teresa.r@cecyteq.edu.mx" TargetMode="External"/><Relationship Id="rId343" Type="http://schemas.openxmlformats.org/officeDocument/2006/relationships/hyperlink" Target="about:blank" TargetMode="External"/><Relationship Id="rId100" Type="http://schemas.openxmlformats.org/officeDocument/2006/relationships/hyperlink" Target="mailto:diegogomez59@cecyteq.edu.mx" TargetMode="External"/><Relationship Id="rId221" Type="http://schemas.openxmlformats.org/officeDocument/2006/relationships/hyperlink" Target="mailto:luishernandez@cecyteq.edu.mx" TargetMode="External"/><Relationship Id="rId342" Type="http://schemas.openxmlformats.org/officeDocument/2006/relationships/hyperlink" Target="mailto:Ip3_ip@hotmail.com" TargetMode="External"/><Relationship Id="rId217" Type="http://schemas.openxmlformats.org/officeDocument/2006/relationships/hyperlink" Target="mailto:astridolivares@cecyteq.edu.mx" TargetMode="External"/><Relationship Id="rId338" Type="http://schemas.openxmlformats.org/officeDocument/2006/relationships/hyperlink" Target="mailto:22422070060075@cecyteq.edu.mx" TargetMode="External"/><Relationship Id="rId216" Type="http://schemas.openxmlformats.org/officeDocument/2006/relationships/hyperlink" Target="mailto:teresa.r@cecyteq.edu.mx" TargetMode="External"/><Relationship Id="rId337" Type="http://schemas.openxmlformats.org/officeDocument/2006/relationships/hyperlink" Target="about:blank" TargetMode="External"/><Relationship Id="rId215" Type="http://schemas.openxmlformats.org/officeDocument/2006/relationships/hyperlink" Target="about:blank" TargetMode="External"/><Relationship Id="rId336" Type="http://schemas.openxmlformats.org/officeDocument/2006/relationships/hyperlink" Target="mailto:lucianosolis@cecyteq.edu.mx" TargetMode="External"/><Relationship Id="rId214" Type="http://schemas.openxmlformats.org/officeDocument/2006/relationships/hyperlink" Target="mailto:jramirezi@elmarques.gob.mx" TargetMode="External"/><Relationship Id="rId335" Type="http://schemas.openxmlformats.org/officeDocument/2006/relationships/hyperlink" Target="mailto:echeverri4m@maane.com" TargetMode="External"/><Relationship Id="rId219" Type="http://schemas.openxmlformats.org/officeDocument/2006/relationships/hyperlink" Target="mailto:nicolasrodriguez4@cecyteq.edu.mx" TargetMode="External"/><Relationship Id="rId218" Type="http://schemas.openxmlformats.org/officeDocument/2006/relationships/hyperlink" Target="mailto:teresa.r@cecyteq.edu.mx" TargetMode="External"/><Relationship Id="rId339" Type="http://schemas.openxmlformats.org/officeDocument/2006/relationships/hyperlink" Target="mailto:mariarivera170@cecyteq.edu.mx" TargetMode="External"/><Relationship Id="rId330" Type="http://schemas.openxmlformats.org/officeDocument/2006/relationships/hyperlink" Target="mailto:fernandolucas1@cecyteq.edu.mx" TargetMode="External"/><Relationship Id="rId451" Type="http://schemas.openxmlformats.org/officeDocument/2006/relationships/hyperlink" Target="mailto:logistmemos@gmail.com" TargetMode="External"/><Relationship Id="rId450" Type="http://schemas.openxmlformats.org/officeDocument/2006/relationships/hyperlink" Target="mailto:ismaelblancas@cecyteq.edu.mx" TargetMode="External"/><Relationship Id="rId213" Type="http://schemas.openxmlformats.org/officeDocument/2006/relationships/hyperlink" Target="mailto:axelpina4@cecyteq.edu.mx" TargetMode="External"/><Relationship Id="rId334" Type="http://schemas.openxmlformats.org/officeDocument/2006/relationships/hyperlink" Target="mailto:hugoespindola@cecyteq.edu.mx" TargetMode="External"/><Relationship Id="rId455" Type="http://schemas.openxmlformats.org/officeDocument/2006/relationships/table" Target="../tables/table1.xml"/><Relationship Id="rId212" Type="http://schemas.openxmlformats.org/officeDocument/2006/relationships/hyperlink" Target="mailto:fernando52u@hotmail.com" TargetMode="External"/><Relationship Id="rId333" Type="http://schemas.openxmlformats.org/officeDocument/2006/relationships/hyperlink" Target="mailto:servicios@kuche.mx" TargetMode="External"/><Relationship Id="rId211" Type="http://schemas.openxmlformats.org/officeDocument/2006/relationships/hyperlink" Target="mailto:23422070060634@cecyteq.edu.mx" TargetMode="External"/><Relationship Id="rId332" Type="http://schemas.openxmlformats.org/officeDocument/2006/relationships/hyperlink" Target="mailto:ismaelchavez3@cecyteq.edu.mx" TargetMode="External"/><Relationship Id="rId453" Type="http://schemas.openxmlformats.org/officeDocument/2006/relationships/vmlDrawing" Target="../drawings/vmlDrawing1.vml"/><Relationship Id="rId210" Type="http://schemas.openxmlformats.org/officeDocument/2006/relationships/hyperlink" Target="mailto:e.sanchezlab@gmail.com" TargetMode="External"/><Relationship Id="rId331" Type="http://schemas.openxmlformats.org/officeDocument/2006/relationships/hyperlink" Target="mailto:luistimaq@gmail.com" TargetMode="External"/><Relationship Id="rId452" Type="http://schemas.openxmlformats.org/officeDocument/2006/relationships/drawing" Target="../drawings/drawing1.xml"/><Relationship Id="rId370" Type="http://schemas.openxmlformats.org/officeDocument/2006/relationships/hyperlink" Target="mailto:martinrg199@gmail.com" TargetMode="External"/><Relationship Id="rId129" Type="http://schemas.openxmlformats.org/officeDocument/2006/relationships/hyperlink" Target="mailto:gustavo.ayala@celo.com" TargetMode="External"/><Relationship Id="rId128" Type="http://schemas.openxmlformats.org/officeDocument/2006/relationships/hyperlink" Target="mailto:jonatanaguillon@cecyteq.edu.mx" TargetMode="External"/><Relationship Id="rId249" Type="http://schemas.openxmlformats.org/officeDocument/2006/relationships/hyperlink" Target="mailto:erandialemon@cecyteq.edu.mx" TargetMode="External"/><Relationship Id="rId127" Type="http://schemas.openxmlformats.org/officeDocument/2006/relationships/hyperlink" Target="mailto:e.armendariz@cecyteq.edu.mx" TargetMode="External"/><Relationship Id="rId248" Type="http://schemas.openxmlformats.org/officeDocument/2006/relationships/hyperlink" Target="mailto:contacto@zonaviva.org" TargetMode="External"/><Relationship Id="rId369" Type="http://schemas.openxmlformats.org/officeDocument/2006/relationships/hyperlink" Target="mailto:jairijimenez@cecyteq.edu.mx" TargetMode="External"/><Relationship Id="rId126" Type="http://schemas.openxmlformats.org/officeDocument/2006/relationships/hyperlink" Target="mailto:e.armendariz@cecyteq.edu.mx" TargetMode="External"/><Relationship Id="rId247" Type="http://schemas.openxmlformats.org/officeDocument/2006/relationships/hyperlink" Target="mailto:danielvega12@cecyteq.edu.mx" TargetMode="External"/><Relationship Id="rId368" Type="http://schemas.openxmlformats.org/officeDocument/2006/relationships/hyperlink" Target="mailto:maquinher_@hotmail.com" TargetMode="External"/><Relationship Id="rId121" Type="http://schemas.openxmlformats.org/officeDocument/2006/relationships/hyperlink" Target="mailto:cesarmorales1@cecyteq.edu.mx" TargetMode="External"/><Relationship Id="rId242" Type="http://schemas.openxmlformats.org/officeDocument/2006/relationships/hyperlink" Target="mailto:rh.futura@outlook.com" TargetMode="External"/><Relationship Id="rId363" Type="http://schemas.openxmlformats.org/officeDocument/2006/relationships/hyperlink" Target="mailto:diegocstillo21@cecyteq.edu.mx" TargetMode="External"/><Relationship Id="rId120" Type="http://schemas.openxmlformats.org/officeDocument/2006/relationships/hyperlink" Target="mailto:e.armendariz@cecyteq.edu.mx" TargetMode="External"/><Relationship Id="rId241" Type="http://schemas.openxmlformats.org/officeDocument/2006/relationships/hyperlink" Target="mailto:luisguerrero73@cecyteq.edu.mx" TargetMode="External"/><Relationship Id="rId362" Type="http://schemas.openxmlformats.org/officeDocument/2006/relationships/hyperlink" Target="mailto:biosythesa.pt@gmail.com" TargetMode="External"/><Relationship Id="rId240" Type="http://schemas.openxmlformats.org/officeDocument/2006/relationships/hyperlink" Target="mailto:gustavo.villanueva@kiontainer.com" TargetMode="External"/><Relationship Id="rId361" Type="http://schemas.openxmlformats.org/officeDocument/2006/relationships/hyperlink" Target="mailto:brisajimenezp@gmail.com" TargetMode="External"/><Relationship Id="rId360" Type="http://schemas.openxmlformats.org/officeDocument/2006/relationships/hyperlink" Target="mailto:e.armendariz@cecyteq.edu.mx" TargetMode="External"/><Relationship Id="rId125" Type="http://schemas.openxmlformats.org/officeDocument/2006/relationships/hyperlink" Target="mailto:luciagonzalez11@cecyteq.eu.mx" TargetMode="External"/><Relationship Id="rId246" Type="http://schemas.openxmlformats.org/officeDocument/2006/relationships/hyperlink" Target="mailto:alfredo.cambell@municipiodequeretaro.gob.mx" TargetMode="External"/><Relationship Id="rId367" Type="http://schemas.openxmlformats.org/officeDocument/2006/relationships/hyperlink" Target="mailto:jocelynhernandez27@cecyteq.edu.mx" TargetMode="External"/><Relationship Id="rId124" Type="http://schemas.openxmlformats.org/officeDocument/2006/relationships/hyperlink" Target="mailto:e.armendariz@cecyteq.edu.mx" TargetMode="External"/><Relationship Id="rId245" Type="http://schemas.openxmlformats.org/officeDocument/2006/relationships/hyperlink" Target="mailto:rodrigolopez4q@cecyteq.edu.mx" TargetMode="External"/><Relationship Id="rId366" Type="http://schemas.openxmlformats.org/officeDocument/2006/relationships/hyperlink" Target="mailto:hilaturas.rosario@gmail.com" TargetMode="External"/><Relationship Id="rId123" Type="http://schemas.openxmlformats.org/officeDocument/2006/relationships/hyperlink" Target="mailto:kevinhernandez18@cecyteq.edu.mx" TargetMode="External"/><Relationship Id="rId244" Type="http://schemas.openxmlformats.org/officeDocument/2006/relationships/hyperlink" Target="mailto:e.armendariz@cecyteq.edu.mx" TargetMode="External"/><Relationship Id="rId365" Type="http://schemas.openxmlformats.org/officeDocument/2006/relationships/hyperlink" Target="mailto:graceneri@cecyteq.edu.mx" TargetMode="External"/><Relationship Id="rId122" Type="http://schemas.openxmlformats.org/officeDocument/2006/relationships/hyperlink" Target="mailto:carniceriagiovis@gmail.com" TargetMode="External"/><Relationship Id="rId243" Type="http://schemas.openxmlformats.org/officeDocument/2006/relationships/hyperlink" Target="mailto:24422070060100@cecyteq.edu.mx" TargetMode="External"/><Relationship Id="rId364" Type="http://schemas.openxmlformats.org/officeDocument/2006/relationships/hyperlink" Target="mailto:e.armendariz@cecyteq.edu.mx" TargetMode="External"/><Relationship Id="rId95" Type="http://schemas.openxmlformats.org/officeDocument/2006/relationships/hyperlink" Target="mailto:e.armendariz@cecyteq.edu.mx" TargetMode="External"/><Relationship Id="rId94" Type="http://schemas.openxmlformats.org/officeDocument/2006/relationships/hyperlink" Target="mailto:karlamartinez209@cecyteq.edu.mx" TargetMode="External"/><Relationship Id="rId97" Type="http://schemas.openxmlformats.org/officeDocument/2006/relationships/hyperlink" Target="mailto:tecnicos_asociados88@hotmail.com" TargetMode="External"/><Relationship Id="rId96" Type="http://schemas.openxmlformats.org/officeDocument/2006/relationships/hyperlink" Target="mailto:pablojimenez9@cecyteq.edu.mx" TargetMode="External"/><Relationship Id="rId99" Type="http://schemas.openxmlformats.org/officeDocument/2006/relationships/hyperlink" Target="mailto:tecnicos_asociados88@hotmail.com" TargetMode="External"/><Relationship Id="rId98" Type="http://schemas.openxmlformats.org/officeDocument/2006/relationships/hyperlink" Target="mailto:alanramirez9@cecyteq.edu.mx" TargetMode="External"/><Relationship Id="rId91" Type="http://schemas.openxmlformats.org/officeDocument/2006/relationships/hyperlink" Target="mailto:serviciosocial@usebeq.edu.mx" TargetMode="External"/><Relationship Id="rId90" Type="http://schemas.openxmlformats.org/officeDocument/2006/relationships/hyperlink" Target="mailto:jorgeuribe3@cecyteq.edu.mx" TargetMode="External"/><Relationship Id="rId93" Type="http://schemas.openxmlformats.org/officeDocument/2006/relationships/hyperlink" Target="mailto:serviciosocial@usebeq.edu.mx" TargetMode="External"/><Relationship Id="rId92" Type="http://schemas.openxmlformats.org/officeDocument/2006/relationships/hyperlink" Target="mailto:abrahamlopez1@cecyteq.edu.mx" TargetMode="External"/><Relationship Id="rId118" Type="http://schemas.openxmlformats.org/officeDocument/2006/relationships/hyperlink" Target="mailto:e.armendariz@cecyteq.edu.mx" TargetMode="External"/><Relationship Id="rId239" Type="http://schemas.openxmlformats.org/officeDocument/2006/relationships/hyperlink" Target="mailto:kenyapacheco@cecyteq.edu.mx" TargetMode="External"/><Relationship Id="rId117" Type="http://schemas.openxmlformats.org/officeDocument/2006/relationships/hyperlink" Target="mailto:pedrovital@cecyteq.edu.mx" TargetMode="External"/><Relationship Id="rId238" Type="http://schemas.openxmlformats.org/officeDocument/2006/relationships/hyperlink" Target="mailto:gustavo.villanueva@kiontainer.com" TargetMode="External"/><Relationship Id="rId359" Type="http://schemas.openxmlformats.org/officeDocument/2006/relationships/hyperlink" Target="mailto:ikerechevearria@cecyteq.edu.mx" TargetMode="External"/><Relationship Id="rId116" Type="http://schemas.openxmlformats.org/officeDocument/2006/relationships/hyperlink" Target="mailto:teresa.r@cecyteq.edu.mx" TargetMode="External"/><Relationship Id="rId237" Type="http://schemas.openxmlformats.org/officeDocument/2006/relationships/hyperlink" Target="mailto:jessicafraga@cecyteq.edu.mx" TargetMode="External"/><Relationship Id="rId358" Type="http://schemas.openxmlformats.org/officeDocument/2006/relationships/hyperlink" Target="mailto:f.olvera.daniela.30@gmail.com" TargetMode="External"/><Relationship Id="rId115" Type="http://schemas.openxmlformats.org/officeDocument/2006/relationships/hyperlink" Target="mailto:sofiaangeles1@cecyteq.edu.mx" TargetMode="External"/><Relationship Id="rId236" Type="http://schemas.openxmlformats.org/officeDocument/2006/relationships/hyperlink" Target="mailto:mcpitsrosario@outlook.com" TargetMode="External"/><Relationship Id="rId357" Type="http://schemas.openxmlformats.org/officeDocument/2006/relationships/hyperlink" Target="about:blank" TargetMode="External"/><Relationship Id="rId119" Type="http://schemas.openxmlformats.org/officeDocument/2006/relationships/hyperlink" Target="mailto:josephtiburcio@cecyteq.edu.mx" TargetMode="External"/><Relationship Id="rId110" Type="http://schemas.openxmlformats.org/officeDocument/2006/relationships/hyperlink" Target="mailto:yaotlmacias@cecyteq.edu.mx" TargetMode="External"/><Relationship Id="rId231" Type="http://schemas.openxmlformats.org/officeDocument/2006/relationships/hyperlink" Target="mailto:23422070060632@cecyteq.edu.mx" TargetMode="External"/><Relationship Id="rId352" Type="http://schemas.openxmlformats.org/officeDocument/2006/relationships/hyperlink" Target="mailto:rodrigo.perez@aceway.com.mx" TargetMode="External"/><Relationship Id="rId230" Type="http://schemas.openxmlformats.org/officeDocument/2006/relationships/hyperlink" Target="mailto:gruppodecadfis@hotmail.com" TargetMode="External"/><Relationship Id="rId351" Type="http://schemas.openxmlformats.org/officeDocument/2006/relationships/hyperlink" Target="mailto:schoentattvega@cecyteq.edu.mx" TargetMode="External"/><Relationship Id="rId350" Type="http://schemas.openxmlformats.org/officeDocument/2006/relationships/hyperlink" Target="mailto:lilyramos.qronos@gmail.com" TargetMode="External"/><Relationship Id="rId114" Type="http://schemas.openxmlformats.org/officeDocument/2006/relationships/hyperlink" Target="mailto:papeleriamiangelito1@gmail.com" TargetMode="External"/><Relationship Id="rId235" Type="http://schemas.openxmlformats.org/officeDocument/2006/relationships/hyperlink" Target="mailto:mariabarron37@cecyteq.edu.mx" TargetMode="External"/><Relationship Id="rId356" Type="http://schemas.openxmlformats.org/officeDocument/2006/relationships/hyperlink" Target="mailto:f.olvera.daniela.30@gmail.com" TargetMode="External"/><Relationship Id="rId113" Type="http://schemas.openxmlformats.org/officeDocument/2006/relationships/hyperlink" Target="mailto:davidinfante@cecyteq.edu.mx" TargetMode="External"/><Relationship Id="rId234" Type="http://schemas.openxmlformats.org/officeDocument/2006/relationships/hyperlink" Target="mailto:admi.repeei2602@gmail.com" TargetMode="External"/><Relationship Id="rId355" Type="http://schemas.openxmlformats.org/officeDocument/2006/relationships/hyperlink" Target="about:blank" TargetMode="External"/><Relationship Id="rId112" Type="http://schemas.openxmlformats.org/officeDocument/2006/relationships/hyperlink" Target="mailto:juanrojas68@cecyteq.edu.mx" TargetMode="External"/><Relationship Id="rId233" Type="http://schemas.openxmlformats.org/officeDocument/2006/relationships/hyperlink" Target="mailto:gustavoledezma@cecyteq.edu.mx" TargetMode="External"/><Relationship Id="rId354" Type="http://schemas.openxmlformats.org/officeDocument/2006/relationships/hyperlink" Target="mailto:alfredocambell@municipiodequeretaro.gob.mx" TargetMode="External"/><Relationship Id="rId111" Type="http://schemas.openxmlformats.org/officeDocument/2006/relationships/hyperlink" Target="mailto:yadira.f@cecyteq.edu.mx" TargetMode="External"/><Relationship Id="rId232" Type="http://schemas.openxmlformats.org/officeDocument/2006/relationships/hyperlink" Target="mailto:gruppodecadfis@hotmail.com" TargetMode="External"/><Relationship Id="rId353" Type="http://schemas.openxmlformats.org/officeDocument/2006/relationships/hyperlink" Target="mailto:sanchezpadronjosemartin@gmail.com" TargetMode="External"/><Relationship Id="rId305" Type="http://schemas.openxmlformats.org/officeDocument/2006/relationships/hyperlink" Target="mailto:juanamiranda.1@cecyteq.edu.mx" TargetMode="External"/><Relationship Id="rId426" Type="http://schemas.openxmlformats.org/officeDocument/2006/relationships/hyperlink" Target="mailto:angelsolano2@cecyteq.edu.mx" TargetMode="External"/><Relationship Id="rId304" Type="http://schemas.openxmlformats.org/officeDocument/2006/relationships/hyperlink" Target="mailto:gustavo.ayala@celo.com" TargetMode="External"/><Relationship Id="rId425" Type="http://schemas.openxmlformats.org/officeDocument/2006/relationships/hyperlink" Target="mailto:ismael.montoya@cecyteq.edu.mx" TargetMode="External"/><Relationship Id="rId303" Type="http://schemas.openxmlformats.org/officeDocument/2006/relationships/hyperlink" Target="mailto:oscartrenado@cecyteq.edu.mx" TargetMode="External"/><Relationship Id="rId424" Type="http://schemas.openxmlformats.org/officeDocument/2006/relationships/hyperlink" Target="mailto:saulrodriguez46@cecyteq.edu.mx" TargetMode="External"/><Relationship Id="rId302" Type="http://schemas.openxmlformats.org/officeDocument/2006/relationships/hyperlink" Target="mailto:leonelcampuzano@cecyteq.edu.mx" TargetMode="External"/><Relationship Id="rId423" Type="http://schemas.openxmlformats.org/officeDocument/2006/relationships/hyperlink" Target="mailto:ismael.montoya@cecyteq.edu.mx" TargetMode="External"/><Relationship Id="rId309" Type="http://schemas.openxmlformats.org/officeDocument/2006/relationships/hyperlink" Target="mailto:edielperez@cecyteq.edu.mx" TargetMode="External"/><Relationship Id="rId308" Type="http://schemas.openxmlformats.org/officeDocument/2006/relationships/hyperlink" Target="mailto:maricela.gonzalez@cidh.edu.mx" TargetMode="External"/><Relationship Id="rId429" Type="http://schemas.openxmlformats.org/officeDocument/2006/relationships/hyperlink" Target="mailto:ismael.montoya@cecyteq.edu.mx" TargetMode="External"/><Relationship Id="rId307" Type="http://schemas.openxmlformats.org/officeDocument/2006/relationships/hyperlink" Target="mailto:davidsandoval9@cecyteq.edu.mx" TargetMode="External"/><Relationship Id="rId428" Type="http://schemas.openxmlformats.org/officeDocument/2006/relationships/hyperlink" Target="mailto:saidsornio@cecyteq.edu.mx" TargetMode="External"/><Relationship Id="rId306" Type="http://schemas.openxmlformats.org/officeDocument/2006/relationships/hyperlink" Target="mailto:gustavo.ayala@celo.com" TargetMode="External"/><Relationship Id="rId427" Type="http://schemas.openxmlformats.org/officeDocument/2006/relationships/hyperlink" Target="mailto:ismael.montoya@cecyteq.edu.mx" TargetMode="External"/><Relationship Id="rId301" Type="http://schemas.openxmlformats.org/officeDocument/2006/relationships/hyperlink" Target="mailto:racingmotorscompany@cecyteq.edu.mx" TargetMode="External"/><Relationship Id="rId422" Type="http://schemas.openxmlformats.org/officeDocument/2006/relationships/hyperlink" Target="mailto:23422070060634@cecyteq.edu.mx" TargetMode="External"/><Relationship Id="rId300" Type="http://schemas.openxmlformats.org/officeDocument/2006/relationships/hyperlink" Target="mailto:aldrichcarbajal@cecyteq.com" TargetMode="External"/><Relationship Id="rId421" Type="http://schemas.openxmlformats.org/officeDocument/2006/relationships/hyperlink" Target="mailto:ismael.montoya@cecyteq.edu.mx" TargetMode="External"/><Relationship Id="rId420" Type="http://schemas.openxmlformats.org/officeDocument/2006/relationships/hyperlink" Target="mailto:marianatrejo17@cecyteq.edu.mx" TargetMode="External"/><Relationship Id="rId415" Type="http://schemas.openxmlformats.org/officeDocument/2006/relationships/hyperlink" Target="mailto:ismael.montoya@cecyteq.edu.mx" TargetMode="External"/><Relationship Id="rId414" Type="http://schemas.openxmlformats.org/officeDocument/2006/relationships/hyperlink" Target="mailto:rodrigoangeles1@cecyteq.edu.mx" TargetMode="External"/><Relationship Id="rId413" Type="http://schemas.openxmlformats.org/officeDocument/2006/relationships/hyperlink" Target="mailto:ismael.montoya@cecyteq.edu.mx" TargetMode="External"/><Relationship Id="rId412" Type="http://schemas.openxmlformats.org/officeDocument/2006/relationships/hyperlink" Target="mailto:sharonaguillon@cecyteq.edu.mx" TargetMode="External"/><Relationship Id="rId419" Type="http://schemas.openxmlformats.org/officeDocument/2006/relationships/hyperlink" Target="mailto:ismael.montoya@cecyteq.edu.mx" TargetMode="External"/><Relationship Id="rId418" Type="http://schemas.openxmlformats.org/officeDocument/2006/relationships/hyperlink" Target="mailto:danielcorona7@cecyteq.edu.mx" TargetMode="External"/><Relationship Id="rId417" Type="http://schemas.openxmlformats.org/officeDocument/2006/relationships/hyperlink" Target="mailto:ismael.montoya@cecyteq.edu.mx" TargetMode="External"/><Relationship Id="rId416" Type="http://schemas.openxmlformats.org/officeDocument/2006/relationships/hyperlink" Target="mailto:juanhuitron3@cecyteq.edu.mx" TargetMode="External"/><Relationship Id="rId411" Type="http://schemas.openxmlformats.org/officeDocument/2006/relationships/hyperlink" Target="mailto:ismael.montoya@cecyteq.edu.mx" TargetMode="External"/><Relationship Id="rId410" Type="http://schemas.openxmlformats.org/officeDocument/2006/relationships/hyperlink" Target="mailto:albisgarcia@cecyteq.edu.mx" TargetMode="External"/><Relationship Id="rId206" Type="http://schemas.openxmlformats.org/officeDocument/2006/relationships/hyperlink" Target="mailto:centro.cultural249@gmail.com" TargetMode="External"/><Relationship Id="rId327" Type="http://schemas.openxmlformats.org/officeDocument/2006/relationships/hyperlink" Target="mailto:famiq-castillo@outlook.com" TargetMode="External"/><Relationship Id="rId448" Type="http://schemas.openxmlformats.org/officeDocument/2006/relationships/hyperlink" Target="mailto:guillermoelizarraraz@cecyteq.edu.mx" TargetMode="External"/><Relationship Id="rId205" Type="http://schemas.openxmlformats.org/officeDocument/2006/relationships/hyperlink" Target="mailto:paolanieves1@cecyteq.edu.mx" TargetMode="External"/><Relationship Id="rId326" Type="http://schemas.openxmlformats.org/officeDocument/2006/relationships/hyperlink" Target="mailto:carlosalmaguer7@cecyteq.edu.mx" TargetMode="External"/><Relationship Id="rId447" Type="http://schemas.openxmlformats.org/officeDocument/2006/relationships/hyperlink" Target="mailto:contacto@kbae.com" TargetMode="External"/><Relationship Id="rId204" Type="http://schemas.openxmlformats.org/officeDocument/2006/relationships/hyperlink" Target="mailto:martinez_tsitned@hotmail.com" TargetMode="External"/><Relationship Id="rId325" Type="http://schemas.openxmlformats.org/officeDocument/2006/relationships/hyperlink" Target="mailto:e.armendariz@cecyteq.edu.mx" TargetMode="External"/><Relationship Id="rId446" Type="http://schemas.openxmlformats.org/officeDocument/2006/relationships/hyperlink" Target="mailto:geno.guerrero@cecyteq.edu.mx" TargetMode="External"/><Relationship Id="rId203" Type="http://schemas.openxmlformats.org/officeDocument/2006/relationships/hyperlink" Target="mailto:alejandrahernandez1@cecyteq.edu.mx" TargetMode="External"/><Relationship Id="rId324" Type="http://schemas.openxmlformats.org/officeDocument/2006/relationships/hyperlink" Target="mailto:gustavo_ayala@celo.com" TargetMode="External"/><Relationship Id="rId445" Type="http://schemas.openxmlformats.org/officeDocument/2006/relationships/hyperlink" Target="mailto:gustavo.villanueva@krontainer.com" TargetMode="External"/><Relationship Id="rId209" Type="http://schemas.openxmlformats.org/officeDocument/2006/relationships/hyperlink" Target="mailto:jonathancossino@cecyteq.edu.mx" TargetMode="External"/><Relationship Id="rId208" Type="http://schemas.openxmlformats.org/officeDocument/2006/relationships/hyperlink" Target="mailto:e.sanchezlab@gmail.com" TargetMode="External"/><Relationship Id="rId329" Type="http://schemas.openxmlformats.org/officeDocument/2006/relationships/hyperlink" Target="mailto:e.armendariz@cecyteq.edu.mx" TargetMode="External"/><Relationship Id="rId207" Type="http://schemas.openxmlformats.org/officeDocument/2006/relationships/hyperlink" Target="mailto:abrahamrubio@gmail.edu.mx" TargetMode="External"/><Relationship Id="rId328" Type="http://schemas.openxmlformats.org/officeDocument/2006/relationships/hyperlink" Target="mailto:leonardoruiz16@cecyteq.edu.mx" TargetMode="External"/><Relationship Id="rId449" Type="http://schemas.openxmlformats.org/officeDocument/2006/relationships/hyperlink" Target="mailto:logistmemos@gmail.com" TargetMode="External"/><Relationship Id="rId440" Type="http://schemas.openxmlformats.org/officeDocument/2006/relationships/hyperlink" Target="mailto:karlahernadez2@cecyteq.edu.mx" TargetMode="External"/><Relationship Id="rId202" Type="http://schemas.openxmlformats.org/officeDocument/2006/relationships/hyperlink" Target="mailto:zamoramarco13@gmail.com" TargetMode="External"/><Relationship Id="rId323" Type="http://schemas.openxmlformats.org/officeDocument/2006/relationships/hyperlink" Target="mailto:anajuarez58@cecyteq.edu.mx" TargetMode="External"/><Relationship Id="rId444" Type="http://schemas.openxmlformats.org/officeDocument/2006/relationships/hyperlink" Target="mailto:gustavovillanueva4@cecyteq.edu.mx" TargetMode="External"/><Relationship Id="rId201" Type="http://schemas.openxmlformats.org/officeDocument/2006/relationships/hyperlink" Target="mailto:benjaminhuerta@cecyteq.edu.mx" TargetMode="External"/><Relationship Id="rId322" Type="http://schemas.openxmlformats.org/officeDocument/2006/relationships/hyperlink" Target="mailto:e.armendariz@cecyteq.edu.mx" TargetMode="External"/><Relationship Id="rId443" Type="http://schemas.openxmlformats.org/officeDocument/2006/relationships/hyperlink" Target="mailto:ttallersepsaqro@gmail.com" TargetMode="External"/><Relationship Id="rId200" Type="http://schemas.openxmlformats.org/officeDocument/2006/relationships/hyperlink" Target="mailto:zamoramarco13@gmail.com" TargetMode="External"/><Relationship Id="rId321" Type="http://schemas.openxmlformats.org/officeDocument/2006/relationships/hyperlink" Target="mailto:diegozarate7@cecyteq.edu.mx" TargetMode="External"/><Relationship Id="rId442" Type="http://schemas.openxmlformats.org/officeDocument/2006/relationships/hyperlink" Target="mailto:karenchavez19@cecyteq.edu.mx" TargetMode="External"/><Relationship Id="rId320" Type="http://schemas.openxmlformats.org/officeDocument/2006/relationships/hyperlink" Target="mailto:e.armendariz@cecyteq.edu.mx" TargetMode="External"/><Relationship Id="rId441" Type="http://schemas.openxmlformats.org/officeDocument/2006/relationships/hyperlink" Target="mailto:ttallersepsaqro@gmail.com" TargetMode="External"/><Relationship Id="rId316" Type="http://schemas.openxmlformats.org/officeDocument/2006/relationships/hyperlink" Target="mailto:paola.gomez@molmad.com.mx" TargetMode="External"/><Relationship Id="rId437" Type="http://schemas.openxmlformats.org/officeDocument/2006/relationships/hyperlink" Target="mailto:citymold2015@gmail.com" TargetMode="External"/><Relationship Id="rId315" Type="http://schemas.openxmlformats.org/officeDocument/2006/relationships/hyperlink" Target="mailto:ceciliahermadez84@cecyteq.edu.mx" TargetMode="External"/><Relationship Id="rId436" Type="http://schemas.openxmlformats.org/officeDocument/2006/relationships/hyperlink" Target="mailto:carlosmontoya23@cecyteq.edu.mx" TargetMode="External"/><Relationship Id="rId314" Type="http://schemas.openxmlformats.org/officeDocument/2006/relationships/hyperlink" Target="mailto:imjc@corregidora.gob.mx" TargetMode="External"/><Relationship Id="rId435" Type="http://schemas.openxmlformats.org/officeDocument/2006/relationships/hyperlink" Target="mailto:ismael.montoya@cecyteq.edu.mx" TargetMode="External"/><Relationship Id="rId313" Type="http://schemas.openxmlformats.org/officeDocument/2006/relationships/hyperlink" Target="mailto:valeriamesa@cecyteq.edu.mx" TargetMode="External"/><Relationship Id="rId434" Type="http://schemas.openxmlformats.org/officeDocument/2006/relationships/hyperlink" Target="mailto:diegoguerra7@cecyteq.edu.mx" TargetMode="External"/><Relationship Id="rId319" Type="http://schemas.openxmlformats.org/officeDocument/2006/relationships/hyperlink" Target="mailto:alejandrogomez57@cecyteq.edu.mx" TargetMode="External"/><Relationship Id="rId318" Type="http://schemas.openxmlformats.org/officeDocument/2006/relationships/hyperlink" Target="mailto:idalia13@gmail.com" TargetMode="External"/><Relationship Id="rId439" Type="http://schemas.openxmlformats.org/officeDocument/2006/relationships/hyperlink" Target="mailto:ttallersepsaqro@gmail.com" TargetMode="External"/><Relationship Id="rId317" Type="http://schemas.openxmlformats.org/officeDocument/2006/relationships/hyperlink" Target="mailto:andreade57@cecyteq.edu.mx" TargetMode="External"/><Relationship Id="rId438" Type="http://schemas.openxmlformats.org/officeDocument/2006/relationships/hyperlink" Target="mailto:pailinamendoza@cecyteq.edu.mx" TargetMode="External"/><Relationship Id="rId312" Type="http://schemas.openxmlformats.org/officeDocument/2006/relationships/hyperlink" Target="mailto:dianacasas4@cecyteq.edu.mx" TargetMode="External"/><Relationship Id="rId433" Type="http://schemas.openxmlformats.org/officeDocument/2006/relationships/hyperlink" Target="mailto:ismael.montoya@cecyteq.edu.mx" TargetMode="External"/><Relationship Id="rId311" Type="http://schemas.openxmlformats.org/officeDocument/2006/relationships/hyperlink" Target="mailto:andrearamirez48@cecyteq.edu.mx" TargetMode="External"/><Relationship Id="rId432" Type="http://schemas.openxmlformats.org/officeDocument/2006/relationships/hyperlink" Target="mailto:angelcorrea13@cecyteq.edu.mx" TargetMode="External"/><Relationship Id="rId310" Type="http://schemas.openxmlformats.org/officeDocument/2006/relationships/hyperlink" Target="mailto:maricela.gonzalez@cidh.edu.mx" TargetMode="External"/><Relationship Id="rId431" Type="http://schemas.openxmlformats.org/officeDocument/2006/relationships/hyperlink" Target="mailto:ismael.montoya@cecyteq.edu.mx" TargetMode="External"/><Relationship Id="rId430" Type="http://schemas.openxmlformats.org/officeDocument/2006/relationships/hyperlink" Target="mailto:23422070060348@cecyteq.edu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pageSetUpPr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cols>
    <col customWidth="1" min="1" max="1" width="14.25"/>
    <col customWidth="1" min="2" max="2" width="8.0"/>
    <col customWidth="1" min="3" max="3" width="22.5"/>
    <col customWidth="1" min="4" max="4" width="31.38"/>
    <col customWidth="1" min="5" max="5" width="25.25"/>
    <col customWidth="1" min="6" max="6" width="17.75"/>
    <col customWidth="1" min="7" max="7" width="15.13"/>
    <col customWidth="1" min="8" max="8" width="31.13"/>
    <col customWidth="1" min="9" max="9" width="16.63"/>
    <col customWidth="1" min="10" max="10" width="18.13"/>
    <col customWidth="1" min="11" max="11" width="38.0"/>
    <col customWidth="1" min="12" max="12" width="23.13"/>
    <col customWidth="1" min="13" max="13" width="18.38"/>
    <col customWidth="1" min="14" max="14" width="58.25"/>
    <col customWidth="1" min="15" max="15" width="29.75"/>
    <col customWidth="1" min="16" max="16" width="51.38"/>
    <col customWidth="1" min="17" max="17" width="17.88"/>
    <col customWidth="1" min="18" max="18" width="42.5"/>
    <col customWidth="1" min="19" max="19" width="28.25"/>
    <col customWidth="1" min="20" max="20" width="27.0"/>
    <col customWidth="1" min="21" max="22" width="20.38"/>
    <col customWidth="1" min="23" max="23" width="26.63"/>
    <col customWidth="1" min="24" max="24" width="19.0"/>
    <col customWidth="1" min="25" max="25" width="29.0"/>
    <col customWidth="1" min="26" max="26" width="26.38"/>
    <col customWidth="1" min="27" max="27" width="10.88"/>
    <col customWidth="1" min="28" max="28" width="11.13"/>
    <col customWidth="1" min="29" max="29" width="10.63"/>
    <col customWidth="1" min="30" max="30" width="16.75"/>
    <col customWidth="1" min="31" max="31" width="20.75"/>
    <col customWidth="1" min="32" max="32" width="27.0"/>
    <col customWidth="1" min="33" max="33" width="21.63"/>
    <col customWidth="1" min="34" max="34" width="26.13"/>
    <col customWidth="1" min="35" max="35" width="31.0"/>
    <col customWidth="1" min="36" max="36" width="35.0"/>
    <col customWidth="1" min="37" max="37" width="25.63"/>
    <col customWidth="1" min="38" max="38" width="21.38"/>
    <col customWidth="1" min="39" max="39" width="27.13"/>
    <col customWidth="1" min="40" max="40" width="20.0"/>
    <col customWidth="1" min="41" max="41" width="21.5"/>
    <col customWidth="1" min="42" max="42" width="26.38"/>
    <col customWidth="1" min="43" max="43" width="22.0"/>
    <col customWidth="1" min="44" max="44" width="23.5"/>
    <col customWidth="1" min="45" max="45" width="27.63"/>
    <col customWidth="1" min="46" max="46" width="24.13"/>
    <col customWidth="1" min="47" max="47" width="20.38"/>
    <col customWidth="1" min="48" max="48" width="21.63"/>
    <col customWidth="1" min="49" max="49" width="25.0"/>
    <col customWidth="1" min="50" max="50" width="22.63"/>
    <col customWidth="1" min="51" max="51" width="18.88"/>
    <col customWidth="1" min="52" max="52" width="20.38"/>
    <col customWidth="1" min="53" max="53" width="32.63"/>
    <col customWidth="1" min="54" max="54" width="23.63"/>
    <col customWidth="1" min="55" max="55" width="20.88"/>
    <col customWidth="1" min="56" max="56" width="24.25"/>
    <col customWidth="1" min="57" max="57" width="18.0"/>
    <col customWidth="1" min="58" max="58" width="24.0"/>
    <col customWidth="1" min="59" max="59" width="14.13"/>
    <col customWidth="1" min="60" max="60" width="18.13"/>
    <col customWidth="1" min="61" max="61" width="29.0"/>
    <col customWidth="1" min="62" max="62" width="31.25"/>
    <col customWidth="1" min="63" max="63" width="29.38"/>
    <col customWidth="1" min="64" max="64" width="24.63"/>
    <col customWidth="1" min="65" max="65" width="21.25"/>
    <col customWidth="1" min="66" max="67" width="10.0"/>
  </cols>
  <sheetData>
    <row r="1">
      <c r="D1" s="1" t="s">
        <v>0</v>
      </c>
      <c r="E1" s="1"/>
      <c r="F1" s="2">
        <f>TODAY()</f>
        <v>46253</v>
      </c>
      <c r="G1" s="3"/>
      <c r="H1" s="3"/>
    </row>
    <row r="3">
      <c r="A3" s="4" t="s">
        <v>1</v>
      </c>
      <c r="B3" s="4" t="s">
        <v>2</v>
      </c>
      <c r="C3" s="4" t="s">
        <v>3</v>
      </c>
      <c r="D3" s="5" t="s">
        <v>4</v>
      </c>
      <c r="E3" s="6" t="s">
        <v>5</v>
      </c>
      <c r="F3" s="5" t="s">
        <v>6</v>
      </c>
      <c r="G3" s="6" t="s">
        <v>7</v>
      </c>
      <c r="H3" s="5" t="s">
        <v>8</v>
      </c>
      <c r="I3" s="5" t="s">
        <v>9</v>
      </c>
      <c r="J3" s="5" t="s">
        <v>10</v>
      </c>
      <c r="K3" s="6" t="s">
        <v>11</v>
      </c>
      <c r="L3" s="5" t="s">
        <v>12</v>
      </c>
      <c r="M3" s="5" t="s">
        <v>13</v>
      </c>
      <c r="N3" s="5" t="s">
        <v>14</v>
      </c>
      <c r="O3" s="6" t="s">
        <v>15</v>
      </c>
      <c r="P3" s="6" t="s">
        <v>16</v>
      </c>
      <c r="Q3" s="6" t="s">
        <v>17</v>
      </c>
      <c r="R3" s="7" t="s">
        <v>18</v>
      </c>
      <c r="S3" s="5" t="s">
        <v>19</v>
      </c>
      <c r="T3" s="8" t="s">
        <v>20</v>
      </c>
      <c r="U3" s="8" t="s">
        <v>21</v>
      </c>
      <c r="V3" s="5" t="s">
        <v>22</v>
      </c>
      <c r="W3" s="5" t="s">
        <v>23</v>
      </c>
      <c r="X3" s="5" t="s">
        <v>24</v>
      </c>
      <c r="Y3" s="5" t="s">
        <v>25</v>
      </c>
      <c r="Z3" s="5" t="s">
        <v>26</v>
      </c>
      <c r="AA3" s="5" t="s">
        <v>27</v>
      </c>
      <c r="AB3" s="5" t="s">
        <v>28</v>
      </c>
      <c r="AC3" s="5" t="s">
        <v>29</v>
      </c>
      <c r="AD3" s="5" t="s">
        <v>30</v>
      </c>
      <c r="AE3" s="5" t="s">
        <v>31</v>
      </c>
      <c r="AF3" s="5" t="s">
        <v>32</v>
      </c>
      <c r="AG3" s="5" t="s">
        <v>33</v>
      </c>
      <c r="AH3" s="5" t="s">
        <v>34</v>
      </c>
      <c r="AI3" s="5" t="s">
        <v>35</v>
      </c>
      <c r="AJ3" s="9" t="s">
        <v>36</v>
      </c>
      <c r="AK3" s="9" t="s">
        <v>37</v>
      </c>
      <c r="AL3" s="9" t="s">
        <v>38</v>
      </c>
      <c r="AM3" s="9" t="s">
        <v>39</v>
      </c>
      <c r="AN3" s="9" t="s">
        <v>40</v>
      </c>
      <c r="AO3" s="9" t="s">
        <v>41</v>
      </c>
      <c r="AP3" s="9" t="s">
        <v>42</v>
      </c>
      <c r="AQ3" s="9" t="s">
        <v>43</v>
      </c>
      <c r="AR3" s="9" t="s">
        <v>44</v>
      </c>
      <c r="AS3" s="9" t="s">
        <v>45</v>
      </c>
      <c r="AT3" s="9" t="s">
        <v>46</v>
      </c>
      <c r="AU3" s="9" t="s">
        <v>47</v>
      </c>
      <c r="AV3" s="9" t="s">
        <v>48</v>
      </c>
      <c r="AW3" s="9" t="s">
        <v>49</v>
      </c>
      <c r="AX3" s="9" t="s">
        <v>50</v>
      </c>
      <c r="AY3" s="9" t="s">
        <v>51</v>
      </c>
      <c r="AZ3" s="9" t="s">
        <v>52</v>
      </c>
      <c r="BA3" s="9" t="s">
        <v>53</v>
      </c>
      <c r="BB3" s="9" t="s">
        <v>54</v>
      </c>
      <c r="BC3" s="9" t="s">
        <v>55</v>
      </c>
      <c r="BD3" s="9" t="s">
        <v>56</v>
      </c>
      <c r="BE3" s="9" t="s">
        <v>57</v>
      </c>
      <c r="BF3" s="9" t="s">
        <v>58</v>
      </c>
      <c r="BG3" s="9" t="s">
        <v>59</v>
      </c>
      <c r="BH3" s="9" t="s">
        <v>60</v>
      </c>
      <c r="BI3" s="9" t="s">
        <v>61</v>
      </c>
      <c r="BJ3" s="9" t="s">
        <v>62</v>
      </c>
      <c r="BK3" s="9" t="s">
        <v>63</v>
      </c>
      <c r="BL3" s="9" t="s">
        <v>64</v>
      </c>
      <c r="BM3" s="10" t="s">
        <v>65</v>
      </c>
    </row>
    <row r="4" ht="16.5" customHeight="1">
      <c r="A4" s="11" t="s">
        <v>66</v>
      </c>
      <c r="B4" s="12" t="s">
        <v>66</v>
      </c>
      <c r="C4" s="13" t="s">
        <v>67</v>
      </c>
      <c r="D4" s="14" t="s">
        <v>68</v>
      </c>
      <c r="E4" s="15" t="s">
        <v>69</v>
      </c>
      <c r="F4" s="16" t="s">
        <v>70</v>
      </c>
      <c r="G4" s="16">
        <v>4.427078854E9</v>
      </c>
      <c r="H4" s="17" t="s">
        <v>71</v>
      </c>
      <c r="I4" s="18" t="s">
        <v>72</v>
      </c>
      <c r="J4" s="18" t="s">
        <v>73</v>
      </c>
      <c r="K4" s="18" t="s">
        <v>74</v>
      </c>
      <c r="L4" s="19" t="s">
        <v>75</v>
      </c>
      <c r="M4" s="14" t="s">
        <v>14</v>
      </c>
      <c r="N4" s="18" t="s">
        <v>76</v>
      </c>
      <c r="O4" s="18" t="s">
        <v>77</v>
      </c>
      <c r="P4" s="20" t="s">
        <v>78</v>
      </c>
      <c r="Q4" s="20">
        <v>4.427174854E9</v>
      </c>
      <c r="R4" s="18" t="s">
        <v>79</v>
      </c>
      <c r="S4" s="21" t="s">
        <v>80</v>
      </c>
      <c r="T4" s="22" t="s">
        <v>81</v>
      </c>
      <c r="U4" s="21" t="s">
        <v>82</v>
      </c>
      <c r="V4" s="23">
        <v>1.0</v>
      </c>
      <c r="W4" s="20" t="s">
        <v>83</v>
      </c>
      <c r="X4" s="20" t="s">
        <v>84</v>
      </c>
      <c r="Y4" s="24">
        <v>2.0</v>
      </c>
      <c r="Z4" s="25">
        <v>46076.0</v>
      </c>
      <c r="AA4" s="20"/>
      <c r="AB4" s="26" t="str">
        <f>TEXT(' En tramite 23-26'!$Z4,"mmmm")</f>
        <v>febrero</v>
      </c>
      <c r="AC4" s="20">
        <f>YEAR(' En tramite 23-26'!$Z4)</f>
        <v>2026</v>
      </c>
      <c r="AD4" s="20" t="s">
        <v>84</v>
      </c>
      <c r="AE4" s="24">
        <v>2.0</v>
      </c>
      <c r="AF4" s="24">
        <v>46076.0</v>
      </c>
      <c r="AG4" s="20" t="s">
        <v>84</v>
      </c>
      <c r="AH4" s="24">
        <v>2.0</v>
      </c>
      <c r="AI4" s="24">
        <v>46076.0</v>
      </c>
      <c r="AJ4" s="20">
        <f>DAY(' En tramite 23-26'!$AI4)</f>
        <v>23</v>
      </c>
      <c r="AK4" s="27" t="str">
        <f>TEXT(' En tramite 23-26'!$AI4,"mmmm")</f>
        <v>febrero</v>
      </c>
      <c r="AL4" s="20">
        <f>YEAR(' En tramite 23-26'!$Z4)</f>
        <v>2026</v>
      </c>
      <c r="AM4" s="20" t="s">
        <v>84</v>
      </c>
      <c r="AN4" s="24">
        <v>2.0</v>
      </c>
      <c r="AO4" s="24">
        <v>46076.0</v>
      </c>
      <c r="AP4" s="20" t="s">
        <v>84</v>
      </c>
      <c r="AQ4" s="24">
        <v>2.0</v>
      </c>
      <c r="AR4" s="24">
        <v>46121.0</v>
      </c>
      <c r="AS4" s="24">
        <f>' En tramite 23-26'!$AI4+45</f>
        <v>46121</v>
      </c>
      <c r="AT4" s="20" t="s">
        <v>85</v>
      </c>
      <c r="AU4" s="20" t="s">
        <v>84</v>
      </c>
      <c r="AV4" s="20">
        <v>2.0</v>
      </c>
      <c r="AW4" s="24">
        <f>' En tramite 23-26'!$AS4+45</f>
        <v>46166</v>
      </c>
      <c r="AX4" s="20" t="s">
        <v>86</v>
      </c>
      <c r="AY4" s="20" t="s">
        <v>84</v>
      </c>
      <c r="AZ4" s="20">
        <v>2.0</v>
      </c>
      <c r="BA4" s="24">
        <v>46167.0</v>
      </c>
      <c r="BB4" s="20" t="s">
        <v>84</v>
      </c>
      <c r="BC4" s="28">
        <v>2.0</v>
      </c>
      <c r="BD4" s="24">
        <v>46167.0</v>
      </c>
      <c r="BE4" s="20">
        <f>DAY(' En tramite 23-26'!$BD4)</f>
        <v>25</v>
      </c>
      <c r="BF4" s="24" t="str">
        <f>TEXT(' En tramite 23-26'!$BD4,"mmmm")</f>
        <v>mayo</v>
      </c>
      <c r="BG4" s="20">
        <f>YEAR(' En tramite 23-26'!$BD4)</f>
        <v>2026</v>
      </c>
      <c r="BH4" s="29">
        <v>1.0</v>
      </c>
      <c r="BI4" s="26" t="s">
        <v>87</v>
      </c>
      <c r="BJ4" s="30" t="s">
        <v>88</v>
      </c>
      <c r="BK4" s="31" t="s">
        <v>89</v>
      </c>
      <c r="BL4" s="32"/>
      <c r="BM4" s="33"/>
    </row>
    <row r="5" ht="16.5" customHeight="1">
      <c r="A5" s="11" t="s">
        <v>90</v>
      </c>
      <c r="B5" s="34" t="s">
        <v>90</v>
      </c>
      <c r="C5" s="13" t="s">
        <v>91</v>
      </c>
      <c r="D5" s="18" t="s">
        <v>92</v>
      </c>
      <c r="E5" s="15" t="s">
        <v>93</v>
      </c>
      <c r="F5" s="16">
        <v>2.3422070060496E13</v>
      </c>
      <c r="G5" s="16">
        <v>4.421527871E9</v>
      </c>
      <c r="H5" s="17" t="s">
        <v>94</v>
      </c>
      <c r="I5" s="18" t="s">
        <v>72</v>
      </c>
      <c r="J5" s="18" t="s">
        <v>73</v>
      </c>
      <c r="K5" s="18" t="s">
        <v>74</v>
      </c>
      <c r="L5" s="19" t="s">
        <v>75</v>
      </c>
      <c r="M5" s="14" t="s">
        <v>95</v>
      </c>
      <c r="N5" s="18" t="s">
        <v>96</v>
      </c>
      <c r="O5" s="18" t="s">
        <v>97</v>
      </c>
      <c r="P5" s="20" t="s">
        <v>95</v>
      </c>
      <c r="Q5" s="20">
        <v>4.423622063E9</v>
      </c>
      <c r="R5" s="18" t="s">
        <v>98</v>
      </c>
      <c r="S5" s="21" t="s">
        <v>99</v>
      </c>
      <c r="T5" s="22" t="s">
        <v>81</v>
      </c>
      <c r="U5" s="21" t="s">
        <v>100</v>
      </c>
      <c r="V5" s="23">
        <v>1.0</v>
      </c>
      <c r="W5" s="20" t="s">
        <v>83</v>
      </c>
      <c r="X5" s="20" t="s">
        <v>84</v>
      </c>
      <c r="Y5" s="24">
        <v>2.0</v>
      </c>
      <c r="Z5" s="25">
        <v>45999.0</v>
      </c>
      <c r="AA5" s="20">
        <f>DAY(Tabla1[F. INICIO])</f>
        <v>8</v>
      </c>
      <c r="AB5" s="26" t="str">
        <f>TEXT(' En tramite 23-26'!$Z5,"mmmm")</f>
        <v>diciembre</v>
      </c>
      <c r="AC5" s="20">
        <f>YEAR(' En tramite 23-26'!$Z5)</f>
        <v>2025</v>
      </c>
      <c r="AD5" s="20" t="s">
        <v>84</v>
      </c>
      <c r="AE5" s="24">
        <v>2.0</v>
      </c>
      <c r="AF5" s="24">
        <v>45999.0</v>
      </c>
      <c r="AG5" s="20" t="s">
        <v>84</v>
      </c>
      <c r="AH5" s="24">
        <v>2.0</v>
      </c>
      <c r="AI5" s="24">
        <v>45999.0</v>
      </c>
      <c r="AJ5" s="20">
        <f>DAY(' En tramite 23-26'!$AI5)</f>
        <v>8</v>
      </c>
      <c r="AK5" s="20" t="str">
        <f>TEXT(' En tramite 23-26'!$AI5,"mmmm")</f>
        <v>diciembre</v>
      </c>
      <c r="AL5" s="20">
        <f>YEAR(' En tramite 23-26'!$Z5)</f>
        <v>2025</v>
      </c>
      <c r="AM5" s="20" t="s">
        <v>84</v>
      </c>
      <c r="AN5" s="24">
        <v>2.0</v>
      </c>
      <c r="AO5" s="24">
        <v>45999.0</v>
      </c>
      <c r="AP5" s="20" t="s">
        <v>84</v>
      </c>
      <c r="AQ5" s="24">
        <v>2.0</v>
      </c>
      <c r="AR5" s="24">
        <v>46044.0</v>
      </c>
      <c r="AS5" s="24">
        <f>' En tramite 23-26'!$AI5+45</f>
        <v>46044</v>
      </c>
      <c r="AT5" s="20" t="s">
        <v>85</v>
      </c>
      <c r="AU5" s="20" t="s">
        <v>84</v>
      </c>
      <c r="AV5" s="20">
        <v>2.0</v>
      </c>
      <c r="AW5" s="24">
        <v>46378.0</v>
      </c>
      <c r="AX5" s="20" t="s">
        <v>86</v>
      </c>
      <c r="AY5" s="20" t="s">
        <v>84</v>
      </c>
      <c r="AZ5" s="28">
        <v>2.0</v>
      </c>
      <c r="BA5" s="24">
        <v>46090.0</v>
      </c>
      <c r="BB5" s="20" t="s">
        <v>84</v>
      </c>
      <c r="BC5" s="28">
        <v>2.0</v>
      </c>
      <c r="BD5" s="24">
        <v>46090.0</v>
      </c>
      <c r="BE5" s="20">
        <v>9.0</v>
      </c>
      <c r="BF5" s="24" t="s">
        <v>101</v>
      </c>
      <c r="BG5" s="20">
        <f>YEAR(' En tramite 23-26'!$BD5)</f>
        <v>2026</v>
      </c>
      <c r="BH5" s="29">
        <v>1.0</v>
      </c>
      <c r="BI5" s="26" t="s">
        <v>102</v>
      </c>
      <c r="BJ5" s="30" t="s">
        <v>88</v>
      </c>
      <c r="BK5" s="31" t="s">
        <v>89</v>
      </c>
      <c r="BL5" s="32"/>
      <c r="BM5" s="33"/>
    </row>
    <row r="6" ht="16.5" customHeight="1">
      <c r="A6" s="11" t="s">
        <v>103</v>
      </c>
      <c r="B6" s="34" t="s">
        <v>103</v>
      </c>
      <c r="C6" s="13" t="s">
        <v>104</v>
      </c>
      <c r="D6" s="18" t="s">
        <v>105</v>
      </c>
      <c r="E6" s="15" t="s">
        <v>106</v>
      </c>
      <c r="F6" s="16">
        <v>2.3422070060023E13</v>
      </c>
      <c r="G6" s="16">
        <v>4.42553633E9</v>
      </c>
      <c r="H6" s="17" t="s">
        <v>107</v>
      </c>
      <c r="I6" s="18" t="s">
        <v>108</v>
      </c>
      <c r="J6" s="18" t="s">
        <v>109</v>
      </c>
      <c r="K6" s="18" t="s">
        <v>110</v>
      </c>
      <c r="L6" s="19" t="s">
        <v>75</v>
      </c>
      <c r="M6" s="14" t="s">
        <v>111</v>
      </c>
      <c r="N6" s="18" t="s">
        <v>112</v>
      </c>
      <c r="O6" s="18" t="s">
        <v>97</v>
      </c>
      <c r="P6" s="20" t="s">
        <v>113</v>
      </c>
      <c r="Q6" s="20">
        <v>4.421477291E9</v>
      </c>
      <c r="R6" s="18" t="s">
        <v>98</v>
      </c>
      <c r="S6" s="35" t="s">
        <v>114</v>
      </c>
      <c r="T6" s="22" t="s">
        <v>81</v>
      </c>
      <c r="U6" s="21" t="s">
        <v>100</v>
      </c>
      <c r="V6" s="23">
        <v>1.0</v>
      </c>
      <c r="W6" s="20" t="s">
        <v>83</v>
      </c>
      <c r="X6" s="20" t="s">
        <v>84</v>
      </c>
      <c r="Y6" s="24">
        <v>2.0</v>
      </c>
      <c r="Z6" s="25">
        <v>45881.0</v>
      </c>
      <c r="AA6" s="20">
        <f>DAY(Tabla1[F. INICIO])</f>
        <v>12</v>
      </c>
      <c r="AB6" s="26" t="str">
        <f>TEXT(' En tramite 23-26'!$Z6,"mmmm")</f>
        <v>agosto</v>
      </c>
      <c r="AC6" s="20">
        <f>YEAR(' En tramite 23-26'!$Z6)</f>
        <v>2025</v>
      </c>
      <c r="AD6" s="20" t="s">
        <v>84</v>
      </c>
      <c r="AE6" s="24">
        <v>2.0</v>
      </c>
      <c r="AF6" s="24">
        <v>45881.0</v>
      </c>
      <c r="AG6" s="20" t="s">
        <v>84</v>
      </c>
      <c r="AH6" s="24">
        <v>2.0</v>
      </c>
      <c r="AI6" s="36">
        <v>45881.0</v>
      </c>
      <c r="AJ6" s="20">
        <f>DAY(' En tramite 23-26'!$AI6)</f>
        <v>12</v>
      </c>
      <c r="AK6" s="27" t="str">
        <f>TEXT(' En tramite 23-26'!$AI6,"mmmm")</f>
        <v>agosto</v>
      </c>
      <c r="AL6" s="20">
        <f>YEAR(' En tramite 23-26'!$Z6)</f>
        <v>2025</v>
      </c>
      <c r="AM6" s="20" t="s">
        <v>84</v>
      </c>
      <c r="AN6" s="24">
        <v>2.0</v>
      </c>
      <c r="AO6" s="24">
        <v>45881.0</v>
      </c>
      <c r="AP6" s="20" t="s">
        <v>84</v>
      </c>
      <c r="AQ6" s="24">
        <v>2.0</v>
      </c>
      <c r="AR6" s="24">
        <v>45926.0</v>
      </c>
      <c r="AS6" s="24">
        <f>' En tramite 23-26'!$AI6+45</f>
        <v>45926</v>
      </c>
      <c r="AT6" s="20" t="s">
        <v>85</v>
      </c>
      <c r="AU6" s="20" t="s">
        <v>84</v>
      </c>
      <c r="AV6" s="20">
        <v>2.0</v>
      </c>
      <c r="AW6" s="24">
        <f>' En tramite 23-26'!$AS6+45</f>
        <v>45971</v>
      </c>
      <c r="AX6" s="20" t="s">
        <v>86</v>
      </c>
      <c r="AY6" s="20" t="s">
        <v>84</v>
      </c>
      <c r="AZ6" s="20">
        <v>2.0</v>
      </c>
      <c r="BA6" s="24">
        <v>45971.0</v>
      </c>
      <c r="BB6" s="20" t="s">
        <v>84</v>
      </c>
      <c r="BC6" s="28">
        <v>2.0</v>
      </c>
      <c r="BD6" s="24">
        <v>45971.0</v>
      </c>
      <c r="BE6" s="20">
        <f>DAY(' En tramite 23-26'!$BD6)</f>
        <v>10</v>
      </c>
      <c r="BF6" s="24" t="str">
        <f>TEXT(' En tramite 23-26'!$BD6,"mmmm")</f>
        <v>noviembre</v>
      </c>
      <c r="BG6" s="20">
        <f>YEAR(' En tramite 23-26'!$BD6)</f>
        <v>2025</v>
      </c>
      <c r="BH6" s="29">
        <v>1.0</v>
      </c>
      <c r="BI6" s="37" t="s">
        <v>115</v>
      </c>
      <c r="BJ6" s="30" t="s">
        <v>88</v>
      </c>
      <c r="BK6" s="31" t="s">
        <v>89</v>
      </c>
      <c r="BL6" s="32">
        <v>46238.0</v>
      </c>
      <c r="BM6" s="33">
        <v>2.0</v>
      </c>
    </row>
    <row r="7" ht="16.5" customHeight="1">
      <c r="A7" s="11" t="s">
        <v>116</v>
      </c>
      <c r="B7" s="34" t="s">
        <v>116</v>
      </c>
      <c r="C7" s="13" t="s">
        <v>117</v>
      </c>
      <c r="D7" s="18" t="s">
        <v>118</v>
      </c>
      <c r="E7" s="15" t="s">
        <v>119</v>
      </c>
      <c r="F7" s="16">
        <v>2.3422070060014E13</v>
      </c>
      <c r="G7" s="16">
        <v>4.421413148E9</v>
      </c>
      <c r="H7" s="17" t="s">
        <v>120</v>
      </c>
      <c r="I7" s="18" t="s">
        <v>108</v>
      </c>
      <c r="J7" s="18" t="s">
        <v>109</v>
      </c>
      <c r="K7" s="18" t="s">
        <v>110</v>
      </c>
      <c r="L7" s="19" t="s">
        <v>75</v>
      </c>
      <c r="M7" s="14" t="s">
        <v>111</v>
      </c>
      <c r="N7" s="18" t="s">
        <v>112</v>
      </c>
      <c r="O7" s="18" t="s">
        <v>97</v>
      </c>
      <c r="P7" s="26" t="s">
        <v>121</v>
      </c>
      <c r="Q7" s="20">
        <v>4.421477291E9</v>
      </c>
      <c r="R7" s="18" t="s">
        <v>98</v>
      </c>
      <c r="S7" s="35" t="s">
        <v>114</v>
      </c>
      <c r="T7" s="22" t="s">
        <v>81</v>
      </c>
      <c r="U7" s="21" t="s">
        <v>100</v>
      </c>
      <c r="V7" s="23">
        <v>1.0</v>
      </c>
      <c r="W7" s="20" t="s">
        <v>83</v>
      </c>
      <c r="X7" s="20" t="s">
        <v>84</v>
      </c>
      <c r="Y7" s="24">
        <v>2.0</v>
      </c>
      <c r="Z7" s="25">
        <v>45880.0</v>
      </c>
      <c r="AA7" s="20">
        <f>DAY(Tabla1[F. INICIO])</f>
        <v>11</v>
      </c>
      <c r="AB7" s="26" t="str">
        <f>TEXT(' En tramite 23-26'!$Z7,"mmmm")</f>
        <v>agosto</v>
      </c>
      <c r="AC7" s="20">
        <f>YEAR(' En tramite 23-26'!$Z7)</f>
        <v>2025</v>
      </c>
      <c r="AD7" s="20" t="s">
        <v>84</v>
      </c>
      <c r="AE7" s="24">
        <v>2.0</v>
      </c>
      <c r="AF7" s="24">
        <v>45881.0</v>
      </c>
      <c r="AG7" s="20" t="s">
        <v>84</v>
      </c>
      <c r="AH7" s="24">
        <v>2.0</v>
      </c>
      <c r="AI7" s="24">
        <v>45881.0</v>
      </c>
      <c r="AJ7" s="20">
        <f>DAY(' En tramite 23-26'!$AI7)</f>
        <v>12</v>
      </c>
      <c r="AK7" s="20" t="str">
        <f>TEXT(' En tramite 23-26'!$AI7,"mmmm")</f>
        <v>agosto</v>
      </c>
      <c r="AL7" s="20">
        <f>YEAR(' En tramite 23-26'!$Z7)</f>
        <v>2025</v>
      </c>
      <c r="AM7" s="20" t="s">
        <v>84</v>
      </c>
      <c r="AN7" s="24">
        <v>2.0</v>
      </c>
      <c r="AO7" s="24">
        <v>46246.0</v>
      </c>
      <c r="AP7" s="20" t="s">
        <v>84</v>
      </c>
      <c r="AQ7" s="24">
        <v>2.0</v>
      </c>
      <c r="AR7" s="24">
        <v>45942.0</v>
      </c>
      <c r="AS7" s="24">
        <f>' En tramite 23-26'!$AI7+45</f>
        <v>45926</v>
      </c>
      <c r="AT7" s="20" t="s">
        <v>85</v>
      </c>
      <c r="AU7" s="20" t="s">
        <v>84</v>
      </c>
      <c r="AV7" s="20">
        <v>2.0</v>
      </c>
      <c r="AW7" s="24">
        <v>46078.0</v>
      </c>
      <c r="AX7" s="20" t="s">
        <v>86</v>
      </c>
      <c r="AY7" s="20" t="s">
        <v>84</v>
      </c>
      <c r="AZ7" s="20">
        <v>2.0</v>
      </c>
      <c r="BA7" s="24">
        <v>46078.0</v>
      </c>
      <c r="BB7" s="20" t="s">
        <v>84</v>
      </c>
      <c r="BC7" s="28">
        <v>2.0</v>
      </c>
      <c r="BD7" s="24">
        <v>46078.0</v>
      </c>
      <c r="BE7" s="20">
        <f>DAY(' En tramite 23-26'!$BD7)</f>
        <v>25</v>
      </c>
      <c r="BF7" s="24" t="str">
        <f>TEXT(' En tramite 23-26'!$BD7,"mmmm")</f>
        <v>febrero</v>
      </c>
      <c r="BG7" s="20">
        <f>YEAR(' En tramite 23-26'!$BD7)</f>
        <v>2026</v>
      </c>
      <c r="BH7" s="29">
        <v>1.0</v>
      </c>
      <c r="BI7" s="38" t="s">
        <v>122</v>
      </c>
      <c r="BJ7" s="30" t="s">
        <v>88</v>
      </c>
      <c r="BK7" s="31" t="s">
        <v>89</v>
      </c>
      <c r="BL7" s="32"/>
      <c r="BM7" s="33"/>
    </row>
    <row r="8" ht="16.5" customHeight="1">
      <c r="A8" s="11" t="s">
        <v>123</v>
      </c>
      <c r="B8" s="34" t="s">
        <v>123</v>
      </c>
      <c r="C8" s="13" t="s">
        <v>124</v>
      </c>
      <c r="D8" s="18" t="s">
        <v>125</v>
      </c>
      <c r="E8" s="15" t="s">
        <v>126</v>
      </c>
      <c r="F8" s="16">
        <v>2.3422070060353E13</v>
      </c>
      <c r="G8" s="16">
        <v>4.428658663E9</v>
      </c>
      <c r="H8" s="17" t="s">
        <v>127</v>
      </c>
      <c r="I8" s="18" t="s">
        <v>128</v>
      </c>
      <c r="J8" s="18" t="s">
        <v>109</v>
      </c>
      <c r="K8" s="18" t="s">
        <v>129</v>
      </c>
      <c r="L8" s="19" t="s">
        <v>75</v>
      </c>
      <c r="M8" s="14" t="s">
        <v>14</v>
      </c>
      <c r="N8" s="18" t="s">
        <v>130</v>
      </c>
      <c r="O8" s="18" t="s">
        <v>131</v>
      </c>
      <c r="P8" s="20" t="s">
        <v>78</v>
      </c>
      <c r="Q8" s="20">
        <v>4.422852269E9</v>
      </c>
      <c r="R8" s="18" t="s">
        <v>132</v>
      </c>
      <c r="S8" s="35" t="s">
        <v>133</v>
      </c>
      <c r="T8" s="22" t="s">
        <v>81</v>
      </c>
      <c r="U8" s="21" t="s">
        <v>82</v>
      </c>
      <c r="V8" s="23">
        <v>1.0</v>
      </c>
      <c r="W8" s="20" t="s">
        <v>83</v>
      </c>
      <c r="X8" s="20" t="s">
        <v>84</v>
      </c>
      <c r="Y8" s="24">
        <v>2.0</v>
      </c>
      <c r="Z8" s="25">
        <v>45904.0</v>
      </c>
      <c r="AA8" s="20">
        <f>DAY(Tabla1[F. INICIO])</f>
        <v>4</v>
      </c>
      <c r="AB8" s="26" t="str">
        <f>TEXT(' En tramite 23-26'!$Z8,"mmmm")</f>
        <v>septiembre</v>
      </c>
      <c r="AC8" s="20">
        <f>YEAR(' En tramite 23-26'!$Z8)</f>
        <v>2025</v>
      </c>
      <c r="AD8" s="20" t="s">
        <v>84</v>
      </c>
      <c r="AE8" s="24">
        <v>2.0</v>
      </c>
      <c r="AF8" s="24">
        <v>45904.0</v>
      </c>
      <c r="AG8" s="20" t="s">
        <v>84</v>
      </c>
      <c r="AH8" s="24">
        <v>2.0</v>
      </c>
      <c r="AI8" s="24">
        <v>45904.0</v>
      </c>
      <c r="AJ8" s="20">
        <f>DAY(' En tramite 23-26'!$AI8)</f>
        <v>4</v>
      </c>
      <c r="AK8" s="20" t="str">
        <f>TEXT(' En tramite 23-26'!$AI8,"mmmm")</f>
        <v>septiembre</v>
      </c>
      <c r="AL8" s="20">
        <f>YEAR(' En tramite 23-26'!$Z8)</f>
        <v>2025</v>
      </c>
      <c r="AM8" s="20" t="s">
        <v>84</v>
      </c>
      <c r="AN8" s="24">
        <v>1.0</v>
      </c>
      <c r="AO8" s="24">
        <v>45904.0</v>
      </c>
      <c r="AP8" s="20" t="s">
        <v>84</v>
      </c>
      <c r="AQ8" s="24">
        <v>1.0</v>
      </c>
      <c r="AR8" s="24">
        <v>45947.0</v>
      </c>
      <c r="AS8" s="24">
        <f>' En tramite 23-26'!$AI8+45</f>
        <v>45949</v>
      </c>
      <c r="AT8" s="26" t="s">
        <v>85</v>
      </c>
      <c r="AU8" s="20" t="s">
        <v>84</v>
      </c>
      <c r="AV8" s="20">
        <v>2.0</v>
      </c>
      <c r="AW8" s="24">
        <f>' En tramite 23-26'!$AS8+45</f>
        <v>45994</v>
      </c>
      <c r="AX8" s="20" t="s">
        <v>86</v>
      </c>
      <c r="AY8" s="20" t="s">
        <v>84</v>
      </c>
      <c r="AZ8" s="20">
        <v>2.0</v>
      </c>
      <c r="BA8" s="24">
        <v>45992.0</v>
      </c>
      <c r="BB8" s="20" t="s">
        <v>84</v>
      </c>
      <c r="BC8" s="28">
        <v>2.0</v>
      </c>
      <c r="BD8" s="24">
        <v>45992.0</v>
      </c>
      <c r="BE8" s="20">
        <f>DAY(' En tramite 23-26'!$BD8)</f>
        <v>1</v>
      </c>
      <c r="BF8" s="24" t="str">
        <f>TEXT(' En tramite 23-26'!$BD8,"mmmm")</f>
        <v>diciembre</v>
      </c>
      <c r="BG8" s="20">
        <f>YEAR(' En tramite 23-26'!$BD8)</f>
        <v>2025</v>
      </c>
      <c r="BH8" s="29">
        <v>1.0</v>
      </c>
      <c r="BI8" s="37" t="s">
        <v>134</v>
      </c>
      <c r="BJ8" s="30" t="s">
        <v>88</v>
      </c>
      <c r="BK8" s="31" t="s">
        <v>89</v>
      </c>
      <c r="BL8" s="32">
        <v>46211.0</v>
      </c>
      <c r="BM8" s="33">
        <v>2.0</v>
      </c>
    </row>
    <row r="9" ht="16.5" customHeight="1">
      <c r="A9" s="11" t="s">
        <v>135</v>
      </c>
      <c r="B9" s="34" t="s">
        <v>135</v>
      </c>
      <c r="C9" s="13" t="s">
        <v>136</v>
      </c>
      <c r="D9" s="18" t="s">
        <v>137</v>
      </c>
      <c r="E9" s="15" t="s">
        <v>138</v>
      </c>
      <c r="F9" s="16">
        <v>2.3422070060516E13</v>
      </c>
      <c r="G9" s="16">
        <v>4.49104167E9</v>
      </c>
      <c r="H9" s="17" t="s">
        <v>139</v>
      </c>
      <c r="I9" s="18" t="s">
        <v>140</v>
      </c>
      <c r="J9" s="18" t="s">
        <v>109</v>
      </c>
      <c r="K9" s="18" t="s">
        <v>141</v>
      </c>
      <c r="L9" s="19" t="s">
        <v>75</v>
      </c>
      <c r="M9" s="14" t="s">
        <v>142</v>
      </c>
      <c r="N9" s="18" t="s">
        <v>143</v>
      </c>
      <c r="O9" s="18" t="s">
        <v>97</v>
      </c>
      <c r="P9" s="20" t="s">
        <v>144</v>
      </c>
      <c r="Q9" s="20">
        <v>4.4236001E9</v>
      </c>
      <c r="R9" s="18" t="s">
        <v>145</v>
      </c>
      <c r="S9" s="35" t="s">
        <v>146</v>
      </c>
      <c r="T9" s="22" t="s">
        <v>81</v>
      </c>
      <c r="U9" s="21" t="s">
        <v>82</v>
      </c>
      <c r="V9" s="23">
        <v>1.0</v>
      </c>
      <c r="W9" s="20" t="s">
        <v>147</v>
      </c>
      <c r="X9" s="20" t="s">
        <v>84</v>
      </c>
      <c r="Y9" s="24">
        <v>2.0</v>
      </c>
      <c r="Z9" s="25">
        <v>46035.0</v>
      </c>
      <c r="AA9" s="20">
        <f>DAY(Tabla1[F. INICIO])</f>
        <v>13</v>
      </c>
      <c r="AB9" s="26" t="str">
        <f>TEXT(' En tramite 23-26'!$Z9,"mmmm")</f>
        <v>enero</v>
      </c>
      <c r="AC9" s="20">
        <f>YEAR(' En tramite 23-26'!$Z9)</f>
        <v>2026</v>
      </c>
      <c r="AD9" s="20" t="s">
        <v>84</v>
      </c>
      <c r="AE9" s="24">
        <v>2.0</v>
      </c>
      <c r="AF9" s="24">
        <v>46035.0</v>
      </c>
      <c r="AG9" s="20" t="s">
        <v>84</v>
      </c>
      <c r="AH9" s="24">
        <v>2.0</v>
      </c>
      <c r="AI9" s="24">
        <v>46035.0</v>
      </c>
      <c r="AJ9" s="20">
        <f>DAY(' En tramite 23-26'!$AI9)</f>
        <v>13</v>
      </c>
      <c r="AK9" s="20" t="str">
        <f>TEXT(' En tramite 23-26'!$AI9,"mmmm")</f>
        <v>enero</v>
      </c>
      <c r="AL9" s="20">
        <f>YEAR(' En tramite 23-26'!$Z9)</f>
        <v>2026</v>
      </c>
      <c r="AM9" s="20" t="s">
        <v>84</v>
      </c>
      <c r="AN9" s="24">
        <v>2.0</v>
      </c>
      <c r="AO9" s="24">
        <v>46035.0</v>
      </c>
      <c r="AP9" s="20" t="s">
        <v>84</v>
      </c>
      <c r="AQ9" s="24">
        <v>2.0</v>
      </c>
      <c r="AR9" s="24">
        <v>46058.0</v>
      </c>
      <c r="AS9" s="24">
        <f>' En tramite 23-26'!$AI9+45</f>
        <v>46080</v>
      </c>
      <c r="AT9" s="20" t="s">
        <v>85</v>
      </c>
      <c r="AU9" s="20" t="s">
        <v>84</v>
      </c>
      <c r="AV9" s="20">
        <v>2.0</v>
      </c>
      <c r="AW9" s="24">
        <f>' En tramite 23-26'!$AS9+45</f>
        <v>46125</v>
      </c>
      <c r="AX9" s="20" t="s">
        <v>86</v>
      </c>
      <c r="AY9" s="20" t="s">
        <v>84</v>
      </c>
      <c r="AZ9" s="20">
        <v>2.0</v>
      </c>
      <c r="BA9" s="24">
        <v>46125.0</v>
      </c>
      <c r="BB9" s="20" t="s">
        <v>84</v>
      </c>
      <c r="BC9" s="28">
        <v>2.0</v>
      </c>
      <c r="BD9" s="24">
        <v>46125.0</v>
      </c>
      <c r="BE9" s="20">
        <f>DAY(' En tramite 23-26'!$BD9)</f>
        <v>13</v>
      </c>
      <c r="BF9" s="24" t="str">
        <f>TEXT(' En tramite 23-26'!$BD9,"mmmm")</f>
        <v>abril</v>
      </c>
      <c r="BG9" s="20">
        <f>YEAR(' En tramite 23-26'!$BD9)</f>
        <v>2026</v>
      </c>
      <c r="BH9" s="29">
        <v>1.0</v>
      </c>
      <c r="BI9" s="26" t="s">
        <v>148</v>
      </c>
      <c r="BJ9" s="30" t="s">
        <v>88</v>
      </c>
      <c r="BK9" s="31" t="s">
        <v>89</v>
      </c>
      <c r="BL9" s="32"/>
      <c r="BM9" s="33"/>
    </row>
    <row r="10" ht="16.5" customHeight="1">
      <c r="A10" s="11" t="s">
        <v>149</v>
      </c>
      <c r="B10" s="34" t="s">
        <v>149</v>
      </c>
      <c r="C10" s="13" t="s">
        <v>150</v>
      </c>
      <c r="D10" s="18" t="s">
        <v>151</v>
      </c>
      <c r="E10" s="15" t="s">
        <v>152</v>
      </c>
      <c r="F10" s="16">
        <v>2.3422070060378E13</v>
      </c>
      <c r="G10" s="16">
        <v>4.42299382E9</v>
      </c>
      <c r="H10" s="17" t="s">
        <v>153</v>
      </c>
      <c r="I10" s="18" t="s">
        <v>154</v>
      </c>
      <c r="J10" s="18" t="s">
        <v>109</v>
      </c>
      <c r="K10" s="18" t="s">
        <v>155</v>
      </c>
      <c r="L10" s="19" t="s">
        <v>75</v>
      </c>
      <c r="M10" s="14" t="s">
        <v>14</v>
      </c>
      <c r="N10" s="18" t="s">
        <v>156</v>
      </c>
      <c r="O10" s="18" t="s">
        <v>131</v>
      </c>
      <c r="P10" s="20" t="s">
        <v>78</v>
      </c>
      <c r="Q10" s="20">
        <v>4.422100316E9</v>
      </c>
      <c r="R10" s="18" t="s">
        <v>157</v>
      </c>
      <c r="S10" s="35" t="s">
        <v>158</v>
      </c>
      <c r="T10" s="22" t="s">
        <v>81</v>
      </c>
      <c r="U10" s="21" t="s">
        <v>100</v>
      </c>
      <c r="V10" s="23">
        <v>1.0</v>
      </c>
      <c r="W10" s="20" t="s">
        <v>83</v>
      </c>
      <c r="X10" s="20" t="s">
        <v>84</v>
      </c>
      <c r="Y10" s="24">
        <v>2.0</v>
      </c>
      <c r="Z10" s="25">
        <v>45909.0</v>
      </c>
      <c r="AA10" s="20">
        <f>DAY(Tabla1[F. INICIO])</f>
        <v>9</v>
      </c>
      <c r="AB10" s="26" t="str">
        <f>TEXT(' En tramite 23-26'!$Z10,"mmmm")</f>
        <v>septiembre</v>
      </c>
      <c r="AC10" s="20">
        <f>YEAR(' En tramite 23-26'!$Z10)</f>
        <v>2025</v>
      </c>
      <c r="AD10" s="20" t="s">
        <v>84</v>
      </c>
      <c r="AE10" s="24">
        <v>2.0</v>
      </c>
      <c r="AF10" s="24">
        <v>45909.0</v>
      </c>
      <c r="AG10" s="20" t="s">
        <v>84</v>
      </c>
      <c r="AH10" s="24">
        <v>2.0</v>
      </c>
      <c r="AI10" s="24">
        <v>45909.0</v>
      </c>
      <c r="AJ10" s="20">
        <f>DAY(' En tramite 23-26'!$AI10)</f>
        <v>9</v>
      </c>
      <c r="AK10" s="20" t="str">
        <f>TEXT(' En tramite 23-26'!$AI10,"mmmm")</f>
        <v>septiembre</v>
      </c>
      <c r="AL10" s="20">
        <f>YEAR(' En tramite 23-26'!$Z10)</f>
        <v>2025</v>
      </c>
      <c r="AM10" s="20" t="s">
        <v>84</v>
      </c>
      <c r="AN10" s="24">
        <v>1.0</v>
      </c>
      <c r="AO10" s="24">
        <v>45909.0</v>
      </c>
      <c r="AP10" s="20" t="s">
        <v>84</v>
      </c>
      <c r="AQ10" s="24">
        <v>1.0</v>
      </c>
      <c r="AR10" s="24">
        <v>45954.0</v>
      </c>
      <c r="AS10" s="24">
        <f>' En tramite 23-26'!$AI10+45</f>
        <v>45954</v>
      </c>
      <c r="AT10" s="26" t="s">
        <v>85</v>
      </c>
      <c r="AU10" s="20" t="s">
        <v>84</v>
      </c>
      <c r="AV10" s="20">
        <v>2.0</v>
      </c>
      <c r="AW10" s="24">
        <f>' En tramite 23-26'!$AS10+45</f>
        <v>45999</v>
      </c>
      <c r="AX10" s="20" t="s">
        <v>86</v>
      </c>
      <c r="AY10" s="20" t="s">
        <v>84</v>
      </c>
      <c r="AZ10" s="20">
        <v>2.0</v>
      </c>
      <c r="BA10" s="24">
        <v>46000.0</v>
      </c>
      <c r="BB10" s="20" t="s">
        <v>84</v>
      </c>
      <c r="BC10" s="28">
        <v>2.0</v>
      </c>
      <c r="BD10" s="24">
        <v>46000.0</v>
      </c>
      <c r="BE10" s="20">
        <f>DAY(' En tramite 23-26'!$BD10)</f>
        <v>9</v>
      </c>
      <c r="BF10" s="24" t="str">
        <f>TEXT(' En tramite 23-26'!$BD10,"mmmm")</f>
        <v>diciembre</v>
      </c>
      <c r="BG10" s="20">
        <f>YEAR(' En tramite 23-26'!$BD10)</f>
        <v>2025</v>
      </c>
      <c r="BH10" s="29">
        <v>1.0</v>
      </c>
      <c r="BI10" s="26" t="s">
        <v>159</v>
      </c>
      <c r="BJ10" s="30" t="s">
        <v>88</v>
      </c>
      <c r="BK10" s="31" t="s">
        <v>89</v>
      </c>
      <c r="BL10" s="32">
        <v>46211.0</v>
      </c>
      <c r="BM10" s="33">
        <v>2.0</v>
      </c>
    </row>
    <row r="11" ht="16.5" customHeight="1">
      <c r="A11" s="11" t="s">
        <v>160</v>
      </c>
      <c r="B11" s="34" t="s">
        <v>160</v>
      </c>
      <c r="C11" s="13" t="s">
        <v>161</v>
      </c>
      <c r="D11" s="18" t="s">
        <v>162</v>
      </c>
      <c r="E11" s="15" t="s">
        <v>163</v>
      </c>
      <c r="F11" s="16">
        <v>2.3422070060514E13</v>
      </c>
      <c r="G11" s="16">
        <v>4.428257614E9</v>
      </c>
      <c r="H11" s="17" t="s">
        <v>164</v>
      </c>
      <c r="I11" s="18" t="s">
        <v>140</v>
      </c>
      <c r="J11" s="18" t="s">
        <v>109</v>
      </c>
      <c r="K11" s="18" t="s">
        <v>141</v>
      </c>
      <c r="L11" s="19" t="s">
        <v>75</v>
      </c>
      <c r="M11" s="14" t="s">
        <v>111</v>
      </c>
      <c r="N11" s="18" t="s">
        <v>112</v>
      </c>
      <c r="O11" s="18" t="s">
        <v>97</v>
      </c>
      <c r="P11" s="20" t="s">
        <v>165</v>
      </c>
      <c r="Q11" s="20">
        <v>4.421561235E9</v>
      </c>
      <c r="R11" s="18" t="s">
        <v>98</v>
      </c>
      <c r="S11" s="35" t="s">
        <v>166</v>
      </c>
      <c r="T11" s="22" t="s">
        <v>81</v>
      </c>
      <c r="U11" s="21" t="s">
        <v>82</v>
      </c>
      <c r="V11" s="23">
        <v>1.0</v>
      </c>
      <c r="W11" s="20" t="s">
        <v>83</v>
      </c>
      <c r="X11" s="20" t="s">
        <v>84</v>
      </c>
      <c r="Y11" s="24">
        <v>2.0</v>
      </c>
      <c r="Z11" s="25">
        <v>45901.0</v>
      </c>
      <c r="AA11" s="20">
        <f>DAY(Tabla1[F. INICIO])</f>
        <v>1</v>
      </c>
      <c r="AB11" s="26" t="str">
        <f>TEXT(' En tramite 23-26'!$Z11,"mmmm")</f>
        <v>septiembre</v>
      </c>
      <c r="AC11" s="20">
        <f>YEAR(' En tramite 23-26'!$Z11)</f>
        <v>2025</v>
      </c>
      <c r="AD11" s="20" t="s">
        <v>84</v>
      </c>
      <c r="AE11" s="24">
        <v>2.0</v>
      </c>
      <c r="AF11" s="24">
        <v>45901.0</v>
      </c>
      <c r="AG11" s="20" t="s">
        <v>84</v>
      </c>
      <c r="AH11" s="24">
        <v>2.0</v>
      </c>
      <c r="AI11" s="24">
        <v>45901.0</v>
      </c>
      <c r="AJ11" s="20">
        <f>DAY(' En tramite 23-26'!$AI11)</f>
        <v>1</v>
      </c>
      <c r="AK11" s="20" t="str">
        <f>TEXT(' En tramite 23-26'!$AI11,"mmmm")</f>
        <v>septiembre</v>
      </c>
      <c r="AL11" s="20">
        <f>YEAR(' En tramite 23-26'!$Z11)</f>
        <v>2025</v>
      </c>
      <c r="AM11" s="20" t="s">
        <v>84</v>
      </c>
      <c r="AN11" s="24">
        <v>2.0</v>
      </c>
      <c r="AO11" s="24">
        <v>45901.0</v>
      </c>
      <c r="AP11" s="20" t="s">
        <v>84</v>
      </c>
      <c r="AQ11" s="24">
        <v>2.0</v>
      </c>
      <c r="AR11" s="24">
        <v>45978.0</v>
      </c>
      <c r="AS11" s="24">
        <f>' En tramite 23-26'!$AI11+45</f>
        <v>45946</v>
      </c>
      <c r="AT11" s="20" t="s">
        <v>85</v>
      </c>
      <c r="AU11" s="20" t="s">
        <v>84</v>
      </c>
      <c r="AV11" s="20">
        <v>2.0</v>
      </c>
      <c r="AW11" s="24">
        <v>45996.0</v>
      </c>
      <c r="AX11" s="20" t="s">
        <v>86</v>
      </c>
      <c r="AY11" s="20" t="s">
        <v>84</v>
      </c>
      <c r="AZ11" s="20">
        <v>2.0</v>
      </c>
      <c r="BA11" s="24">
        <v>45996.0</v>
      </c>
      <c r="BB11" s="20" t="s">
        <v>84</v>
      </c>
      <c r="BC11" s="28">
        <v>2.0</v>
      </c>
      <c r="BD11" s="24">
        <v>45996.0</v>
      </c>
      <c r="BE11" s="20">
        <f>DAY(' En tramite 23-26'!$BD11)</f>
        <v>5</v>
      </c>
      <c r="BF11" s="24" t="str">
        <f>TEXT(' En tramite 23-26'!$BD11,"mmmm")</f>
        <v>diciembre</v>
      </c>
      <c r="BG11" s="20">
        <f>YEAR(' En tramite 23-26'!$BD11)</f>
        <v>2025</v>
      </c>
      <c r="BH11" s="29">
        <v>1.0</v>
      </c>
      <c r="BI11" s="26" t="s">
        <v>167</v>
      </c>
      <c r="BJ11" s="30" t="s">
        <v>88</v>
      </c>
      <c r="BK11" s="31" t="s">
        <v>89</v>
      </c>
      <c r="BL11" s="32"/>
      <c r="BM11" s="33"/>
    </row>
    <row r="12" ht="16.5" customHeight="1">
      <c r="A12" s="11" t="s">
        <v>168</v>
      </c>
      <c r="B12" s="34" t="s">
        <v>168</v>
      </c>
      <c r="C12" s="13" t="s">
        <v>169</v>
      </c>
      <c r="D12" s="18" t="s">
        <v>170</v>
      </c>
      <c r="E12" s="15" t="s">
        <v>171</v>
      </c>
      <c r="F12" s="16">
        <v>2.3422070060488E13</v>
      </c>
      <c r="G12" s="16">
        <v>4.424534441E9</v>
      </c>
      <c r="H12" s="17" t="s">
        <v>172</v>
      </c>
      <c r="I12" s="18" t="s">
        <v>140</v>
      </c>
      <c r="J12" s="18" t="s">
        <v>109</v>
      </c>
      <c r="K12" s="18" t="s">
        <v>141</v>
      </c>
      <c r="L12" s="19" t="s">
        <v>75</v>
      </c>
      <c r="M12" s="14" t="s">
        <v>111</v>
      </c>
      <c r="N12" s="18" t="s">
        <v>112</v>
      </c>
      <c r="O12" s="18" t="s">
        <v>97</v>
      </c>
      <c r="P12" s="20" t="s">
        <v>165</v>
      </c>
      <c r="Q12" s="20">
        <v>4.421561235E9</v>
      </c>
      <c r="R12" s="18" t="s">
        <v>98</v>
      </c>
      <c r="S12" s="35" t="s">
        <v>166</v>
      </c>
      <c r="T12" s="22" t="s">
        <v>81</v>
      </c>
      <c r="U12" s="21" t="s">
        <v>100</v>
      </c>
      <c r="V12" s="23">
        <v>1.0</v>
      </c>
      <c r="W12" s="20" t="s">
        <v>83</v>
      </c>
      <c r="X12" s="20" t="s">
        <v>84</v>
      </c>
      <c r="Y12" s="24">
        <v>2.0</v>
      </c>
      <c r="Z12" s="25">
        <v>45901.0</v>
      </c>
      <c r="AA12" s="20">
        <f>DAY(Tabla1[F. INICIO])</f>
        <v>1</v>
      </c>
      <c r="AB12" s="26" t="str">
        <f>TEXT(' En tramite 23-26'!$Z12,"mmmm")</f>
        <v>septiembre</v>
      </c>
      <c r="AC12" s="20">
        <f>YEAR(' En tramite 23-26'!$Z12)</f>
        <v>2025</v>
      </c>
      <c r="AD12" s="20" t="s">
        <v>84</v>
      </c>
      <c r="AE12" s="24">
        <v>2.0</v>
      </c>
      <c r="AF12" s="24">
        <v>45901.0</v>
      </c>
      <c r="AG12" s="20" t="s">
        <v>84</v>
      </c>
      <c r="AH12" s="24">
        <v>2.0</v>
      </c>
      <c r="AI12" s="24">
        <v>45901.0</v>
      </c>
      <c r="AJ12" s="20">
        <f>DAY(' En tramite 23-26'!$AI12)</f>
        <v>1</v>
      </c>
      <c r="AK12" s="20" t="str">
        <f>TEXT(' En tramite 23-26'!$AI12,"mmmm")</f>
        <v>septiembre</v>
      </c>
      <c r="AL12" s="20">
        <f>YEAR(' En tramite 23-26'!$Z12)</f>
        <v>2025</v>
      </c>
      <c r="AM12" s="20" t="s">
        <v>84</v>
      </c>
      <c r="AN12" s="24">
        <v>2.0</v>
      </c>
      <c r="AO12" s="24">
        <v>45901.0</v>
      </c>
      <c r="AP12" s="20" t="s">
        <v>84</v>
      </c>
      <c r="AQ12" s="24">
        <v>2.0</v>
      </c>
      <c r="AR12" s="24">
        <v>45947.0</v>
      </c>
      <c r="AS12" s="24">
        <f>' En tramite 23-26'!$AI12+45</f>
        <v>45946</v>
      </c>
      <c r="AT12" s="20" t="s">
        <v>85</v>
      </c>
      <c r="AU12" s="20" t="s">
        <v>84</v>
      </c>
      <c r="AV12" s="20">
        <v>2.0</v>
      </c>
      <c r="AW12" s="24">
        <v>45996.0</v>
      </c>
      <c r="AX12" s="20" t="s">
        <v>86</v>
      </c>
      <c r="AY12" s="20" t="s">
        <v>84</v>
      </c>
      <c r="AZ12" s="20">
        <v>2.0</v>
      </c>
      <c r="BA12" s="24">
        <v>45996.0</v>
      </c>
      <c r="BB12" s="20" t="s">
        <v>84</v>
      </c>
      <c r="BC12" s="28">
        <v>2.0</v>
      </c>
      <c r="BD12" s="24">
        <v>45996.0</v>
      </c>
      <c r="BE12" s="20">
        <f>DAY(' En tramite 23-26'!$BD12)</f>
        <v>5</v>
      </c>
      <c r="BF12" s="24" t="str">
        <f>TEXT(' En tramite 23-26'!$BD12,"mmmm")</f>
        <v>diciembre</v>
      </c>
      <c r="BG12" s="20">
        <f>YEAR(' En tramite 23-26'!$BD12)</f>
        <v>2025</v>
      </c>
      <c r="BH12" s="29">
        <v>1.0</v>
      </c>
      <c r="BI12" s="26" t="s">
        <v>148</v>
      </c>
      <c r="BJ12" s="30" t="s">
        <v>88</v>
      </c>
      <c r="BK12" s="31" t="s">
        <v>89</v>
      </c>
      <c r="BL12" s="32">
        <v>46212.0</v>
      </c>
      <c r="BM12" s="33">
        <v>2.0</v>
      </c>
    </row>
    <row r="13" ht="16.5" customHeight="1">
      <c r="A13" s="11" t="s">
        <v>173</v>
      </c>
      <c r="B13" s="34" t="s">
        <v>173</v>
      </c>
      <c r="C13" s="13" t="s">
        <v>174</v>
      </c>
      <c r="D13" s="18" t="s">
        <v>175</v>
      </c>
      <c r="E13" s="15" t="s">
        <v>176</v>
      </c>
      <c r="F13" s="16">
        <v>2.3422070060501E13</v>
      </c>
      <c r="G13" s="16">
        <v>4.428119434E9</v>
      </c>
      <c r="H13" s="17" t="s">
        <v>177</v>
      </c>
      <c r="I13" s="18" t="s">
        <v>140</v>
      </c>
      <c r="J13" s="18" t="s">
        <v>109</v>
      </c>
      <c r="K13" s="18" t="s">
        <v>141</v>
      </c>
      <c r="L13" s="19" t="s">
        <v>75</v>
      </c>
      <c r="M13" s="14" t="s">
        <v>111</v>
      </c>
      <c r="N13" s="18" t="s">
        <v>112</v>
      </c>
      <c r="O13" s="18" t="s">
        <v>97</v>
      </c>
      <c r="P13" s="20" t="s">
        <v>165</v>
      </c>
      <c r="Q13" s="20">
        <v>4.421561235E9</v>
      </c>
      <c r="R13" s="18" t="s">
        <v>98</v>
      </c>
      <c r="S13" s="35" t="s">
        <v>166</v>
      </c>
      <c r="T13" s="22" t="s">
        <v>81</v>
      </c>
      <c r="U13" s="21" t="s">
        <v>100</v>
      </c>
      <c r="V13" s="23">
        <v>1.0</v>
      </c>
      <c r="W13" s="20" t="s">
        <v>83</v>
      </c>
      <c r="X13" s="20" t="s">
        <v>84</v>
      </c>
      <c r="Y13" s="24">
        <v>2.0</v>
      </c>
      <c r="Z13" s="25">
        <v>45901.0</v>
      </c>
      <c r="AA13" s="20">
        <f>DAY(Tabla1[F. INICIO])</f>
        <v>1</v>
      </c>
      <c r="AB13" s="26" t="str">
        <f>TEXT(' En tramite 23-26'!$Z13,"mmmm")</f>
        <v>septiembre</v>
      </c>
      <c r="AC13" s="20">
        <f>YEAR(' En tramite 23-26'!$Z13)</f>
        <v>2025</v>
      </c>
      <c r="AD13" s="20" t="s">
        <v>84</v>
      </c>
      <c r="AE13" s="24">
        <v>2.0</v>
      </c>
      <c r="AF13" s="24">
        <v>45901.0</v>
      </c>
      <c r="AG13" s="20" t="s">
        <v>84</v>
      </c>
      <c r="AH13" s="24">
        <v>2.0</v>
      </c>
      <c r="AI13" s="24">
        <v>45901.0</v>
      </c>
      <c r="AJ13" s="20">
        <f>DAY(' En tramite 23-26'!$AI13)</f>
        <v>1</v>
      </c>
      <c r="AK13" s="20" t="str">
        <f>TEXT(' En tramite 23-26'!$AI13,"mmmm")</f>
        <v>septiembre</v>
      </c>
      <c r="AL13" s="20">
        <f>YEAR(' En tramite 23-26'!$Z13)</f>
        <v>2025</v>
      </c>
      <c r="AM13" s="20" t="s">
        <v>84</v>
      </c>
      <c r="AN13" s="24">
        <v>2.0</v>
      </c>
      <c r="AO13" s="24">
        <v>45901.0</v>
      </c>
      <c r="AP13" s="20" t="s">
        <v>84</v>
      </c>
      <c r="AQ13" s="24">
        <v>2.0</v>
      </c>
      <c r="AR13" s="24">
        <v>45947.0</v>
      </c>
      <c r="AS13" s="24">
        <f>' En tramite 23-26'!$AI13+45</f>
        <v>45946</v>
      </c>
      <c r="AT13" s="20" t="s">
        <v>85</v>
      </c>
      <c r="AU13" s="20" t="s">
        <v>84</v>
      </c>
      <c r="AV13" s="20">
        <v>2.0</v>
      </c>
      <c r="AW13" s="24">
        <v>45996.0</v>
      </c>
      <c r="AX13" s="20" t="s">
        <v>86</v>
      </c>
      <c r="AY13" s="20" t="s">
        <v>84</v>
      </c>
      <c r="AZ13" s="20">
        <v>2.0</v>
      </c>
      <c r="BA13" s="24">
        <v>45996.0</v>
      </c>
      <c r="BB13" s="20" t="s">
        <v>84</v>
      </c>
      <c r="BC13" s="28">
        <v>2.0</v>
      </c>
      <c r="BD13" s="24">
        <v>45996.0</v>
      </c>
      <c r="BE13" s="20">
        <f>DAY(' En tramite 23-26'!$BD13)</f>
        <v>5</v>
      </c>
      <c r="BF13" s="24" t="str">
        <f>TEXT(' En tramite 23-26'!$BD13,"mmmm")</f>
        <v>diciembre</v>
      </c>
      <c r="BG13" s="20">
        <f>YEAR(' En tramite 23-26'!$BD13)</f>
        <v>2025</v>
      </c>
      <c r="BH13" s="29">
        <v>1.0</v>
      </c>
      <c r="BI13" s="26" t="s">
        <v>148</v>
      </c>
      <c r="BJ13" s="30" t="s">
        <v>88</v>
      </c>
      <c r="BK13" s="31" t="s">
        <v>89</v>
      </c>
      <c r="BL13" s="32">
        <v>46302.0</v>
      </c>
      <c r="BM13" s="33">
        <v>2.0</v>
      </c>
    </row>
    <row r="14" ht="16.5" customHeight="1">
      <c r="A14" s="11" t="s">
        <v>178</v>
      </c>
      <c r="B14" s="34" t="s">
        <v>178</v>
      </c>
      <c r="C14" s="39" t="s">
        <v>179</v>
      </c>
      <c r="D14" s="18" t="s">
        <v>180</v>
      </c>
      <c r="E14" s="15" t="s">
        <v>181</v>
      </c>
      <c r="F14" s="16">
        <v>2.3422070060475E13</v>
      </c>
      <c r="G14" s="16">
        <v>4.42564182E9</v>
      </c>
      <c r="H14" s="17" t="s">
        <v>182</v>
      </c>
      <c r="I14" s="18" t="s">
        <v>140</v>
      </c>
      <c r="J14" s="18" t="s">
        <v>109</v>
      </c>
      <c r="K14" s="18" t="s">
        <v>141</v>
      </c>
      <c r="L14" s="19" t="s">
        <v>75</v>
      </c>
      <c r="M14" s="14" t="s">
        <v>14</v>
      </c>
      <c r="N14" s="14" t="s">
        <v>183</v>
      </c>
      <c r="O14" s="18" t="s">
        <v>77</v>
      </c>
      <c r="P14" s="20" t="s">
        <v>78</v>
      </c>
      <c r="Q14" s="20">
        <v>4.421866359E9</v>
      </c>
      <c r="R14" s="18" t="s">
        <v>184</v>
      </c>
      <c r="S14" s="35" t="s">
        <v>185</v>
      </c>
      <c r="T14" s="22" t="s">
        <v>81</v>
      </c>
      <c r="U14" s="21" t="s">
        <v>100</v>
      </c>
      <c r="V14" s="23">
        <v>1.0</v>
      </c>
      <c r="W14" s="20" t="s">
        <v>83</v>
      </c>
      <c r="X14" s="20" t="s">
        <v>84</v>
      </c>
      <c r="Y14" s="24">
        <v>2.0</v>
      </c>
      <c r="Z14" s="25">
        <v>45917.0</v>
      </c>
      <c r="AA14" s="20">
        <f>DAY(Tabla1[F. INICIO])</f>
        <v>17</v>
      </c>
      <c r="AB14" s="26" t="str">
        <f>TEXT(' En tramite 23-26'!$Z14,"mmmm")</f>
        <v>septiembre</v>
      </c>
      <c r="AC14" s="20">
        <f>YEAR(' En tramite 23-26'!$Z14)</f>
        <v>2025</v>
      </c>
      <c r="AD14" s="20" t="s">
        <v>84</v>
      </c>
      <c r="AE14" s="24">
        <v>2.0</v>
      </c>
      <c r="AF14" s="24">
        <v>45917.0</v>
      </c>
      <c r="AG14" s="20" t="s">
        <v>84</v>
      </c>
      <c r="AH14" s="24">
        <v>2.0</v>
      </c>
      <c r="AI14" s="24">
        <v>45922.0</v>
      </c>
      <c r="AJ14" s="20">
        <f>DAY(' En tramite 23-26'!$AI14)</f>
        <v>22</v>
      </c>
      <c r="AK14" s="20" t="str">
        <f>TEXT(' En tramite 23-26'!$AI14,"mmmm")</f>
        <v>septiembre</v>
      </c>
      <c r="AL14" s="20">
        <f>YEAR(' En tramite 23-26'!$Z14)</f>
        <v>2025</v>
      </c>
      <c r="AM14" s="20" t="s">
        <v>84</v>
      </c>
      <c r="AN14" s="24">
        <v>1.0</v>
      </c>
      <c r="AO14" s="24">
        <v>45922.0</v>
      </c>
      <c r="AP14" s="20" t="s">
        <v>84</v>
      </c>
      <c r="AQ14" s="24">
        <v>2.0</v>
      </c>
      <c r="AR14" s="24">
        <v>45977.0</v>
      </c>
      <c r="AS14" s="24">
        <f>' En tramite 23-26'!$AI14+45</f>
        <v>45967</v>
      </c>
      <c r="AT14" s="20" t="s">
        <v>85</v>
      </c>
      <c r="AU14" s="20" t="s">
        <v>84</v>
      </c>
      <c r="AV14" s="20">
        <v>2.0</v>
      </c>
      <c r="AW14" s="24">
        <v>46073.0</v>
      </c>
      <c r="AX14" s="20" t="s">
        <v>86</v>
      </c>
      <c r="AY14" s="20" t="s">
        <v>84</v>
      </c>
      <c r="AZ14" s="20">
        <v>2.0</v>
      </c>
      <c r="BA14" s="24">
        <v>46073.0</v>
      </c>
      <c r="BB14" s="20" t="s">
        <v>84</v>
      </c>
      <c r="BC14" s="28">
        <v>2.0</v>
      </c>
      <c r="BD14" s="24">
        <v>46073.0</v>
      </c>
      <c r="BE14" s="20">
        <f>DAY(' En tramite 23-26'!$BD14)</f>
        <v>20</v>
      </c>
      <c r="BF14" s="24" t="str">
        <f>TEXT(' En tramite 23-26'!$BD14,"mmmm")</f>
        <v>febrero</v>
      </c>
      <c r="BG14" s="20">
        <f>YEAR(' En tramite 23-26'!$BD14)</f>
        <v>2026</v>
      </c>
      <c r="BH14" s="29">
        <v>1.0</v>
      </c>
      <c r="BI14" s="26" t="s">
        <v>186</v>
      </c>
      <c r="BJ14" s="30" t="s">
        <v>88</v>
      </c>
      <c r="BK14" s="31" t="s">
        <v>89</v>
      </c>
      <c r="BL14" s="32">
        <v>46211.0</v>
      </c>
      <c r="BM14" s="33">
        <v>2.0</v>
      </c>
    </row>
    <row r="15" ht="16.5" customHeight="1">
      <c r="A15" s="11" t="s">
        <v>187</v>
      </c>
      <c r="B15" s="34" t="s">
        <v>187</v>
      </c>
      <c r="C15" s="13" t="s">
        <v>188</v>
      </c>
      <c r="D15" s="18" t="s">
        <v>189</v>
      </c>
      <c r="E15" s="15" t="s">
        <v>190</v>
      </c>
      <c r="F15" s="16">
        <v>2.3422070060407E13</v>
      </c>
      <c r="G15" s="16">
        <v>4.421804362E9</v>
      </c>
      <c r="H15" s="17" t="s">
        <v>191</v>
      </c>
      <c r="I15" s="18" t="s">
        <v>154</v>
      </c>
      <c r="J15" s="18" t="s">
        <v>109</v>
      </c>
      <c r="K15" s="18" t="s">
        <v>155</v>
      </c>
      <c r="L15" s="19" t="s">
        <v>75</v>
      </c>
      <c r="M15" s="14" t="s">
        <v>14</v>
      </c>
      <c r="N15" s="18" t="s">
        <v>192</v>
      </c>
      <c r="O15" s="18"/>
      <c r="P15" s="20" t="s">
        <v>78</v>
      </c>
      <c r="Q15" s="20">
        <v>4.424102095E9</v>
      </c>
      <c r="R15" s="18" t="s">
        <v>193</v>
      </c>
      <c r="S15" s="35" t="s">
        <v>194</v>
      </c>
      <c r="T15" s="22" t="s">
        <v>81</v>
      </c>
      <c r="U15" s="21" t="s">
        <v>100</v>
      </c>
      <c r="V15" s="23">
        <v>2.0</v>
      </c>
      <c r="W15" s="40">
        <v>3200.0</v>
      </c>
      <c r="X15" s="20" t="s">
        <v>84</v>
      </c>
      <c r="Y15" s="24">
        <v>2.0</v>
      </c>
      <c r="Z15" s="25">
        <v>45917.0</v>
      </c>
      <c r="AA15" s="20">
        <f>DAY(Tabla1[F. INICIO])</f>
        <v>17</v>
      </c>
      <c r="AB15" s="26" t="str">
        <f>TEXT(' En tramite 23-26'!$Z15,"mmmm")</f>
        <v>septiembre</v>
      </c>
      <c r="AC15" s="20">
        <f>YEAR(' En tramite 23-26'!$Z15)</f>
        <v>2025</v>
      </c>
      <c r="AD15" s="20" t="s">
        <v>84</v>
      </c>
      <c r="AE15" s="24">
        <v>2.0</v>
      </c>
      <c r="AF15" s="24">
        <v>45917.0</v>
      </c>
      <c r="AG15" s="20" t="s">
        <v>84</v>
      </c>
      <c r="AH15" s="24">
        <v>2.0</v>
      </c>
      <c r="AI15" s="24">
        <v>45917.0</v>
      </c>
      <c r="AJ15" s="20">
        <f>DAY(' En tramite 23-26'!$AI15)</f>
        <v>17</v>
      </c>
      <c r="AK15" s="20" t="str">
        <f>TEXT(' En tramite 23-26'!$AI15,"mmmm")</f>
        <v>septiembre</v>
      </c>
      <c r="AL15" s="20">
        <f>YEAR(' En tramite 23-26'!$Z15)</f>
        <v>2025</v>
      </c>
      <c r="AM15" s="20" t="s">
        <v>84</v>
      </c>
      <c r="AN15" s="24">
        <v>1.0</v>
      </c>
      <c r="AO15" s="24">
        <v>45917.0</v>
      </c>
      <c r="AP15" s="20" t="s">
        <v>84</v>
      </c>
      <c r="AQ15" s="24">
        <v>1.0</v>
      </c>
      <c r="AR15" s="24">
        <v>45958.0</v>
      </c>
      <c r="AS15" s="24">
        <f>' En tramite 23-26'!$AI15+45</f>
        <v>45962</v>
      </c>
      <c r="AT15" s="20" t="s">
        <v>85</v>
      </c>
      <c r="AU15" s="20" t="s">
        <v>84</v>
      </c>
      <c r="AV15" s="20">
        <v>2.0</v>
      </c>
      <c r="AW15" s="24">
        <v>46008.0</v>
      </c>
      <c r="AX15" s="20" t="s">
        <v>86</v>
      </c>
      <c r="AY15" s="20" t="s">
        <v>84</v>
      </c>
      <c r="AZ15" s="20">
        <v>2.0</v>
      </c>
      <c r="BA15" s="24">
        <v>45996.0</v>
      </c>
      <c r="BB15" s="20" t="s">
        <v>84</v>
      </c>
      <c r="BC15" s="28">
        <v>2.0</v>
      </c>
      <c r="BD15" s="24">
        <v>46008.0</v>
      </c>
      <c r="BE15" s="20">
        <f>DAY(' En tramite 23-26'!$BD15)</f>
        <v>17</v>
      </c>
      <c r="BF15" s="24" t="str">
        <f>TEXT(' En tramite 23-26'!$BD15,"mmmm")</f>
        <v>diciembre</v>
      </c>
      <c r="BG15" s="20">
        <f>YEAR(' En tramite 23-26'!$BD15)</f>
        <v>2025</v>
      </c>
      <c r="BH15" s="29">
        <v>1.0</v>
      </c>
      <c r="BI15" s="26" t="s">
        <v>195</v>
      </c>
      <c r="BJ15" s="30" t="s">
        <v>88</v>
      </c>
      <c r="BK15" s="31" t="s">
        <v>89</v>
      </c>
      <c r="BL15" s="32">
        <v>46211.0</v>
      </c>
      <c r="BM15" s="33">
        <v>2.0</v>
      </c>
    </row>
    <row r="16" ht="16.5" customHeight="1">
      <c r="A16" s="11" t="s">
        <v>196</v>
      </c>
      <c r="B16" s="34"/>
      <c r="C16" s="13"/>
      <c r="D16" s="41" t="s">
        <v>197</v>
      </c>
      <c r="E16" s="15" t="s">
        <v>198</v>
      </c>
      <c r="F16" s="42">
        <v>2.3422070060262E13</v>
      </c>
      <c r="G16" s="42">
        <v>4.428779061E9</v>
      </c>
      <c r="H16" s="43" t="s">
        <v>199</v>
      </c>
      <c r="I16" s="41" t="s">
        <v>72</v>
      </c>
      <c r="J16" s="41" t="s">
        <v>109</v>
      </c>
      <c r="K16" s="41" t="s">
        <v>74</v>
      </c>
      <c r="L16" s="44" t="s">
        <v>200</v>
      </c>
      <c r="M16" s="13" t="s">
        <v>142</v>
      </c>
      <c r="N16" s="13" t="s">
        <v>201</v>
      </c>
      <c r="O16" s="41" t="s">
        <v>97</v>
      </c>
      <c r="P16" s="44" t="s">
        <v>78</v>
      </c>
      <c r="Q16" s="44">
        <v>4.4220961E9</v>
      </c>
      <c r="R16" s="41" t="s">
        <v>202</v>
      </c>
      <c r="S16" s="45" t="s">
        <v>203</v>
      </c>
      <c r="T16" s="46" t="s">
        <v>81</v>
      </c>
      <c r="U16" s="47" t="s">
        <v>100</v>
      </c>
      <c r="V16" s="48">
        <v>0.0</v>
      </c>
      <c r="W16" s="44"/>
      <c r="X16" s="44" t="s">
        <v>84</v>
      </c>
      <c r="Y16" s="49">
        <v>2.0</v>
      </c>
      <c r="Z16" s="50">
        <v>45911.0</v>
      </c>
      <c r="AA16" s="44">
        <f>DAY(Tabla1[F. INICIO])</f>
        <v>11</v>
      </c>
      <c r="AB16" s="51" t="str">
        <f>TEXT(' En tramite 23-26'!$Z16,"mmmm")</f>
        <v>septiembre</v>
      </c>
      <c r="AC16" s="44">
        <f>YEAR(' En tramite 23-26'!$Z16)</f>
        <v>2025</v>
      </c>
      <c r="AD16" s="44" t="s">
        <v>84</v>
      </c>
      <c r="AE16" s="49">
        <v>2.0</v>
      </c>
      <c r="AF16" s="49">
        <v>45912.0</v>
      </c>
      <c r="AG16" s="44"/>
      <c r="AH16" s="49"/>
      <c r="AI16" s="49"/>
      <c r="AJ16" s="44"/>
      <c r="AK16" s="44"/>
      <c r="AL16" s="44"/>
      <c r="AM16" s="44"/>
      <c r="AN16" s="49"/>
      <c r="AO16" s="49"/>
      <c r="AP16" s="44"/>
      <c r="AQ16" s="49"/>
      <c r="AR16" s="49"/>
      <c r="AS16" s="52">
        <f>' En tramite 23-26'!$AI16+45</f>
        <v>45</v>
      </c>
      <c r="AT16" s="44"/>
      <c r="AU16" s="44"/>
      <c r="AV16" s="44"/>
      <c r="AW16" s="49">
        <f>' En tramite 23-26'!$AS16+45</f>
        <v>90</v>
      </c>
      <c r="AX16" s="44"/>
      <c r="AY16" s="44"/>
      <c r="AZ16" s="44"/>
      <c r="BA16" s="49"/>
      <c r="BB16" s="44"/>
      <c r="BC16" s="12"/>
      <c r="BD16" s="49"/>
      <c r="BE16" s="44"/>
      <c r="BF16" s="49"/>
      <c r="BG16" s="44"/>
      <c r="BH16" s="53"/>
      <c r="BI16" s="51"/>
      <c r="BJ16" s="34"/>
      <c r="BK16" s="54"/>
      <c r="BL16" s="55"/>
      <c r="BM16" s="56"/>
    </row>
    <row r="17" ht="16.5" customHeight="1">
      <c r="A17" s="11" t="s">
        <v>204</v>
      </c>
      <c r="B17" s="34" t="s">
        <v>196</v>
      </c>
      <c r="C17" s="13" t="s">
        <v>205</v>
      </c>
      <c r="D17" s="18" t="s">
        <v>206</v>
      </c>
      <c r="E17" s="15" t="s">
        <v>207</v>
      </c>
      <c r="F17" s="16">
        <v>2.3422070060546E13</v>
      </c>
      <c r="G17" s="16">
        <v>4.421225886E9</v>
      </c>
      <c r="H17" s="17" t="s">
        <v>208</v>
      </c>
      <c r="I17" s="18" t="s">
        <v>209</v>
      </c>
      <c r="J17" s="18" t="s">
        <v>73</v>
      </c>
      <c r="K17" s="18" t="s">
        <v>141</v>
      </c>
      <c r="L17" s="19" t="s">
        <v>75</v>
      </c>
      <c r="M17" s="14" t="s">
        <v>14</v>
      </c>
      <c r="N17" s="14" t="s">
        <v>210</v>
      </c>
      <c r="O17" s="18" t="s">
        <v>211</v>
      </c>
      <c r="P17" s="20" t="s">
        <v>78</v>
      </c>
      <c r="Q17" s="20">
        <v>4.428530301E9</v>
      </c>
      <c r="R17" s="18" t="s">
        <v>212</v>
      </c>
      <c r="S17" s="35" t="s">
        <v>213</v>
      </c>
      <c r="T17" s="22" t="s">
        <v>81</v>
      </c>
      <c r="U17" s="21" t="s">
        <v>100</v>
      </c>
      <c r="V17" s="23">
        <v>1.0</v>
      </c>
      <c r="W17" s="20" t="s">
        <v>83</v>
      </c>
      <c r="X17" s="20" t="s">
        <v>84</v>
      </c>
      <c r="Y17" s="24">
        <v>2.0</v>
      </c>
      <c r="Z17" s="25">
        <v>45910.0</v>
      </c>
      <c r="AA17" s="20">
        <f>DAY(Tabla1[F. INICIO])</f>
        <v>10</v>
      </c>
      <c r="AB17" s="26" t="str">
        <f>TEXT(' En tramite 23-26'!$Z17,"mmmm")</f>
        <v>septiembre</v>
      </c>
      <c r="AC17" s="20">
        <f>YEAR(' En tramite 23-26'!$Z17)</f>
        <v>2025</v>
      </c>
      <c r="AD17" s="20" t="s">
        <v>84</v>
      </c>
      <c r="AE17" s="24">
        <v>2.0</v>
      </c>
      <c r="AF17" s="24">
        <v>45910.0</v>
      </c>
      <c r="AG17" s="20" t="s">
        <v>84</v>
      </c>
      <c r="AH17" s="24">
        <v>2.0</v>
      </c>
      <c r="AI17" s="24">
        <v>45910.0</v>
      </c>
      <c r="AJ17" s="20">
        <f>DAY(' En tramite 23-26'!$AI17)</f>
        <v>10</v>
      </c>
      <c r="AK17" s="20" t="str">
        <f>TEXT(' En tramite 23-26'!$AI17,"mmmm")</f>
        <v>septiembre</v>
      </c>
      <c r="AL17" s="20">
        <f>YEAR(' En tramite 23-26'!$Z17)</f>
        <v>2025</v>
      </c>
      <c r="AM17" s="20" t="s">
        <v>84</v>
      </c>
      <c r="AN17" s="24">
        <v>2.0</v>
      </c>
      <c r="AO17" s="24">
        <v>45910.0</v>
      </c>
      <c r="AP17" s="20" t="s">
        <v>84</v>
      </c>
      <c r="AQ17" s="24">
        <v>2.0</v>
      </c>
      <c r="AR17" s="24">
        <v>46322.0</v>
      </c>
      <c r="AS17" s="24">
        <f>' En tramite 23-26'!$AI17+45</f>
        <v>45955</v>
      </c>
      <c r="AT17" s="20" t="s">
        <v>85</v>
      </c>
      <c r="AU17" s="20" t="s">
        <v>84</v>
      </c>
      <c r="AV17" s="20">
        <v>2.0</v>
      </c>
      <c r="AW17" s="24">
        <v>46029.0</v>
      </c>
      <c r="AX17" s="20" t="s">
        <v>86</v>
      </c>
      <c r="AY17" s="20" t="s">
        <v>84</v>
      </c>
      <c r="AZ17" s="20">
        <v>2.0</v>
      </c>
      <c r="BA17" s="24">
        <v>46029.0</v>
      </c>
      <c r="BB17" s="20" t="s">
        <v>84</v>
      </c>
      <c r="BC17" s="28">
        <v>2.0</v>
      </c>
      <c r="BD17" s="24">
        <v>46029.0</v>
      </c>
      <c r="BE17" s="20">
        <f>DAY(' En tramite 23-26'!$BD17)</f>
        <v>7</v>
      </c>
      <c r="BF17" s="24" t="str">
        <f>TEXT(' En tramite 23-26'!$BD17,"mmmm")</f>
        <v>enero</v>
      </c>
      <c r="BG17" s="20">
        <f>YEAR(' En tramite 23-26'!$BD17)</f>
        <v>2026</v>
      </c>
      <c r="BH17" s="29">
        <v>1.0</v>
      </c>
      <c r="BI17" s="26" t="s">
        <v>214</v>
      </c>
      <c r="BJ17" s="30" t="s">
        <v>88</v>
      </c>
      <c r="BK17" s="31" t="s">
        <v>89</v>
      </c>
      <c r="BL17" s="36"/>
      <c r="BM17" s="33"/>
    </row>
    <row r="18" ht="16.5" customHeight="1">
      <c r="A18" s="11">
        <v>15.0</v>
      </c>
      <c r="B18" s="34"/>
      <c r="C18" s="13"/>
      <c r="D18" s="41" t="s">
        <v>215</v>
      </c>
      <c r="E18" s="15" t="s">
        <v>216</v>
      </c>
      <c r="F18" s="42" t="s">
        <v>217</v>
      </c>
      <c r="G18" s="42">
        <v>4.423769604E9</v>
      </c>
      <c r="H18" s="43" t="s">
        <v>218</v>
      </c>
      <c r="I18" s="41" t="s">
        <v>140</v>
      </c>
      <c r="J18" s="41" t="s">
        <v>109</v>
      </c>
      <c r="K18" s="41" t="s">
        <v>141</v>
      </c>
      <c r="L18" s="44" t="s">
        <v>200</v>
      </c>
      <c r="M18" s="13" t="s">
        <v>111</v>
      </c>
      <c r="N18" s="41" t="s">
        <v>219</v>
      </c>
      <c r="O18" s="41" t="s">
        <v>97</v>
      </c>
      <c r="P18" s="44" t="s">
        <v>165</v>
      </c>
      <c r="Q18" s="44">
        <v>4.421561235E9</v>
      </c>
      <c r="R18" s="41" t="s">
        <v>98</v>
      </c>
      <c r="S18" s="45" t="s">
        <v>166</v>
      </c>
      <c r="T18" s="46" t="s">
        <v>81</v>
      </c>
      <c r="U18" s="47" t="s">
        <v>100</v>
      </c>
      <c r="V18" s="48">
        <v>0.0</v>
      </c>
      <c r="W18" s="44"/>
      <c r="X18" s="44" t="s">
        <v>220</v>
      </c>
      <c r="Y18" s="49">
        <v>0.0</v>
      </c>
      <c r="Z18" s="50"/>
      <c r="AA18" s="44"/>
      <c r="AB18" s="51"/>
      <c r="AC18" s="44"/>
      <c r="AD18" s="44"/>
      <c r="AE18" s="49"/>
      <c r="AF18" s="49"/>
      <c r="AG18" s="44"/>
      <c r="AH18" s="49"/>
      <c r="AI18" s="49"/>
      <c r="AJ18" s="44"/>
      <c r="AK18" s="44"/>
      <c r="AL18" s="44"/>
      <c r="AM18" s="44"/>
      <c r="AN18" s="49"/>
      <c r="AO18" s="49"/>
      <c r="AP18" s="44"/>
      <c r="AQ18" s="49"/>
      <c r="AR18" s="49"/>
      <c r="AS18" s="57">
        <f>' En tramite 23-26'!$AI18+45</f>
        <v>45</v>
      </c>
      <c r="AT18" s="44"/>
      <c r="AU18" s="44"/>
      <c r="AV18" s="44"/>
      <c r="AW18" s="49">
        <f>' En tramite 23-26'!$AS18+45</f>
        <v>90</v>
      </c>
      <c r="AX18" s="44"/>
      <c r="AY18" s="44"/>
      <c r="AZ18" s="44"/>
      <c r="BA18" s="49"/>
      <c r="BB18" s="44"/>
      <c r="BC18" s="12"/>
      <c r="BD18" s="49"/>
      <c r="BE18" s="44"/>
      <c r="BF18" s="49"/>
      <c r="BG18" s="44"/>
      <c r="BH18" s="53"/>
      <c r="BI18" s="51"/>
      <c r="BJ18" s="34"/>
      <c r="BK18" s="54"/>
      <c r="BL18" s="13"/>
      <c r="BM18" s="58"/>
    </row>
    <row r="19" ht="16.5" customHeight="1">
      <c r="A19" s="11" t="s">
        <v>221</v>
      </c>
      <c r="B19" s="34" t="s">
        <v>204</v>
      </c>
      <c r="C19" s="13" t="s">
        <v>222</v>
      </c>
      <c r="D19" s="18" t="s">
        <v>223</v>
      </c>
      <c r="E19" s="15" t="s">
        <v>224</v>
      </c>
      <c r="F19" s="16">
        <v>2.3422070060131E13</v>
      </c>
      <c r="G19" s="16">
        <v>4.427166846E9</v>
      </c>
      <c r="H19" s="17" t="s">
        <v>225</v>
      </c>
      <c r="I19" s="18" t="s">
        <v>128</v>
      </c>
      <c r="J19" s="18" t="s">
        <v>109</v>
      </c>
      <c r="K19" s="18" t="s">
        <v>129</v>
      </c>
      <c r="L19" s="19" t="s">
        <v>75</v>
      </c>
      <c r="M19" s="14" t="s">
        <v>14</v>
      </c>
      <c r="N19" s="18" t="s">
        <v>226</v>
      </c>
      <c r="O19" s="18" t="s">
        <v>131</v>
      </c>
      <c r="P19" s="20" t="s">
        <v>78</v>
      </c>
      <c r="Q19" s="20">
        <v>4.42393539E9</v>
      </c>
      <c r="R19" s="18" t="s">
        <v>227</v>
      </c>
      <c r="S19" s="35" t="s">
        <v>228</v>
      </c>
      <c r="T19" s="22" t="s">
        <v>81</v>
      </c>
      <c r="U19" s="21" t="s">
        <v>82</v>
      </c>
      <c r="V19" s="23">
        <v>1.0</v>
      </c>
      <c r="W19" s="20" t="s">
        <v>83</v>
      </c>
      <c r="X19" s="20" t="s">
        <v>84</v>
      </c>
      <c r="Y19" s="24">
        <v>2.0</v>
      </c>
      <c r="Z19" s="25">
        <v>45919.0</v>
      </c>
      <c r="AA19" s="20">
        <f>DAY(Tabla1[F. INICIO])</f>
        <v>19</v>
      </c>
      <c r="AB19" s="26" t="str">
        <f>TEXT(' En tramite 23-26'!$Z19,"mmmm")</f>
        <v>septiembre</v>
      </c>
      <c r="AC19" s="20">
        <f>YEAR(' En tramite 23-26'!$Z19)</f>
        <v>2025</v>
      </c>
      <c r="AD19" s="20" t="s">
        <v>84</v>
      </c>
      <c r="AE19" s="24">
        <v>2.0</v>
      </c>
      <c r="AF19" s="24">
        <v>45923.0</v>
      </c>
      <c r="AG19" s="20" t="s">
        <v>84</v>
      </c>
      <c r="AH19" s="24">
        <v>2.0</v>
      </c>
      <c r="AI19" s="24">
        <v>45923.0</v>
      </c>
      <c r="AJ19" s="20">
        <f>DAY(' En tramite 23-26'!$AI19)</f>
        <v>23</v>
      </c>
      <c r="AK19" s="20" t="str">
        <f>TEXT(' En tramite 23-26'!$AI19,"mmmm")</f>
        <v>septiembre</v>
      </c>
      <c r="AL19" s="20">
        <f>YEAR(' En tramite 23-26'!$Z19)</f>
        <v>2025</v>
      </c>
      <c r="AM19" s="20" t="s">
        <v>84</v>
      </c>
      <c r="AN19" s="24">
        <v>1.0</v>
      </c>
      <c r="AO19" s="24">
        <v>45923.0</v>
      </c>
      <c r="AP19" s="20" t="s">
        <v>84</v>
      </c>
      <c r="AQ19" s="24">
        <v>2.0</v>
      </c>
      <c r="AR19" s="24">
        <v>46006.0</v>
      </c>
      <c r="AS19" s="24">
        <f>' En tramite 23-26'!$AI19+45</f>
        <v>45968</v>
      </c>
      <c r="AT19" s="20" t="s">
        <v>85</v>
      </c>
      <c r="AU19" s="24" t="s">
        <v>84</v>
      </c>
      <c r="AV19" s="20">
        <v>2.0</v>
      </c>
      <c r="AW19" s="24">
        <v>46038.0</v>
      </c>
      <c r="AX19" s="20" t="s">
        <v>86</v>
      </c>
      <c r="AY19" s="20" t="s">
        <v>84</v>
      </c>
      <c r="AZ19" s="20">
        <v>2.0</v>
      </c>
      <c r="BA19" s="24">
        <v>46038.0</v>
      </c>
      <c r="BB19" s="20" t="s">
        <v>84</v>
      </c>
      <c r="BC19" s="28">
        <v>2.0</v>
      </c>
      <c r="BD19" s="24">
        <v>46038.0</v>
      </c>
      <c r="BE19" s="20">
        <f>DAY(' En tramite 23-26'!$BD19)</f>
        <v>16</v>
      </c>
      <c r="BF19" s="24" t="str">
        <f>TEXT(' En tramite 23-26'!$BD19,"mmmm")</f>
        <v>enero</v>
      </c>
      <c r="BG19" s="20">
        <f>YEAR(' En tramite 23-26'!$BD19)</f>
        <v>2026</v>
      </c>
      <c r="BH19" s="29">
        <v>1.0</v>
      </c>
      <c r="BI19" s="26" t="s">
        <v>229</v>
      </c>
      <c r="BJ19" s="30" t="s">
        <v>88</v>
      </c>
      <c r="BK19" s="31" t="s">
        <v>89</v>
      </c>
      <c r="BL19" s="32">
        <v>46211.0</v>
      </c>
      <c r="BM19" s="33">
        <v>2.0</v>
      </c>
    </row>
    <row r="20" ht="16.5" customHeight="1">
      <c r="A20" s="11" t="s">
        <v>230</v>
      </c>
      <c r="B20" s="34" t="s">
        <v>231</v>
      </c>
      <c r="C20" s="13" t="s">
        <v>232</v>
      </c>
      <c r="D20" s="18" t="s">
        <v>233</v>
      </c>
      <c r="E20" s="15" t="s">
        <v>234</v>
      </c>
      <c r="F20" s="16">
        <v>2.3422070060063E13</v>
      </c>
      <c r="G20" s="16">
        <v>4.421500768E9</v>
      </c>
      <c r="H20" s="17" t="s">
        <v>235</v>
      </c>
      <c r="I20" s="18" t="s">
        <v>108</v>
      </c>
      <c r="J20" s="18" t="s">
        <v>109</v>
      </c>
      <c r="K20" s="18" t="s">
        <v>110</v>
      </c>
      <c r="L20" s="19" t="s">
        <v>75</v>
      </c>
      <c r="M20" s="14" t="s">
        <v>111</v>
      </c>
      <c r="N20" s="18" t="s">
        <v>112</v>
      </c>
      <c r="O20" s="18" t="s">
        <v>97</v>
      </c>
      <c r="P20" s="20" t="s">
        <v>113</v>
      </c>
      <c r="Q20" s="20">
        <v>4.421550768E9</v>
      </c>
      <c r="R20" s="18" t="s">
        <v>98</v>
      </c>
      <c r="S20" s="35" t="s">
        <v>114</v>
      </c>
      <c r="T20" s="22" t="s">
        <v>81</v>
      </c>
      <c r="U20" s="21" t="s">
        <v>82</v>
      </c>
      <c r="V20" s="23">
        <v>1.0</v>
      </c>
      <c r="W20" s="20" t="s">
        <v>83</v>
      </c>
      <c r="X20" s="20" t="s">
        <v>84</v>
      </c>
      <c r="Y20" s="24">
        <v>2.0</v>
      </c>
      <c r="Z20" s="25">
        <v>45881.0</v>
      </c>
      <c r="AA20" s="20">
        <f>DAY(Tabla1[F. INICIO])</f>
        <v>12</v>
      </c>
      <c r="AB20" s="26" t="str">
        <f>TEXT(' En tramite 23-26'!$Z20,"mmmm")</f>
        <v>agosto</v>
      </c>
      <c r="AC20" s="20">
        <f>YEAR(' En tramite 23-26'!$Z20)</f>
        <v>2025</v>
      </c>
      <c r="AD20" s="20" t="s">
        <v>84</v>
      </c>
      <c r="AE20" s="24">
        <v>2.0</v>
      </c>
      <c r="AF20" s="24">
        <v>45881.0</v>
      </c>
      <c r="AG20" s="24" t="s">
        <v>84</v>
      </c>
      <c r="AH20" s="24">
        <v>2.0</v>
      </c>
      <c r="AI20" s="24">
        <v>45881.0</v>
      </c>
      <c r="AJ20" s="20">
        <f>DAY(' En tramite 23-26'!$AI20)</f>
        <v>12</v>
      </c>
      <c r="AK20" s="20" t="str">
        <f>TEXT(' En tramite 23-26'!$AI20,"mmmm")</f>
        <v>agosto</v>
      </c>
      <c r="AL20" s="20">
        <f>YEAR(' En tramite 23-26'!$Z20)</f>
        <v>2025</v>
      </c>
      <c r="AM20" s="20" t="s">
        <v>84</v>
      </c>
      <c r="AN20" s="24">
        <v>2.0</v>
      </c>
      <c r="AO20" s="24">
        <v>45881.0</v>
      </c>
      <c r="AP20" s="20" t="s">
        <v>84</v>
      </c>
      <c r="AQ20" s="24">
        <v>2.0</v>
      </c>
      <c r="AR20" s="24">
        <v>45926.0</v>
      </c>
      <c r="AS20" s="24">
        <f>' En tramite 23-26'!$AI20+45</f>
        <v>45926</v>
      </c>
      <c r="AT20" s="20" t="s">
        <v>85</v>
      </c>
      <c r="AU20" s="20" t="s">
        <v>84</v>
      </c>
      <c r="AV20" s="20">
        <v>2.0</v>
      </c>
      <c r="AW20" s="24">
        <f>' En tramite 23-26'!$AS20+45</f>
        <v>45971</v>
      </c>
      <c r="AX20" s="20" t="s">
        <v>86</v>
      </c>
      <c r="AY20" s="20" t="s">
        <v>84</v>
      </c>
      <c r="AZ20" s="20">
        <v>2.0</v>
      </c>
      <c r="BA20" s="24">
        <v>45971.0</v>
      </c>
      <c r="BB20" s="20" t="s">
        <v>84</v>
      </c>
      <c r="BC20" s="28">
        <v>2.0</v>
      </c>
      <c r="BD20" s="24">
        <v>45971.0</v>
      </c>
      <c r="BE20" s="20">
        <f>DAY(' En tramite 23-26'!$BD20)</f>
        <v>10</v>
      </c>
      <c r="BF20" s="24" t="str">
        <f>TEXT(' En tramite 23-26'!$BD20,"mmmm")</f>
        <v>noviembre</v>
      </c>
      <c r="BG20" s="20">
        <f>YEAR(' En tramite 23-26'!$BD20)</f>
        <v>2025</v>
      </c>
      <c r="BH20" s="29">
        <v>1.0</v>
      </c>
      <c r="BI20" s="26" t="s">
        <v>115</v>
      </c>
      <c r="BJ20" s="30" t="s">
        <v>88</v>
      </c>
      <c r="BK20" s="31" t="s">
        <v>89</v>
      </c>
      <c r="BL20" s="32">
        <v>46211.0</v>
      </c>
      <c r="BM20" s="33">
        <v>2.0</v>
      </c>
    </row>
    <row r="21" ht="16.5" customHeight="1">
      <c r="A21" s="11" t="s">
        <v>236</v>
      </c>
      <c r="B21" s="34" t="s">
        <v>221</v>
      </c>
      <c r="C21" s="13" t="s">
        <v>237</v>
      </c>
      <c r="D21" s="18" t="s">
        <v>238</v>
      </c>
      <c r="E21" s="15" t="s">
        <v>239</v>
      </c>
      <c r="F21" s="16">
        <v>2.3422070060503E13</v>
      </c>
      <c r="G21" s="16">
        <v>4.461026039E9</v>
      </c>
      <c r="H21" s="17" t="s">
        <v>240</v>
      </c>
      <c r="I21" s="18" t="s">
        <v>140</v>
      </c>
      <c r="J21" s="18" t="s">
        <v>109</v>
      </c>
      <c r="K21" s="18" t="s">
        <v>141</v>
      </c>
      <c r="L21" s="19" t="s">
        <v>75</v>
      </c>
      <c r="M21" s="14" t="s">
        <v>111</v>
      </c>
      <c r="N21" s="18" t="s">
        <v>112</v>
      </c>
      <c r="O21" s="18" t="s">
        <v>97</v>
      </c>
      <c r="P21" s="20" t="s">
        <v>241</v>
      </c>
      <c r="Q21" s="20">
        <v>4.421561235E9</v>
      </c>
      <c r="R21" s="18" t="s">
        <v>98</v>
      </c>
      <c r="S21" s="35" t="s">
        <v>166</v>
      </c>
      <c r="T21" s="22" t="s">
        <v>81</v>
      </c>
      <c r="U21" s="21" t="s">
        <v>100</v>
      </c>
      <c r="V21" s="23">
        <v>1.0</v>
      </c>
      <c r="W21" s="20" t="s">
        <v>83</v>
      </c>
      <c r="X21" s="20" t="s">
        <v>84</v>
      </c>
      <c r="Y21" s="24">
        <v>2.0</v>
      </c>
      <c r="Z21" s="25">
        <v>46076.0</v>
      </c>
      <c r="AA21" s="20">
        <f>DAY(Tabla1[F. INICIO])</f>
        <v>23</v>
      </c>
      <c r="AB21" s="26" t="str">
        <f>TEXT(' En tramite 23-26'!$Z21,"mmmm")</f>
        <v>febrero</v>
      </c>
      <c r="AC21" s="20">
        <f>YEAR(' En tramite 23-26'!$Z21)</f>
        <v>2026</v>
      </c>
      <c r="AD21" s="20" t="s">
        <v>84</v>
      </c>
      <c r="AE21" s="24">
        <v>3.0</v>
      </c>
      <c r="AF21" s="24">
        <v>46076.0</v>
      </c>
      <c r="AG21" s="24" t="s">
        <v>84</v>
      </c>
      <c r="AH21" s="24">
        <v>3.0</v>
      </c>
      <c r="AI21" s="24">
        <v>46076.0</v>
      </c>
      <c r="AJ21" s="20">
        <f>DAY(' En tramite 23-26'!$AI21)</f>
        <v>23</v>
      </c>
      <c r="AK21" s="20" t="str">
        <f>TEXT(' En tramite 23-26'!$AI21,"mmmm")</f>
        <v>febrero</v>
      </c>
      <c r="AL21" s="20">
        <f>YEAR(' En tramite 23-26'!$Z21)</f>
        <v>2026</v>
      </c>
      <c r="AM21" s="20" t="s">
        <v>84</v>
      </c>
      <c r="AN21" s="24">
        <v>3.0</v>
      </c>
      <c r="AO21" s="24">
        <v>46076.0</v>
      </c>
      <c r="AP21" s="20" t="s">
        <v>84</v>
      </c>
      <c r="AQ21" s="24">
        <v>2.0</v>
      </c>
      <c r="AR21" s="24">
        <v>46121.0</v>
      </c>
      <c r="AS21" s="24">
        <f>' En tramite 23-26'!$AI21+45</f>
        <v>46121</v>
      </c>
      <c r="AT21" s="20" t="s">
        <v>85</v>
      </c>
      <c r="AU21" s="20" t="s">
        <v>84</v>
      </c>
      <c r="AV21" s="20">
        <v>2.0</v>
      </c>
      <c r="AW21" s="24">
        <v>46168.0</v>
      </c>
      <c r="AX21" s="20" t="s">
        <v>86</v>
      </c>
      <c r="AY21" s="20" t="s">
        <v>84</v>
      </c>
      <c r="AZ21" s="20">
        <v>2.0</v>
      </c>
      <c r="BA21" s="24">
        <v>46168.0</v>
      </c>
      <c r="BB21" s="20" t="s">
        <v>84</v>
      </c>
      <c r="BC21" s="28">
        <v>2.0</v>
      </c>
      <c r="BD21" s="24">
        <v>46168.0</v>
      </c>
      <c r="BE21" s="20">
        <f>DAY(' En tramite 23-26'!$BD21)</f>
        <v>26</v>
      </c>
      <c r="BF21" s="24" t="str">
        <f>TEXT(' En tramite 23-26'!$BD21,"mmmm")</f>
        <v>mayo</v>
      </c>
      <c r="BG21" s="20">
        <f>YEAR(' En tramite 23-26'!$BD21)</f>
        <v>2026</v>
      </c>
      <c r="BH21" s="29">
        <v>1.0</v>
      </c>
      <c r="BI21" s="26" t="s">
        <v>242</v>
      </c>
      <c r="BJ21" s="30" t="s">
        <v>88</v>
      </c>
      <c r="BK21" s="31" t="s">
        <v>89</v>
      </c>
      <c r="BL21" s="32"/>
      <c r="BM21" s="33"/>
    </row>
    <row r="22" ht="16.5" customHeight="1">
      <c r="A22" s="11" t="s">
        <v>243</v>
      </c>
      <c r="B22" s="34" t="s">
        <v>230</v>
      </c>
      <c r="C22" s="13" t="s">
        <v>244</v>
      </c>
      <c r="D22" s="18" t="s">
        <v>245</v>
      </c>
      <c r="E22" s="15" t="s">
        <v>246</v>
      </c>
      <c r="F22" s="16">
        <v>2.3422070060386E13</v>
      </c>
      <c r="G22" s="16">
        <v>4.425264969E9</v>
      </c>
      <c r="H22" s="17" t="s">
        <v>247</v>
      </c>
      <c r="I22" s="18" t="s">
        <v>154</v>
      </c>
      <c r="J22" s="18" t="s">
        <v>109</v>
      </c>
      <c r="K22" s="18" t="s">
        <v>155</v>
      </c>
      <c r="L22" s="19" t="s">
        <v>75</v>
      </c>
      <c r="M22" s="14" t="s">
        <v>14</v>
      </c>
      <c r="N22" s="14" t="s">
        <v>192</v>
      </c>
      <c r="O22" s="18" t="s">
        <v>211</v>
      </c>
      <c r="P22" s="20" t="s">
        <v>78</v>
      </c>
      <c r="Q22" s="59">
        <v>4.428114091E9</v>
      </c>
      <c r="R22" s="18" t="s">
        <v>193</v>
      </c>
      <c r="S22" s="35" t="s">
        <v>194</v>
      </c>
      <c r="T22" s="22" t="s">
        <v>81</v>
      </c>
      <c r="U22" s="21" t="s">
        <v>100</v>
      </c>
      <c r="V22" s="23">
        <v>2.0</v>
      </c>
      <c r="W22" s="60">
        <f>800*4</f>
        <v>3200</v>
      </c>
      <c r="X22" s="20" t="s">
        <v>84</v>
      </c>
      <c r="Y22" s="24">
        <v>3.0</v>
      </c>
      <c r="Z22" s="25">
        <v>45923.0</v>
      </c>
      <c r="AA22" s="20">
        <f>DAY(Tabla1[F. INICIO])</f>
        <v>23</v>
      </c>
      <c r="AB22" s="26" t="str">
        <f>TEXT(' En tramite 23-26'!$Z22,"mmmm")</f>
        <v>septiembre</v>
      </c>
      <c r="AC22" s="20">
        <f>YEAR(' En tramite 23-26'!$Z22)</f>
        <v>2025</v>
      </c>
      <c r="AD22" s="20" t="s">
        <v>84</v>
      </c>
      <c r="AE22" s="24">
        <v>2.0</v>
      </c>
      <c r="AF22" s="24">
        <v>45923.0</v>
      </c>
      <c r="AG22" s="20" t="s">
        <v>84</v>
      </c>
      <c r="AH22" s="24">
        <v>2.0</v>
      </c>
      <c r="AI22" s="24">
        <v>45924.0</v>
      </c>
      <c r="AJ22" s="20">
        <f>DAY(' En tramite 23-26'!$AI22)</f>
        <v>24</v>
      </c>
      <c r="AK22" s="20" t="str">
        <f>TEXT(' En tramite 23-26'!$AI22,"mmmm")</f>
        <v>septiembre</v>
      </c>
      <c r="AL22" s="20">
        <f>YEAR(' En tramite 23-26'!$Z22)</f>
        <v>2025</v>
      </c>
      <c r="AM22" s="20" t="s">
        <v>84</v>
      </c>
      <c r="AN22" s="24">
        <v>3.0</v>
      </c>
      <c r="AO22" s="24">
        <v>45930.0</v>
      </c>
      <c r="AP22" s="20" t="s">
        <v>84</v>
      </c>
      <c r="AQ22" s="24">
        <v>3.0</v>
      </c>
      <c r="AR22" s="24">
        <v>45985.0</v>
      </c>
      <c r="AS22" s="61">
        <f>' En tramite 23-26'!$AI22+45</f>
        <v>45969</v>
      </c>
      <c r="AT22" s="20" t="s">
        <v>85</v>
      </c>
      <c r="AU22" s="20" t="s">
        <v>84</v>
      </c>
      <c r="AV22" s="20">
        <v>2.0</v>
      </c>
      <c r="AW22" s="24">
        <v>46380.0</v>
      </c>
      <c r="AX22" s="20" t="s">
        <v>86</v>
      </c>
      <c r="AY22" s="20" t="s">
        <v>84</v>
      </c>
      <c r="AZ22" s="20">
        <v>2.0</v>
      </c>
      <c r="BA22" s="24">
        <v>46380.0</v>
      </c>
      <c r="BB22" s="20" t="s">
        <v>84</v>
      </c>
      <c r="BC22" s="28">
        <v>2.0</v>
      </c>
      <c r="BD22" s="24">
        <v>46015.0</v>
      </c>
      <c r="BE22" s="20">
        <f>DAY(' En tramite 23-26'!$BD22)</f>
        <v>24</v>
      </c>
      <c r="BF22" s="24" t="str">
        <f>TEXT(' En tramite 23-26'!$BD22,"mmmm")</f>
        <v>diciembre</v>
      </c>
      <c r="BG22" s="20">
        <f>YEAR(' En tramite 23-26'!$BD22)</f>
        <v>2025</v>
      </c>
      <c r="BH22" s="29">
        <v>1.0</v>
      </c>
      <c r="BI22" s="26" t="s">
        <v>148</v>
      </c>
      <c r="BJ22" s="30" t="s">
        <v>88</v>
      </c>
      <c r="BK22" s="31" t="s">
        <v>89</v>
      </c>
      <c r="BL22" s="32"/>
      <c r="BM22" s="33"/>
    </row>
    <row r="23" ht="16.5" customHeight="1">
      <c r="A23" s="11" t="s">
        <v>248</v>
      </c>
      <c r="B23" s="34"/>
      <c r="C23" s="13"/>
      <c r="D23" s="41" t="s">
        <v>249</v>
      </c>
      <c r="E23" s="15" t="s">
        <v>250</v>
      </c>
      <c r="F23" s="42" t="s">
        <v>251</v>
      </c>
      <c r="G23" s="42">
        <v>4.421607262E9</v>
      </c>
      <c r="H23" s="45" t="s">
        <v>252</v>
      </c>
      <c r="I23" s="41" t="s">
        <v>154</v>
      </c>
      <c r="J23" s="41" t="s">
        <v>109</v>
      </c>
      <c r="K23" s="41" t="s">
        <v>155</v>
      </c>
      <c r="L23" s="44" t="s">
        <v>200</v>
      </c>
      <c r="M23" s="13" t="s">
        <v>14</v>
      </c>
      <c r="N23" s="13" t="s">
        <v>253</v>
      </c>
      <c r="O23" s="41" t="s">
        <v>77</v>
      </c>
      <c r="P23" s="44" t="s">
        <v>78</v>
      </c>
      <c r="Q23" s="44">
        <v>4.427116464E9</v>
      </c>
      <c r="R23" s="41" t="s">
        <v>254</v>
      </c>
      <c r="S23" s="45" t="s">
        <v>255</v>
      </c>
      <c r="T23" s="46" t="s">
        <v>81</v>
      </c>
      <c r="U23" s="47" t="s">
        <v>100</v>
      </c>
      <c r="V23" s="48">
        <v>0.0</v>
      </c>
      <c r="W23" s="46"/>
      <c r="X23" s="44" t="s">
        <v>84</v>
      </c>
      <c r="Y23" s="49">
        <v>2.0</v>
      </c>
      <c r="Z23" s="50">
        <v>45930.0</v>
      </c>
      <c r="AA23" s="44">
        <f>DAY(Tabla1[F. INICIO])</f>
        <v>30</v>
      </c>
      <c r="AB23" s="51" t="str">
        <f>TEXT(' En tramite 23-26'!$Z23,"mmmm")</f>
        <v>septiembre</v>
      </c>
      <c r="AC23" s="44">
        <f>YEAR(' En tramite 23-26'!$Z23)</f>
        <v>2025</v>
      </c>
      <c r="AD23" s="44" t="s">
        <v>84</v>
      </c>
      <c r="AE23" s="49">
        <v>2.0</v>
      </c>
      <c r="AF23" s="49">
        <v>45930.0</v>
      </c>
      <c r="AG23" s="44" t="s">
        <v>220</v>
      </c>
      <c r="AH23" s="49">
        <v>1.0</v>
      </c>
      <c r="AI23" s="49"/>
      <c r="AJ23" s="44"/>
      <c r="AK23" s="44"/>
      <c r="AL23" s="44"/>
      <c r="AM23" s="44"/>
      <c r="AN23" s="49"/>
      <c r="AO23" s="49"/>
      <c r="AP23" s="44"/>
      <c r="AQ23" s="49"/>
      <c r="AR23" s="49"/>
      <c r="AS23" s="52">
        <f>' En tramite 23-26'!$AI23+45</f>
        <v>45</v>
      </c>
      <c r="AT23" s="44"/>
      <c r="AU23" s="44"/>
      <c r="AV23" s="44"/>
      <c r="AW23" s="49">
        <f>' En tramite 23-26'!$AS23+45</f>
        <v>90</v>
      </c>
      <c r="AX23" s="44"/>
      <c r="AY23" s="44"/>
      <c r="AZ23" s="44"/>
      <c r="BA23" s="49"/>
      <c r="BB23" s="44"/>
      <c r="BC23" s="12"/>
      <c r="BD23" s="49"/>
      <c r="BE23" s="44"/>
      <c r="BF23" s="49"/>
      <c r="BG23" s="44"/>
      <c r="BH23" s="53"/>
      <c r="BI23" s="34"/>
      <c r="BJ23" s="34"/>
      <c r="BK23" s="54"/>
      <c r="BL23" s="55"/>
      <c r="BM23" s="56"/>
    </row>
    <row r="24" ht="16.5" customHeight="1">
      <c r="A24" s="11" t="s">
        <v>256</v>
      </c>
      <c r="B24" s="34" t="s">
        <v>236</v>
      </c>
      <c r="C24" s="13" t="s">
        <v>257</v>
      </c>
      <c r="D24" s="18" t="s">
        <v>258</v>
      </c>
      <c r="E24" s="15" t="s">
        <v>259</v>
      </c>
      <c r="F24" s="16" t="s">
        <v>260</v>
      </c>
      <c r="G24" s="16">
        <v>4.425791027E9</v>
      </c>
      <c r="H24" s="17" t="s">
        <v>261</v>
      </c>
      <c r="I24" s="18" t="s">
        <v>154</v>
      </c>
      <c r="J24" s="18" t="s">
        <v>109</v>
      </c>
      <c r="K24" s="18" t="s">
        <v>155</v>
      </c>
      <c r="L24" s="19" t="s">
        <v>75</v>
      </c>
      <c r="M24" s="14" t="s">
        <v>142</v>
      </c>
      <c r="N24" s="14" t="s">
        <v>262</v>
      </c>
      <c r="O24" s="18" t="s">
        <v>97</v>
      </c>
      <c r="P24" s="20" t="s">
        <v>78</v>
      </c>
      <c r="Q24" s="20">
        <v>4.425791027E9</v>
      </c>
      <c r="R24" s="18" t="s">
        <v>263</v>
      </c>
      <c r="S24" s="35" t="s">
        <v>264</v>
      </c>
      <c r="T24" s="22" t="s">
        <v>81</v>
      </c>
      <c r="U24" s="21" t="s">
        <v>100</v>
      </c>
      <c r="V24" s="23">
        <v>1.0</v>
      </c>
      <c r="W24" s="20" t="s">
        <v>83</v>
      </c>
      <c r="X24" s="20" t="s">
        <v>84</v>
      </c>
      <c r="Y24" s="24">
        <v>2.0</v>
      </c>
      <c r="Z24" s="25">
        <v>45937.0</v>
      </c>
      <c r="AA24" s="20">
        <f>DAY(Tabla1[F. INICIO])</f>
        <v>7</v>
      </c>
      <c r="AB24" s="26" t="str">
        <f>TEXT(' En tramite 23-26'!$Z24,"mmmm")</f>
        <v>octubre</v>
      </c>
      <c r="AC24" s="20">
        <f>YEAR(' En tramite 23-26'!$Z24)</f>
        <v>2025</v>
      </c>
      <c r="AD24" s="20" t="s">
        <v>84</v>
      </c>
      <c r="AE24" s="24">
        <v>2.0</v>
      </c>
      <c r="AF24" s="24">
        <v>45937.0</v>
      </c>
      <c r="AG24" s="20" t="s">
        <v>84</v>
      </c>
      <c r="AH24" s="24">
        <v>2.0</v>
      </c>
      <c r="AI24" s="24">
        <v>45957.0</v>
      </c>
      <c r="AJ24" s="20">
        <f>DAY(' En tramite 23-26'!$AI24)</f>
        <v>27</v>
      </c>
      <c r="AK24" s="20" t="str">
        <f>TEXT(' En tramite 23-26'!$AI24,"mmmm")</f>
        <v>octubre</v>
      </c>
      <c r="AL24" s="20">
        <f>YEAR(' En tramite 23-26'!$Z24)</f>
        <v>2025</v>
      </c>
      <c r="AM24" s="20" t="s">
        <v>84</v>
      </c>
      <c r="AN24" s="24">
        <v>2.0</v>
      </c>
      <c r="AO24" s="24">
        <v>46322.0</v>
      </c>
      <c r="AP24" s="20" t="s">
        <v>84</v>
      </c>
      <c r="AQ24" s="24">
        <v>2.0</v>
      </c>
      <c r="AR24" s="24">
        <v>46002.0</v>
      </c>
      <c r="AS24" s="24">
        <f>' En tramite 23-26'!$AI24+45</f>
        <v>46002</v>
      </c>
      <c r="AT24" s="20" t="s">
        <v>85</v>
      </c>
      <c r="AU24" s="20" t="s">
        <v>84</v>
      </c>
      <c r="AV24" s="20">
        <v>2.0</v>
      </c>
      <c r="AW24" s="24">
        <v>46038.0</v>
      </c>
      <c r="AX24" s="20" t="s">
        <v>86</v>
      </c>
      <c r="AY24" s="20" t="s">
        <v>84</v>
      </c>
      <c r="AZ24" s="20">
        <v>2.0</v>
      </c>
      <c r="BA24" s="24">
        <v>46038.0</v>
      </c>
      <c r="BB24" s="20" t="s">
        <v>84</v>
      </c>
      <c r="BC24" s="28">
        <v>2.0</v>
      </c>
      <c r="BD24" s="24">
        <v>46038.0</v>
      </c>
      <c r="BE24" s="20">
        <f>DAY(' En tramite 23-26'!$BD24)</f>
        <v>16</v>
      </c>
      <c r="BF24" s="24" t="str">
        <f>TEXT(' En tramite 23-26'!$BD24,"mmmm")</f>
        <v>enero</v>
      </c>
      <c r="BG24" s="20">
        <f>YEAR(' En tramite 23-26'!$BD24)</f>
        <v>2026</v>
      </c>
      <c r="BH24" s="29">
        <v>1.0</v>
      </c>
      <c r="BI24" s="26" t="s">
        <v>265</v>
      </c>
      <c r="BJ24" s="30" t="s">
        <v>88</v>
      </c>
      <c r="BK24" s="31" t="s">
        <v>89</v>
      </c>
      <c r="BL24" s="32">
        <v>46210.0</v>
      </c>
      <c r="BM24" s="33">
        <v>2.0</v>
      </c>
    </row>
    <row r="25" ht="16.5" customHeight="1">
      <c r="A25" s="11" t="s">
        <v>266</v>
      </c>
      <c r="B25" s="34"/>
      <c r="C25" s="13"/>
      <c r="D25" s="62" t="s">
        <v>267</v>
      </c>
      <c r="E25" s="15" t="s">
        <v>268</v>
      </c>
      <c r="F25" s="63" t="s">
        <v>269</v>
      </c>
      <c r="G25" s="63">
        <v>4.427798301E9</v>
      </c>
      <c r="H25" s="64" t="s">
        <v>270</v>
      </c>
      <c r="I25" s="62" t="s">
        <v>154</v>
      </c>
      <c r="J25" s="62" t="s">
        <v>109</v>
      </c>
      <c r="K25" s="62" t="s">
        <v>155</v>
      </c>
      <c r="L25" s="65" t="s">
        <v>75</v>
      </c>
      <c r="M25" s="66" t="s">
        <v>14</v>
      </c>
      <c r="N25" s="66" t="s">
        <v>271</v>
      </c>
      <c r="O25" s="62" t="s">
        <v>131</v>
      </c>
      <c r="P25" s="67" t="s">
        <v>78</v>
      </c>
      <c r="Q25" s="67">
        <v>4.427798301E9</v>
      </c>
      <c r="R25" s="62" t="s">
        <v>272</v>
      </c>
      <c r="S25" s="68" t="s">
        <v>273</v>
      </c>
      <c r="T25" s="69" t="s">
        <v>81</v>
      </c>
      <c r="U25" s="70" t="s">
        <v>82</v>
      </c>
      <c r="V25" s="71">
        <v>2.0</v>
      </c>
      <c r="W25" s="72">
        <v>4000.0</v>
      </c>
      <c r="X25" s="67" t="s">
        <v>84</v>
      </c>
      <c r="Y25" s="73">
        <v>2.0</v>
      </c>
      <c r="Z25" s="74">
        <v>45951.0</v>
      </c>
      <c r="AA25" s="67">
        <f>DAY(Tabla1[F. INICIO])</f>
        <v>21</v>
      </c>
      <c r="AB25" s="75" t="str">
        <f>TEXT(' En tramite 23-26'!$Z25,"mmmm")</f>
        <v>octubre</v>
      </c>
      <c r="AC25" s="67">
        <f>YEAR(' En tramite 23-26'!$Z25)</f>
        <v>2025</v>
      </c>
      <c r="AD25" s="67" t="s">
        <v>84</v>
      </c>
      <c r="AE25" s="73">
        <v>2.0</v>
      </c>
      <c r="AF25" s="73">
        <v>45951.0</v>
      </c>
      <c r="AG25" s="67" t="s">
        <v>84</v>
      </c>
      <c r="AH25" s="73">
        <v>2.0</v>
      </c>
      <c r="AI25" s="73">
        <v>45951.0</v>
      </c>
      <c r="AJ25" s="67">
        <f>DAY(' En tramite 23-26'!$AI25)</f>
        <v>21</v>
      </c>
      <c r="AK25" s="67" t="str">
        <f>TEXT(' En tramite 23-26'!$AI25,"mmmm")</f>
        <v>octubre</v>
      </c>
      <c r="AL25" s="67">
        <f>YEAR(' En tramite 23-26'!$Z25)</f>
        <v>2025</v>
      </c>
      <c r="AM25" s="67" t="s">
        <v>84</v>
      </c>
      <c r="AN25" s="73">
        <v>2.0</v>
      </c>
      <c r="AO25" s="73">
        <v>45951.0</v>
      </c>
      <c r="AP25" s="67" t="s">
        <v>84</v>
      </c>
      <c r="AQ25" s="73">
        <v>2.0</v>
      </c>
      <c r="AR25" s="73">
        <v>45998.0</v>
      </c>
      <c r="AS25" s="73">
        <f>' En tramite 23-26'!$AI25+45</f>
        <v>45996</v>
      </c>
      <c r="AT25" s="67" t="s">
        <v>85</v>
      </c>
      <c r="AU25" s="67" t="s">
        <v>84</v>
      </c>
      <c r="AV25" s="67">
        <v>2.0</v>
      </c>
      <c r="AW25" s="73">
        <v>46077.0</v>
      </c>
      <c r="AX25" s="67" t="s">
        <v>86</v>
      </c>
      <c r="AY25" s="67" t="s">
        <v>84</v>
      </c>
      <c r="AZ25" s="67">
        <v>2.0</v>
      </c>
      <c r="BA25" s="73">
        <v>46077.0</v>
      </c>
      <c r="BB25" s="67" t="s">
        <v>84</v>
      </c>
      <c r="BC25" s="76">
        <v>2.0</v>
      </c>
      <c r="BD25" s="73">
        <v>46077.0</v>
      </c>
      <c r="BE25" s="67">
        <f>DAY(' En tramite 23-26'!$BD25)</f>
        <v>24</v>
      </c>
      <c r="BF25" s="73" t="str">
        <f>TEXT(' En tramite 23-26'!$BD25,"mmmm")</f>
        <v>febrero</v>
      </c>
      <c r="BG25" s="67">
        <f>YEAR(' En tramite 23-26'!$BD25)</f>
        <v>2026</v>
      </c>
      <c r="BH25" s="77"/>
      <c r="BI25" s="78"/>
      <c r="BJ25" s="78" t="s">
        <v>274</v>
      </c>
      <c r="BK25" s="79" t="s">
        <v>275</v>
      </c>
      <c r="BL25" s="66"/>
      <c r="BM25" s="80"/>
    </row>
    <row r="26" ht="16.5" customHeight="1">
      <c r="A26" s="11" t="s">
        <v>276</v>
      </c>
      <c r="B26" s="34" t="s">
        <v>243</v>
      </c>
      <c r="C26" s="13" t="s">
        <v>277</v>
      </c>
      <c r="D26" s="18" t="s">
        <v>278</v>
      </c>
      <c r="E26" s="15" t="s">
        <v>279</v>
      </c>
      <c r="F26" s="16" t="s">
        <v>280</v>
      </c>
      <c r="G26" s="16" t="s">
        <v>83</v>
      </c>
      <c r="H26" s="17" t="s">
        <v>281</v>
      </c>
      <c r="I26" s="18" t="s">
        <v>72</v>
      </c>
      <c r="J26" s="18" t="s">
        <v>73</v>
      </c>
      <c r="K26" s="18" t="s">
        <v>74</v>
      </c>
      <c r="L26" s="19" t="s">
        <v>75</v>
      </c>
      <c r="M26" s="14" t="s">
        <v>14</v>
      </c>
      <c r="N26" s="18" t="s">
        <v>282</v>
      </c>
      <c r="O26" s="18"/>
      <c r="P26" s="20" t="s">
        <v>78</v>
      </c>
      <c r="Q26" s="20">
        <v>4.42863597E9</v>
      </c>
      <c r="R26" s="20" t="s">
        <v>283</v>
      </c>
      <c r="S26" s="17" t="s">
        <v>284</v>
      </c>
      <c r="T26" s="22" t="s">
        <v>81</v>
      </c>
      <c r="U26" s="21" t="s">
        <v>100</v>
      </c>
      <c r="V26" s="23">
        <v>2.0</v>
      </c>
      <c r="W26" s="60">
        <v>2000.0</v>
      </c>
      <c r="X26" s="20" t="s">
        <v>84</v>
      </c>
      <c r="Y26" s="24">
        <v>2.0</v>
      </c>
      <c r="Z26" s="25">
        <v>45950.0</v>
      </c>
      <c r="AA26" s="20">
        <f>DAY(Tabla1[F. INICIO])</f>
        <v>20</v>
      </c>
      <c r="AB26" s="26" t="str">
        <f>TEXT(' En tramite 23-26'!$Z26,"mmmm")</f>
        <v>octubre</v>
      </c>
      <c r="AC26" s="20">
        <f>YEAR(' En tramite 23-26'!$Z26)</f>
        <v>2025</v>
      </c>
      <c r="AD26" s="20" t="s">
        <v>84</v>
      </c>
      <c r="AE26" s="24">
        <v>2.0</v>
      </c>
      <c r="AF26" s="24">
        <v>45950.0</v>
      </c>
      <c r="AG26" s="20" t="s">
        <v>84</v>
      </c>
      <c r="AH26" s="24">
        <v>2.0</v>
      </c>
      <c r="AI26" s="24">
        <v>45950.0</v>
      </c>
      <c r="AJ26" s="20">
        <f>DAY(' En tramite 23-26'!$AI26)</f>
        <v>20</v>
      </c>
      <c r="AK26" s="20" t="str">
        <f>TEXT(' En tramite 23-26'!$AI26,"mmmm")</f>
        <v>octubre</v>
      </c>
      <c r="AL26" s="20">
        <f>YEAR(' En tramite 23-26'!$Z26)</f>
        <v>2025</v>
      </c>
      <c r="AM26" s="20" t="s">
        <v>84</v>
      </c>
      <c r="AN26" s="24">
        <v>2.0</v>
      </c>
      <c r="AO26" s="24">
        <v>45950.0</v>
      </c>
      <c r="AP26" s="20" t="s">
        <v>84</v>
      </c>
      <c r="AQ26" s="24">
        <v>2.0</v>
      </c>
      <c r="AR26" s="24">
        <v>46001.0</v>
      </c>
      <c r="AS26" s="61">
        <v>46366.0</v>
      </c>
      <c r="AT26" s="20" t="s">
        <v>85</v>
      </c>
      <c r="AU26" s="20" t="s">
        <v>84</v>
      </c>
      <c r="AV26" s="20">
        <v>2.0</v>
      </c>
      <c r="AW26" s="24">
        <v>46042.0</v>
      </c>
      <c r="AX26" s="20" t="s">
        <v>86</v>
      </c>
      <c r="AY26" s="20" t="s">
        <v>84</v>
      </c>
      <c r="AZ26" s="20">
        <v>2.0</v>
      </c>
      <c r="BA26" s="24">
        <v>46042.0</v>
      </c>
      <c r="BB26" s="20" t="s">
        <v>84</v>
      </c>
      <c r="BC26" s="28">
        <v>2.0</v>
      </c>
      <c r="BD26" s="24">
        <v>46042.0</v>
      </c>
      <c r="BE26" s="20">
        <f>DAY(' En tramite 23-26'!$BD26)</f>
        <v>20</v>
      </c>
      <c r="BF26" s="24" t="str">
        <f>TEXT(' En tramite 23-26'!$BD26,"mmmm")</f>
        <v>enero</v>
      </c>
      <c r="BG26" s="20">
        <f>YEAR(' En tramite 23-26'!$BD26)</f>
        <v>2026</v>
      </c>
      <c r="BH26" s="29">
        <v>1.0</v>
      </c>
      <c r="BI26" s="26" t="s">
        <v>285</v>
      </c>
      <c r="BJ26" s="30" t="s">
        <v>88</v>
      </c>
      <c r="BK26" s="31" t="s">
        <v>89</v>
      </c>
      <c r="BL26" s="14"/>
      <c r="BM26" s="81"/>
    </row>
    <row r="27" ht="16.5" customHeight="1">
      <c r="A27" s="11" t="s">
        <v>286</v>
      </c>
      <c r="B27" s="34" t="s">
        <v>248</v>
      </c>
      <c r="C27" s="13" t="s">
        <v>287</v>
      </c>
      <c r="D27" s="18" t="s">
        <v>288</v>
      </c>
      <c r="E27" s="15" t="s">
        <v>289</v>
      </c>
      <c r="F27" s="16" t="s">
        <v>290</v>
      </c>
      <c r="G27" s="16">
        <v>4.421075401E9</v>
      </c>
      <c r="H27" s="17" t="s">
        <v>291</v>
      </c>
      <c r="I27" s="18" t="s">
        <v>154</v>
      </c>
      <c r="J27" s="18" t="s">
        <v>109</v>
      </c>
      <c r="K27" s="18" t="s">
        <v>155</v>
      </c>
      <c r="L27" s="19" t="s">
        <v>75</v>
      </c>
      <c r="M27" s="14" t="s">
        <v>14</v>
      </c>
      <c r="N27" s="18" t="s">
        <v>292</v>
      </c>
      <c r="O27" s="18" t="s">
        <v>131</v>
      </c>
      <c r="P27" s="20" t="s">
        <v>78</v>
      </c>
      <c r="Q27" s="20">
        <v>4.425982749E9</v>
      </c>
      <c r="R27" s="20" t="s">
        <v>293</v>
      </c>
      <c r="S27" s="17" t="s">
        <v>294</v>
      </c>
      <c r="T27" s="22" t="s">
        <v>81</v>
      </c>
      <c r="U27" s="21" t="s">
        <v>82</v>
      </c>
      <c r="V27" s="23">
        <v>1.0</v>
      </c>
      <c r="W27" s="82" t="s">
        <v>83</v>
      </c>
      <c r="X27" s="20" t="s">
        <v>84</v>
      </c>
      <c r="Y27" s="24">
        <v>2.0</v>
      </c>
      <c r="Z27" s="25">
        <v>45932.0</v>
      </c>
      <c r="AA27" s="20">
        <f>DAY(Tabla1[F. INICIO])</f>
        <v>2</v>
      </c>
      <c r="AB27" s="26" t="str">
        <f>TEXT(' En tramite 23-26'!$Z27,"mmmm")</f>
        <v>octubre</v>
      </c>
      <c r="AC27" s="20">
        <f>YEAR(' En tramite 23-26'!$Z27)</f>
        <v>2025</v>
      </c>
      <c r="AD27" s="20" t="s">
        <v>84</v>
      </c>
      <c r="AE27" s="24">
        <v>2.0</v>
      </c>
      <c r="AF27" s="24">
        <v>45932.0</v>
      </c>
      <c r="AG27" s="20" t="s">
        <v>84</v>
      </c>
      <c r="AH27" s="24">
        <v>2.0</v>
      </c>
      <c r="AI27" s="24">
        <v>45933.0</v>
      </c>
      <c r="AJ27" s="20">
        <f>DAY(' En tramite 23-26'!$AI27)</f>
        <v>3</v>
      </c>
      <c r="AK27" s="20" t="str">
        <f>TEXT(' En tramite 23-26'!$AI27,"mmmm")</f>
        <v>octubre</v>
      </c>
      <c r="AL27" s="20">
        <f>YEAR(' En tramite 23-26'!$Z27)</f>
        <v>2025</v>
      </c>
      <c r="AM27" s="20" t="s">
        <v>84</v>
      </c>
      <c r="AN27" s="24">
        <v>2.0</v>
      </c>
      <c r="AO27" s="24">
        <v>45933.0</v>
      </c>
      <c r="AP27" s="20" t="s">
        <v>84</v>
      </c>
      <c r="AQ27" s="24">
        <v>2.0</v>
      </c>
      <c r="AR27" s="24">
        <v>45979.0</v>
      </c>
      <c r="AS27" s="61">
        <f>' En tramite 23-26'!$AI27+45</f>
        <v>45978</v>
      </c>
      <c r="AT27" s="20" t="s">
        <v>85</v>
      </c>
      <c r="AU27" s="20" t="s">
        <v>84</v>
      </c>
      <c r="AV27" s="20">
        <v>2.0</v>
      </c>
      <c r="AW27" s="24">
        <v>46025.0</v>
      </c>
      <c r="AX27" s="20" t="s">
        <v>86</v>
      </c>
      <c r="AY27" s="20" t="s">
        <v>84</v>
      </c>
      <c r="AZ27" s="20">
        <v>2.0</v>
      </c>
      <c r="BA27" s="24">
        <v>46025.0</v>
      </c>
      <c r="BB27" s="20" t="s">
        <v>84</v>
      </c>
      <c r="BC27" s="28">
        <v>2.0</v>
      </c>
      <c r="BD27" s="24">
        <v>46025.0</v>
      </c>
      <c r="BE27" s="20">
        <f>DAY(' En tramite 23-26'!$BD27)</f>
        <v>3</v>
      </c>
      <c r="BF27" s="24" t="str">
        <f>TEXT(' En tramite 23-26'!$BD27,"mmmm")</f>
        <v>enero</v>
      </c>
      <c r="BG27" s="20">
        <f>YEAR(' En tramite 23-26'!$BD27)</f>
        <v>2026</v>
      </c>
      <c r="BH27" s="29">
        <v>1.0</v>
      </c>
      <c r="BI27" s="14" t="s">
        <v>285</v>
      </c>
      <c r="BJ27" s="30" t="s">
        <v>88</v>
      </c>
      <c r="BK27" s="31" t="s">
        <v>89</v>
      </c>
      <c r="BL27" s="32">
        <v>46210.0</v>
      </c>
      <c r="BM27" s="33">
        <v>2.0</v>
      </c>
    </row>
    <row r="28" ht="16.5" customHeight="1">
      <c r="A28" s="11" t="s">
        <v>295</v>
      </c>
      <c r="B28" s="34" t="s">
        <v>256</v>
      </c>
      <c r="C28" s="13" t="s">
        <v>296</v>
      </c>
      <c r="D28" s="18" t="s">
        <v>297</v>
      </c>
      <c r="E28" s="15" t="s">
        <v>298</v>
      </c>
      <c r="F28" s="16" t="s">
        <v>299</v>
      </c>
      <c r="G28" s="16">
        <v>4.42505822E9</v>
      </c>
      <c r="H28" s="17" t="s">
        <v>300</v>
      </c>
      <c r="I28" s="18" t="s">
        <v>154</v>
      </c>
      <c r="J28" s="18" t="s">
        <v>109</v>
      </c>
      <c r="K28" s="18" t="s">
        <v>155</v>
      </c>
      <c r="L28" s="19" t="s">
        <v>75</v>
      </c>
      <c r="M28" s="14" t="s">
        <v>14</v>
      </c>
      <c r="N28" s="18" t="s">
        <v>301</v>
      </c>
      <c r="O28" s="18" t="s">
        <v>77</v>
      </c>
      <c r="P28" s="20" t="s">
        <v>78</v>
      </c>
      <c r="Q28" s="20">
        <v>4.42775978E9</v>
      </c>
      <c r="R28" s="20" t="s">
        <v>302</v>
      </c>
      <c r="S28" s="35" t="s">
        <v>303</v>
      </c>
      <c r="T28" s="22" t="s">
        <v>81</v>
      </c>
      <c r="U28" s="21" t="s">
        <v>100</v>
      </c>
      <c r="V28" s="23">
        <v>1.0</v>
      </c>
      <c r="W28" s="82" t="s">
        <v>83</v>
      </c>
      <c r="X28" s="20" t="s">
        <v>84</v>
      </c>
      <c r="Y28" s="24">
        <v>2.0</v>
      </c>
      <c r="Z28" s="25">
        <v>45945.0</v>
      </c>
      <c r="AA28" s="20">
        <f>DAY(Tabla1[F. INICIO])</f>
        <v>15</v>
      </c>
      <c r="AB28" s="26" t="str">
        <f>TEXT(' En tramite 23-26'!$Z28,"mmmm")</f>
        <v>octubre</v>
      </c>
      <c r="AC28" s="20">
        <f>YEAR(' En tramite 23-26'!$Z28)</f>
        <v>2025</v>
      </c>
      <c r="AD28" s="20" t="s">
        <v>84</v>
      </c>
      <c r="AE28" s="24">
        <v>2.0</v>
      </c>
      <c r="AF28" s="24">
        <v>45945.0</v>
      </c>
      <c r="AG28" s="20" t="s">
        <v>84</v>
      </c>
      <c r="AH28" s="24">
        <v>2.0</v>
      </c>
      <c r="AI28" s="24">
        <v>45945.0</v>
      </c>
      <c r="AJ28" s="20">
        <f>DAY(' En tramite 23-26'!$AI28)</f>
        <v>15</v>
      </c>
      <c r="AK28" s="20" t="str">
        <f>TEXT(' En tramite 23-26'!$AI28,"mmmm")</f>
        <v>octubre</v>
      </c>
      <c r="AL28" s="20">
        <f>YEAR(' En tramite 23-26'!$Z28)</f>
        <v>2025</v>
      </c>
      <c r="AM28" s="20" t="s">
        <v>84</v>
      </c>
      <c r="AN28" s="24">
        <v>2.0</v>
      </c>
      <c r="AO28" s="24">
        <v>45949.0</v>
      </c>
      <c r="AP28" s="20" t="s">
        <v>84</v>
      </c>
      <c r="AQ28" s="24">
        <v>2.0</v>
      </c>
      <c r="AR28" s="24">
        <v>45997.0</v>
      </c>
      <c r="AS28" s="61">
        <f>' En tramite 23-26'!$AI28+45</f>
        <v>45990</v>
      </c>
      <c r="AT28" s="20" t="s">
        <v>85</v>
      </c>
      <c r="AU28" s="20" t="s">
        <v>84</v>
      </c>
      <c r="AV28" s="20">
        <v>2.0</v>
      </c>
      <c r="AW28" s="24" t="s">
        <v>304</v>
      </c>
      <c r="AX28" s="20" t="s">
        <v>86</v>
      </c>
      <c r="AY28" s="20" t="s">
        <v>84</v>
      </c>
      <c r="AZ28" s="20">
        <v>2.0</v>
      </c>
      <c r="BA28" s="24">
        <v>46087.0</v>
      </c>
      <c r="BB28" s="20" t="s">
        <v>84</v>
      </c>
      <c r="BC28" s="28">
        <v>2.0</v>
      </c>
      <c r="BD28" s="24">
        <v>46087.0</v>
      </c>
      <c r="BE28" s="20">
        <f>DAY(' En tramite 23-26'!$BD28)</f>
        <v>6</v>
      </c>
      <c r="BF28" s="24" t="str">
        <f>TEXT(' En tramite 23-26'!$BD28,"mmmm")</f>
        <v>marzo</v>
      </c>
      <c r="BG28" s="20">
        <f>YEAR(' En tramite 23-26'!$BD28)</f>
        <v>2026</v>
      </c>
      <c r="BH28" s="29">
        <v>1.0</v>
      </c>
      <c r="BI28" s="14" t="s">
        <v>159</v>
      </c>
      <c r="BJ28" s="30" t="s">
        <v>88</v>
      </c>
      <c r="BK28" s="31" t="s">
        <v>89</v>
      </c>
      <c r="BL28" s="32"/>
      <c r="BM28" s="33"/>
    </row>
    <row r="29" ht="16.5" customHeight="1">
      <c r="A29" s="11" t="s">
        <v>305</v>
      </c>
      <c r="B29" s="34" t="s">
        <v>266</v>
      </c>
      <c r="C29" s="13" t="s">
        <v>306</v>
      </c>
      <c r="D29" s="18" t="s">
        <v>307</v>
      </c>
      <c r="E29" s="15" t="s">
        <v>308</v>
      </c>
      <c r="F29" s="16" t="s">
        <v>309</v>
      </c>
      <c r="G29" s="16">
        <v>4.426790947E9</v>
      </c>
      <c r="H29" s="17" t="s">
        <v>310</v>
      </c>
      <c r="I29" s="18" t="s">
        <v>154</v>
      </c>
      <c r="J29" s="18" t="s">
        <v>109</v>
      </c>
      <c r="K29" s="18" t="s">
        <v>155</v>
      </c>
      <c r="L29" s="19" t="s">
        <v>75</v>
      </c>
      <c r="M29" s="14" t="s">
        <v>14</v>
      </c>
      <c r="N29" s="14" t="s">
        <v>311</v>
      </c>
      <c r="O29" s="18" t="s">
        <v>211</v>
      </c>
      <c r="P29" s="20" t="s">
        <v>78</v>
      </c>
      <c r="Q29" s="20">
        <v>4.422314351E9</v>
      </c>
      <c r="R29" s="20" t="s">
        <v>312</v>
      </c>
      <c r="S29" s="35" t="s">
        <v>313</v>
      </c>
      <c r="T29" s="22" t="s">
        <v>81</v>
      </c>
      <c r="U29" s="21" t="s">
        <v>82</v>
      </c>
      <c r="V29" s="23">
        <v>1.0</v>
      </c>
      <c r="W29" s="82" t="s">
        <v>83</v>
      </c>
      <c r="X29" s="20" t="s">
        <v>84</v>
      </c>
      <c r="Y29" s="24">
        <v>2.0</v>
      </c>
      <c r="Z29" s="25">
        <v>45883.0</v>
      </c>
      <c r="AA29" s="20">
        <f>DAY(Tabla1[F. INICIO])</f>
        <v>14</v>
      </c>
      <c r="AB29" s="26" t="str">
        <f>TEXT(' En tramite 23-26'!$Z29,"mmmm")</f>
        <v>agosto</v>
      </c>
      <c r="AC29" s="20">
        <f>YEAR(' En tramite 23-26'!$Z29)</f>
        <v>2025</v>
      </c>
      <c r="AD29" s="20" t="s">
        <v>84</v>
      </c>
      <c r="AE29" s="24">
        <v>2.0</v>
      </c>
      <c r="AF29" s="24">
        <v>45883.0</v>
      </c>
      <c r="AG29" s="20" t="s">
        <v>84</v>
      </c>
      <c r="AH29" s="24">
        <v>2.0</v>
      </c>
      <c r="AI29" s="24">
        <v>45950.0</v>
      </c>
      <c r="AJ29" s="20">
        <f>DAY(' En tramite 23-26'!$AI29)</f>
        <v>20</v>
      </c>
      <c r="AK29" s="20" t="str">
        <f>TEXT(' En tramite 23-26'!$AI29,"mmmm")</f>
        <v>octubre</v>
      </c>
      <c r="AL29" s="20">
        <f>YEAR(' En tramite 23-26'!$Z29)</f>
        <v>2025</v>
      </c>
      <c r="AM29" s="20" t="s">
        <v>84</v>
      </c>
      <c r="AN29" s="24">
        <v>2.0</v>
      </c>
      <c r="AO29" s="24">
        <v>45950.0</v>
      </c>
      <c r="AP29" s="20" t="s">
        <v>84</v>
      </c>
      <c r="AQ29" s="24">
        <v>2.0</v>
      </c>
      <c r="AR29" s="24">
        <v>45996.0</v>
      </c>
      <c r="AS29" s="61">
        <f>' En tramite 23-26'!$AI29+45</f>
        <v>45995</v>
      </c>
      <c r="AT29" s="20" t="s">
        <v>85</v>
      </c>
      <c r="AU29" s="20" t="s">
        <v>84</v>
      </c>
      <c r="AV29" s="20">
        <v>2.0</v>
      </c>
      <c r="AW29" s="24">
        <v>46038.0</v>
      </c>
      <c r="AX29" s="20" t="s">
        <v>86</v>
      </c>
      <c r="AY29" s="20" t="s">
        <v>84</v>
      </c>
      <c r="AZ29" s="20">
        <v>2.0</v>
      </c>
      <c r="BA29" s="24">
        <v>46038.0</v>
      </c>
      <c r="BB29" s="20" t="s">
        <v>84</v>
      </c>
      <c r="BC29" s="28">
        <v>2.0</v>
      </c>
      <c r="BD29" s="24">
        <v>46038.0</v>
      </c>
      <c r="BE29" s="20">
        <f>DAY(' En tramite 23-26'!$BD29)</f>
        <v>16</v>
      </c>
      <c r="BF29" s="24" t="str">
        <f>TEXT(' En tramite 23-26'!$BD29,"mmmm")</f>
        <v>enero</v>
      </c>
      <c r="BG29" s="20">
        <f>YEAR(' En tramite 23-26'!$BD29)</f>
        <v>2026</v>
      </c>
      <c r="BH29" s="29">
        <v>1.0</v>
      </c>
      <c r="BI29" s="26" t="s">
        <v>134</v>
      </c>
      <c r="BJ29" s="30" t="s">
        <v>88</v>
      </c>
      <c r="BK29" s="31" t="s">
        <v>89</v>
      </c>
      <c r="BL29" s="32"/>
      <c r="BM29" s="33"/>
      <c r="BN29" s="83"/>
    </row>
    <row r="30" ht="16.5" customHeight="1">
      <c r="A30" s="11" t="s">
        <v>314</v>
      </c>
      <c r="B30" s="34"/>
      <c r="C30" s="13"/>
      <c r="D30" s="62" t="s">
        <v>315</v>
      </c>
      <c r="E30" s="15" t="s">
        <v>316</v>
      </c>
      <c r="F30" s="63" t="s">
        <v>317</v>
      </c>
      <c r="G30" s="63">
        <v>4.428639853E9</v>
      </c>
      <c r="H30" s="64" t="s">
        <v>318</v>
      </c>
      <c r="I30" s="62" t="s">
        <v>319</v>
      </c>
      <c r="J30" s="62" t="s">
        <v>73</v>
      </c>
      <c r="K30" s="62" t="s">
        <v>155</v>
      </c>
      <c r="L30" s="65" t="s">
        <v>75</v>
      </c>
      <c r="M30" s="66" t="s">
        <v>14</v>
      </c>
      <c r="N30" s="66" t="s">
        <v>320</v>
      </c>
      <c r="O30" s="62" t="s">
        <v>211</v>
      </c>
      <c r="P30" s="67" t="s">
        <v>78</v>
      </c>
      <c r="Q30" s="67">
        <v>4.428639853E9</v>
      </c>
      <c r="R30" s="67" t="s">
        <v>321</v>
      </c>
      <c r="S30" s="68" t="s">
        <v>322</v>
      </c>
      <c r="T30" s="69" t="s">
        <v>81</v>
      </c>
      <c r="U30" s="70" t="s">
        <v>100</v>
      </c>
      <c r="V30" s="71">
        <v>0.0</v>
      </c>
      <c r="W30" s="69"/>
      <c r="X30" s="67" t="s">
        <v>84</v>
      </c>
      <c r="Y30" s="73">
        <v>2.0</v>
      </c>
      <c r="Z30" s="74">
        <v>45954.0</v>
      </c>
      <c r="AA30" s="67">
        <f>DAY(Tabla1[F. INICIO])</f>
        <v>24</v>
      </c>
      <c r="AB30" s="75" t="str">
        <f>TEXT(' En tramite 23-26'!$Z30,"mmmm")</f>
        <v>octubre</v>
      </c>
      <c r="AC30" s="67">
        <f>YEAR(' En tramite 23-26'!$Z30)</f>
        <v>2025</v>
      </c>
      <c r="AD30" s="67" t="s">
        <v>84</v>
      </c>
      <c r="AE30" s="73">
        <v>2.0</v>
      </c>
      <c r="AF30" s="73">
        <v>45957.0</v>
      </c>
      <c r="AG30" s="73" t="s">
        <v>84</v>
      </c>
      <c r="AH30" s="73">
        <v>2.0</v>
      </c>
      <c r="AI30" s="73">
        <v>45957.0</v>
      </c>
      <c r="AJ30" s="67">
        <f>DAY(' En tramite 23-26'!$AI30)</f>
        <v>27</v>
      </c>
      <c r="AK30" s="67" t="str">
        <f>TEXT(' En tramite 23-26'!$AI30,"mmmm")</f>
        <v>octubre</v>
      </c>
      <c r="AL30" s="67">
        <f>YEAR(' En tramite 23-26'!$Z30)</f>
        <v>2025</v>
      </c>
      <c r="AM30" s="67" t="s">
        <v>84</v>
      </c>
      <c r="AN30" s="73">
        <v>2.0</v>
      </c>
      <c r="AO30" s="73">
        <v>45957.0</v>
      </c>
      <c r="AP30" s="67" t="s">
        <v>84</v>
      </c>
      <c r="AQ30" s="73">
        <v>2.0</v>
      </c>
      <c r="AR30" s="73">
        <v>46003.0</v>
      </c>
      <c r="AS30" s="73">
        <f>' En tramite 23-26'!$AI30+45</f>
        <v>46002</v>
      </c>
      <c r="AT30" s="67" t="s">
        <v>85</v>
      </c>
      <c r="AU30" s="67" t="s">
        <v>84</v>
      </c>
      <c r="AV30" s="67">
        <v>2.0</v>
      </c>
      <c r="AW30" s="73">
        <v>46049.0</v>
      </c>
      <c r="AX30" s="67" t="s">
        <v>86</v>
      </c>
      <c r="AY30" s="67" t="s">
        <v>84</v>
      </c>
      <c r="AZ30" s="67">
        <v>2.0</v>
      </c>
      <c r="BA30" s="73">
        <v>46049.0</v>
      </c>
      <c r="BB30" s="67" t="s">
        <v>84</v>
      </c>
      <c r="BC30" s="67">
        <v>2.0</v>
      </c>
      <c r="BD30" s="73">
        <v>46049.0</v>
      </c>
      <c r="BE30" s="67">
        <f>DAY(' En tramite 23-26'!$BD30)</f>
        <v>27</v>
      </c>
      <c r="BF30" s="73" t="str">
        <f>TEXT(' En tramite 23-26'!$BD30,"mmmm")</f>
        <v>enero</v>
      </c>
      <c r="BG30" s="67">
        <f>YEAR(' En tramite 23-26'!$BD30)</f>
        <v>2026</v>
      </c>
      <c r="BH30" s="77"/>
      <c r="BI30" s="78"/>
      <c r="BJ30" s="78" t="s">
        <v>274</v>
      </c>
      <c r="BK30" s="79" t="s">
        <v>275</v>
      </c>
      <c r="BL30" s="84"/>
      <c r="BM30" s="85"/>
    </row>
    <row r="31" ht="16.5" customHeight="1">
      <c r="A31" s="11" t="s">
        <v>323</v>
      </c>
      <c r="B31" s="34" t="s">
        <v>276</v>
      </c>
      <c r="C31" s="13" t="s">
        <v>324</v>
      </c>
      <c r="D31" s="18" t="s">
        <v>325</v>
      </c>
      <c r="E31" s="15" t="s">
        <v>326</v>
      </c>
      <c r="F31" s="16" t="s">
        <v>327</v>
      </c>
      <c r="G31" s="16">
        <v>4.425995199E9</v>
      </c>
      <c r="H31" s="17" t="s">
        <v>328</v>
      </c>
      <c r="I31" s="18" t="s">
        <v>319</v>
      </c>
      <c r="J31" s="18" t="s">
        <v>73</v>
      </c>
      <c r="K31" s="18" t="s">
        <v>155</v>
      </c>
      <c r="L31" s="19" t="s">
        <v>75</v>
      </c>
      <c r="M31" s="14" t="s">
        <v>14</v>
      </c>
      <c r="N31" s="14" t="s">
        <v>320</v>
      </c>
      <c r="O31" s="18" t="s">
        <v>211</v>
      </c>
      <c r="P31" s="20" t="s">
        <v>78</v>
      </c>
      <c r="Q31" s="20">
        <v>4.428639853E9</v>
      </c>
      <c r="R31" s="20" t="s">
        <v>321</v>
      </c>
      <c r="S31" s="35" t="s">
        <v>322</v>
      </c>
      <c r="T31" s="22" t="s">
        <v>81</v>
      </c>
      <c r="U31" s="21" t="s">
        <v>100</v>
      </c>
      <c r="V31" s="23">
        <v>1.0</v>
      </c>
      <c r="W31" s="82" t="s">
        <v>83</v>
      </c>
      <c r="X31" s="20" t="s">
        <v>84</v>
      </c>
      <c r="Y31" s="24">
        <v>2.0</v>
      </c>
      <c r="Z31" s="25">
        <v>45954.0</v>
      </c>
      <c r="AA31" s="20">
        <f>DAY(Tabla1[F. INICIO])</f>
        <v>24</v>
      </c>
      <c r="AB31" s="26" t="str">
        <f>TEXT(' En tramite 23-26'!$Z31,"mmmm")</f>
        <v>octubre</v>
      </c>
      <c r="AC31" s="20">
        <f>YEAR(' En tramite 23-26'!$Z31)</f>
        <v>2025</v>
      </c>
      <c r="AD31" s="20" t="s">
        <v>84</v>
      </c>
      <c r="AE31" s="24">
        <v>2.0</v>
      </c>
      <c r="AF31" s="24">
        <v>45954.0</v>
      </c>
      <c r="AG31" s="20" t="s">
        <v>84</v>
      </c>
      <c r="AH31" s="24">
        <v>2.0</v>
      </c>
      <c r="AI31" s="24">
        <v>45957.0</v>
      </c>
      <c r="AJ31" s="20">
        <f>DAY(' En tramite 23-26'!$AI31)</f>
        <v>27</v>
      </c>
      <c r="AK31" s="20" t="str">
        <f>TEXT(' En tramite 23-26'!$AI31,"mmmm")</f>
        <v>octubre</v>
      </c>
      <c r="AL31" s="20">
        <f>YEAR(' En tramite 23-26'!$Z31)</f>
        <v>2025</v>
      </c>
      <c r="AM31" s="20" t="s">
        <v>84</v>
      </c>
      <c r="AN31" s="24">
        <v>2.0</v>
      </c>
      <c r="AO31" s="24">
        <v>46322.0</v>
      </c>
      <c r="AP31" s="20" t="s">
        <v>84</v>
      </c>
      <c r="AQ31" s="24">
        <v>2.0</v>
      </c>
      <c r="AR31" s="24">
        <v>46003.0</v>
      </c>
      <c r="AS31" s="24">
        <f>' En tramite 23-26'!$AI31+45</f>
        <v>46002</v>
      </c>
      <c r="AT31" s="20" t="s">
        <v>85</v>
      </c>
      <c r="AU31" s="20" t="s">
        <v>84</v>
      </c>
      <c r="AV31" s="20">
        <v>2.0</v>
      </c>
      <c r="AW31" s="24">
        <v>46049.0</v>
      </c>
      <c r="AX31" s="20" t="s">
        <v>86</v>
      </c>
      <c r="AY31" s="20" t="s">
        <v>84</v>
      </c>
      <c r="AZ31" s="20">
        <v>2.0</v>
      </c>
      <c r="BA31" s="24">
        <v>46049.0</v>
      </c>
      <c r="BB31" s="20" t="s">
        <v>84</v>
      </c>
      <c r="BC31" s="20">
        <v>2.0</v>
      </c>
      <c r="BD31" s="24">
        <v>46049.0</v>
      </c>
      <c r="BE31" s="20">
        <f>DAY(' En tramite 23-26'!$BD31)</f>
        <v>27</v>
      </c>
      <c r="BF31" s="24" t="str">
        <f>TEXT(' En tramite 23-26'!$BD31,"mmmm")</f>
        <v>enero</v>
      </c>
      <c r="BG31" s="20">
        <f>YEAR(' En tramite 23-26'!$BD31)</f>
        <v>2026</v>
      </c>
      <c r="BH31" s="29">
        <v>1.0</v>
      </c>
      <c r="BI31" s="26" t="s">
        <v>285</v>
      </c>
      <c r="BJ31" s="30" t="s">
        <v>88</v>
      </c>
      <c r="BK31" s="31" t="s">
        <v>89</v>
      </c>
      <c r="BL31" s="32"/>
      <c r="BM31" s="33"/>
    </row>
    <row r="32" ht="16.5" customHeight="1">
      <c r="A32" s="11" t="s">
        <v>329</v>
      </c>
      <c r="B32" s="34" t="s">
        <v>286</v>
      </c>
      <c r="C32" s="13" t="s">
        <v>330</v>
      </c>
      <c r="D32" s="18" t="s">
        <v>331</v>
      </c>
      <c r="E32" s="15" t="s">
        <v>332</v>
      </c>
      <c r="F32" s="16" t="s">
        <v>333</v>
      </c>
      <c r="G32" s="16">
        <v>4.426560152E9</v>
      </c>
      <c r="H32" s="17" t="s">
        <v>334</v>
      </c>
      <c r="I32" s="18" t="s">
        <v>154</v>
      </c>
      <c r="J32" s="18" t="s">
        <v>109</v>
      </c>
      <c r="K32" s="18" t="s">
        <v>155</v>
      </c>
      <c r="L32" s="19" t="s">
        <v>75</v>
      </c>
      <c r="M32" s="14" t="s">
        <v>14</v>
      </c>
      <c r="N32" s="18" t="s">
        <v>335</v>
      </c>
      <c r="O32" s="18" t="s">
        <v>211</v>
      </c>
      <c r="P32" s="20" t="s">
        <v>78</v>
      </c>
      <c r="Q32" s="20">
        <v>4.426560152E9</v>
      </c>
      <c r="R32" s="20" t="s">
        <v>336</v>
      </c>
      <c r="S32" s="17" t="s">
        <v>337</v>
      </c>
      <c r="T32" s="22" t="s">
        <v>81</v>
      </c>
      <c r="U32" s="21" t="s">
        <v>100</v>
      </c>
      <c r="V32" s="23">
        <v>2.0</v>
      </c>
      <c r="W32" s="60">
        <v>10000.0</v>
      </c>
      <c r="X32" s="20" t="s">
        <v>84</v>
      </c>
      <c r="Y32" s="24">
        <v>2.0</v>
      </c>
      <c r="Z32" s="25">
        <v>45951.0</v>
      </c>
      <c r="AA32" s="20">
        <f>DAY(Tabla1[F. INICIO])</f>
        <v>21</v>
      </c>
      <c r="AB32" s="26" t="str">
        <f>TEXT(' En tramite 23-26'!$Z32,"mmmm")</f>
        <v>octubre</v>
      </c>
      <c r="AC32" s="20">
        <f>YEAR(' En tramite 23-26'!$Z32)</f>
        <v>2025</v>
      </c>
      <c r="AD32" s="20" t="s">
        <v>84</v>
      </c>
      <c r="AE32" s="24">
        <v>2.0</v>
      </c>
      <c r="AF32" s="24">
        <v>45958.0</v>
      </c>
      <c r="AG32" s="20" t="s">
        <v>84</v>
      </c>
      <c r="AH32" s="24">
        <v>2.0</v>
      </c>
      <c r="AI32" s="24">
        <v>45964.0</v>
      </c>
      <c r="AJ32" s="20">
        <f>DAY(' En tramite 23-26'!$AI32)</f>
        <v>3</v>
      </c>
      <c r="AK32" s="20" t="str">
        <f>TEXT(' En tramite 23-26'!$AI32,"mmmm")</f>
        <v>noviembre</v>
      </c>
      <c r="AL32" s="20">
        <f>YEAR(' En tramite 23-26'!$Z32)</f>
        <v>2025</v>
      </c>
      <c r="AM32" s="20" t="s">
        <v>84</v>
      </c>
      <c r="AN32" s="24">
        <v>2.0</v>
      </c>
      <c r="AO32" s="24">
        <v>45964.0</v>
      </c>
      <c r="AP32" s="20" t="s">
        <v>84</v>
      </c>
      <c r="AQ32" s="24">
        <v>2.0</v>
      </c>
      <c r="AR32" s="24">
        <v>46368.0</v>
      </c>
      <c r="AS32" s="24">
        <f>' En tramite 23-26'!$AI32+45</f>
        <v>46009</v>
      </c>
      <c r="AT32" s="20" t="s">
        <v>85</v>
      </c>
      <c r="AU32" s="20" t="s">
        <v>84</v>
      </c>
      <c r="AV32" s="20">
        <v>2.0</v>
      </c>
      <c r="AW32" s="24">
        <v>46076.0</v>
      </c>
      <c r="AX32" s="20" t="s">
        <v>86</v>
      </c>
      <c r="AY32" s="20" t="s">
        <v>84</v>
      </c>
      <c r="AZ32" s="20">
        <v>2.0</v>
      </c>
      <c r="BA32" s="24">
        <v>46076.0</v>
      </c>
      <c r="BB32" s="20" t="s">
        <v>84</v>
      </c>
      <c r="BC32" s="28">
        <v>2.0</v>
      </c>
      <c r="BD32" s="24">
        <v>46076.0</v>
      </c>
      <c r="BE32" s="20">
        <f>DAY(' En tramite 23-26'!$BD32)</f>
        <v>23</v>
      </c>
      <c r="BF32" s="24" t="str">
        <f>TEXT(' En tramite 23-26'!$BD32,"mmmm")</f>
        <v>febrero</v>
      </c>
      <c r="BG32" s="20">
        <f>YEAR(' En tramite 23-26'!$BD32)</f>
        <v>2026</v>
      </c>
      <c r="BH32" s="29">
        <v>1.0</v>
      </c>
      <c r="BI32" s="14" t="s">
        <v>338</v>
      </c>
      <c r="BJ32" s="30" t="s">
        <v>88</v>
      </c>
      <c r="BK32" s="31" t="s">
        <v>89</v>
      </c>
      <c r="BL32" s="32">
        <v>46212.0</v>
      </c>
      <c r="BM32" s="33">
        <v>2.0</v>
      </c>
    </row>
    <row r="33" ht="16.5" customHeight="1">
      <c r="A33" s="11" t="s">
        <v>339</v>
      </c>
      <c r="B33" s="34" t="s">
        <v>295</v>
      </c>
      <c r="C33" s="13" t="s">
        <v>340</v>
      </c>
      <c r="D33" s="18" t="s">
        <v>341</v>
      </c>
      <c r="E33" s="15" t="s">
        <v>342</v>
      </c>
      <c r="F33" s="16" t="s">
        <v>343</v>
      </c>
      <c r="G33" s="16">
        <v>4.461140433E9</v>
      </c>
      <c r="H33" s="17" t="s">
        <v>344</v>
      </c>
      <c r="I33" s="18" t="s">
        <v>345</v>
      </c>
      <c r="J33" s="18" t="s">
        <v>73</v>
      </c>
      <c r="K33" s="18" t="s">
        <v>74</v>
      </c>
      <c r="L33" s="19" t="s">
        <v>75</v>
      </c>
      <c r="M33" s="14" t="s">
        <v>14</v>
      </c>
      <c r="N33" s="14" t="s">
        <v>346</v>
      </c>
      <c r="O33" s="18"/>
      <c r="P33" s="20" t="s">
        <v>78</v>
      </c>
      <c r="Q33" s="20">
        <v>4.422281206E9</v>
      </c>
      <c r="R33" s="20" t="s">
        <v>347</v>
      </c>
      <c r="S33" s="17" t="s">
        <v>348</v>
      </c>
      <c r="T33" s="22" t="s">
        <v>81</v>
      </c>
      <c r="U33" s="21" t="s">
        <v>82</v>
      </c>
      <c r="V33" s="23">
        <v>1.0</v>
      </c>
      <c r="W33" s="82" t="s">
        <v>83</v>
      </c>
      <c r="X33" s="20" t="s">
        <v>84</v>
      </c>
      <c r="Y33" s="24">
        <v>2.0</v>
      </c>
      <c r="Z33" s="25">
        <v>45957.0</v>
      </c>
      <c r="AA33" s="20">
        <f>DAY(Tabla1[F. INICIO])</f>
        <v>27</v>
      </c>
      <c r="AB33" s="26" t="str">
        <f>TEXT(' En tramite 23-26'!$Z33,"mmmm")</f>
        <v>octubre</v>
      </c>
      <c r="AC33" s="20">
        <f>YEAR(' En tramite 23-26'!$Z33)</f>
        <v>2025</v>
      </c>
      <c r="AD33" s="20" t="s">
        <v>84</v>
      </c>
      <c r="AE33" s="24">
        <v>2.0</v>
      </c>
      <c r="AF33" s="24">
        <v>45957.0</v>
      </c>
      <c r="AG33" s="20" t="s">
        <v>84</v>
      </c>
      <c r="AH33" s="24">
        <v>2.0</v>
      </c>
      <c r="AI33" s="24">
        <v>45964.0</v>
      </c>
      <c r="AJ33" s="20">
        <f>DAY(' En tramite 23-26'!$AI33)</f>
        <v>3</v>
      </c>
      <c r="AK33" s="20" t="str">
        <f>TEXT(' En tramite 23-26'!$AI33,"mmmm")</f>
        <v>noviembre</v>
      </c>
      <c r="AL33" s="20">
        <f>YEAR(' En tramite 23-26'!$Z33)</f>
        <v>2025</v>
      </c>
      <c r="AM33" s="20" t="s">
        <v>84</v>
      </c>
      <c r="AN33" s="24">
        <v>2.0</v>
      </c>
      <c r="AO33" s="24">
        <v>45964.0</v>
      </c>
      <c r="AP33" s="20" t="s">
        <v>84</v>
      </c>
      <c r="AQ33" s="24">
        <v>2.0</v>
      </c>
      <c r="AR33" s="24">
        <v>46009.0</v>
      </c>
      <c r="AS33" s="24">
        <f>' En tramite 23-26'!$AI33+45</f>
        <v>46009</v>
      </c>
      <c r="AT33" s="20" t="s">
        <v>85</v>
      </c>
      <c r="AU33" s="20" t="s">
        <v>84</v>
      </c>
      <c r="AV33" s="20">
        <v>2.0</v>
      </c>
      <c r="AW33" s="24">
        <v>46056.0</v>
      </c>
      <c r="AX33" s="20" t="s">
        <v>86</v>
      </c>
      <c r="AY33" s="20" t="s">
        <v>84</v>
      </c>
      <c r="AZ33" s="20">
        <v>2.0</v>
      </c>
      <c r="BA33" s="24">
        <v>46056.0</v>
      </c>
      <c r="BB33" s="20" t="s">
        <v>84</v>
      </c>
      <c r="BC33" s="28">
        <v>2.0</v>
      </c>
      <c r="BD33" s="24">
        <v>46056.0</v>
      </c>
      <c r="BE33" s="20">
        <f>DAY(' En tramite 23-26'!$BD33)</f>
        <v>3</v>
      </c>
      <c r="BF33" s="24" t="str">
        <f>TEXT(' En tramite 23-26'!$BD33,"mmmm")</f>
        <v>febrero</v>
      </c>
      <c r="BG33" s="20">
        <f>YEAR(' En tramite 23-26'!$BD33)</f>
        <v>2026</v>
      </c>
      <c r="BH33" s="29">
        <v>1.0</v>
      </c>
      <c r="BI33" s="26" t="s">
        <v>285</v>
      </c>
      <c r="BJ33" s="30" t="s">
        <v>88</v>
      </c>
      <c r="BK33" s="31" t="s">
        <v>89</v>
      </c>
      <c r="BL33" s="32">
        <v>46211.0</v>
      </c>
      <c r="BM33" s="33">
        <v>2.0</v>
      </c>
    </row>
    <row r="34" ht="16.5" customHeight="1">
      <c r="A34" s="11" t="s">
        <v>349</v>
      </c>
      <c r="B34" s="34" t="s">
        <v>305</v>
      </c>
      <c r="C34" s="13" t="s">
        <v>350</v>
      </c>
      <c r="D34" s="18" t="s">
        <v>351</v>
      </c>
      <c r="E34" s="15" t="s">
        <v>352</v>
      </c>
      <c r="F34" s="16" t="s">
        <v>353</v>
      </c>
      <c r="G34" s="16">
        <v>4.427535657E9</v>
      </c>
      <c r="H34" s="17" t="s">
        <v>354</v>
      </c>
      <c r="I34" s="18" t="s">
        <v>108</v>
      </c>
      <c r="J34" s="18" t="s">
        <v>109</v>
      </c>
      <c r="K34" s="18" t="s">
        <v>110</v>
      </c>
      <c r="L34" s="19" t="s">
        <v>75</v>
      </c>
      <c r="M34" s="14" t="s">
        <v>111</v>
      </c>
      <c r="N34" s="18" t="s">
        <v>355</v>
      </c>
      <c r="O34" s="18" t="s">
        <v>97</v>
      </c>
      <c r="P34" s="20" t="s">
        <v>111</v>
      </c>
      <c r="Q34" s="20">
        <v>4.421477241E9</v>
      </c>
      <c r="R34" s="18" t="s">
        <v>98</v>
      </c>
      <c r="S34" s="35" t="s">
        <v>114</v>
      </c>
      <c r="T34" s="22" t="s">
        <v>81</v>
      </c>
      <c r="U34" s="21" t="s">
        <v>100</v>
      </c>
      <c r="V34" s="23">
        <v>1.0</v>
      </c>
      <c r="W34" s="20" t="s">
        <v>83</v>
      </c>
      <c r="X34" s="20" t="s">
        <v>84</v>
      </c>
      <c r="Y34" s="24">
        <v>2.0</v>
      </c>
      <c r="Z34" s="25">
        <v>45930.0</v>
      </c>
      <c r="AA34" s="20">
        <f>DAY(Tabla1[F. INICIO])</f>
        <v>30</v>
      </c>
      <c r="AB34" s="26" t="str">
        <f>TEXT(' En tramite 23-26'!$Z34,"mmmm")</f>
        <v>septiembre</v>
      </c>
      <c r="AC34" s="20">
        <f>YEAR(' En tramite 23-26'!$Z34)</f>
        <v>2025</v>
      </c>
      <c r="AD34" s="20" t="s">
        <v>84</v>
      </c>
      <c r="AE34" s="24">
        <v>2.0</v>
      </c>
      <c r="AF34" s="24">
        <v>45930.0</v>
      </c>
      <c r="AG34" s="20" t="s">
        <v>84</v>
      </c>
      <c r="AH34" s="24">
        <v>2.0</v>
      </c>
      <c r="AI34" s="24">
        <v>45930.0</v>
      </c>
      <c r="AJ34" s="20">
        <f>DAY(' En tramite 23-26'!$AI34)</f>
        <v>30</v>
      </c>
      <c r="AK34" s="20" t="str">
        <f>TEXT(' En tramite 23-26'!$AI34,"mmmm")</f>
        <v>septiembre</v>
      </c>
      <c r="AL34" s="20">
        <f>YEAR(' En tramite 23-26'!$Z34)</f>
        <v>2025</v>
      </c>
      <c r="AM34" s="20" t="s">
        <v>84</v>
      </c>
      <c r="AN34" s="24">
        <v>2.0</v>
      </c>
      <c r="AO34" s="24">
        <v>45930.0</v>
      </c>
      <c r="AP34" s="20" t="s">
        <v>84</v>
      </c>
      <c r="AQ34" s="24">
        <v>2.0</v>
      </c>
      <c r="AR34" s="24">
        <v>45975.0</v>
      </c>
      <c r="AS34" s="24">
        <f>' En tramite 23-26'!$AI34+45</f>
        <v>45975</v>
      </c>
      <c r="AT34" s="20" t="s">
        <v>85</v>
      </c>
      <c r="AU34" s="20" t="s">
        <v>84</v>
      </c>
      <c r="AV34" s="20">
        <v>2.0</v>
      </c>
      <c r="AW34" s="24">
        <v>46083.0</v>
      </c>
      <c r="AX34" s="20" t="s">
        <v>86</v>
      </c>
      <c r="AY34" s="20" t="s">
        <v>84</v>
      </c>
      <c r="AZ34" s="20">
        <v>2.0</v>
      </c>
      <c r="BA34" s="24">
        <v>46083.0</v>
      </c>
      <c r="BB34" s="20" t="s">
        <v>84</v>
      </c>
      <c r="BC34" s="28">
        <v>2.0</v>
      </c>
      <c r="BD34" s="24">
        <v>46083.0</v>
      </c>
      <c r="BE34" s="20">
        <f>DAY(' En tramite 23-26'!$BD34)</f>
        <v>2</v>
      </c>
      <c r="BF34" s="24" t="str">
        <f>TEXT(' En tramite 23-26'!$BD34,"mmmm")</f>
        <v>marzo</v>
      </c>
      <c r="BG34" s="20">
        <f>YEAR(' En tramite 23-26'!$BD34)</f>
        <v>2026</v>
      </c>
      <c r="BH34" s="29">
        <v>1.0</v>
      </c>
      <c r="BI34" s="26" t="s">
        <v>356</v>
      </c>
      <c r="BJ34" s="30" t="s">
        <v>88</v>
      </c>
      <c r="BK34" s="31" t="s">
        <v>89</v>
      </c>
      <c r="BL34" s="32">
        <v>46210.0</v>
      </c>
      <c r="BM34" s="33">
        <v>2.0</v>
      </c>
    </row>
    <row r="35" ht="16.5" customHeight="1">
      <c r="A35" s="11" t="s">
        <v>357</v>
      </c>
      <c r="B35" s="34" t="s">
        <v>314</v>
      </c>
      <c r="C35" s="13" t="s">
        <v>358</v>
      </c>
      <c r="D35" s="18" t="s">
        <v>359</v>
      </c>
      <c r="E35" s="15" t="s">
        <v>360</v>
      </c>
      <c r="F35" s="16" t="s">
        <v>361</v>
      </c>
      <c r="G35" s="16" t="s">
        <v>83</v>
      </c>
      <c r="H35" s="17" t="s">
        <v>362</v>
      </c>
      <c r="I35" s="18" t="s">
        <v>108</v>
      </c>
      <c r="J35" s="18" t="s">
        <v>109</v>
      </c>
      <c r="K35" s="18" t="s">
        <v>110</v>
      </c>
      <c r="L35" s="19" t="s">
        <v>75</v>
      </c>
      <c r="M35" s="14" t="s">
        <v>14</v>
      </c>
      <c r="N35" s="18" t="s">
        <v>363</v>
      </c>
      <c r="O35" s="18" t="s">
        <v>211</v>
      </c>
      <c r="P35" s="20" t="s">
        <v>78</v>
      </c>
      <c r="Q35" s="20">
        <v>4.421425696E9</v>
      </c>
      <c r="R35" s="20" t="s">
        <v>364</v>
      </c>
      <c r="S35" s="35" t="s">
        <v>365</v>
      </c>
      <c r="T35" s="22" t="s">
        <v>81</v>
      </c>
      <c r="U35" s="21" t="s">
        <v>100</v>
      </c>
      <c r="V35" s="23">
        <v>1.0</v>
      </c>
      <c r="W35" s="82" t="s">
        <v>83</v>
      </c>
      <c r="X35" s="20" t="s">
        <v>84</v>
      </c>
      <c r="Y35" s="24">
        <v>2.0</v>
      </c>
      <c r="Z35" s="25">
        <v>45911.0</v>
      </c>
      <c r="AA35" s="20">
        <f>DAY(Tabla1[F. INICIO])</f>
        <v>11</v>
      </c>
      <c r="AB35" s="26" t="str">
        <f>TEXT(' En tramite 23-26'!$Z35,"mmmm")</f>
        <v>septiembre</v>
      </c>
      <c r="AC35" s="20">
        <f>YEAR(' En tramite 23-26'!$Z35)</f>
        <v>2025</v>
      </c>
      <c r="AD35" s="20" t="s">
        <v>84</v>
      </c>
      <c r="AE35" s="24">
        <v>2.0</v>
      </c>
      <c r="AF35" s="24">
        <v>45958.0</v>
      </c>
      <c r="AG35" s="20" t="s">
        <v>84</v>
      </c>
      <c r="AH35" s="24">
        <v>2.0</v>
      </c>
      <c r="AI35" s="24">
        <v>45958.0</v>
      </c>
      <c r="AJ35" s="20">
        <f>DAY(' En tramite 23-26'!$AI35)</f>
        <v>28</v>
      </c>
      <c r="AK35" s="20" t="str">
        <f>TEXT(' En tramite 23-26'!$AI35,"mmmm")</f>
        <v>octubre</v>
      </c>
      <c r="AL35" s="20">
        <f>YEAR(' En tramite 23-26'!$Z35)</f>
        <v>2025</v>
      </c>
      <c r="AM35" s="20" t="s">
        <v>84</v>
      </c>
      <c r="AN35" s="24">
        <v>2.0</v>
      </c>
      <c r="AO35" s="24">
        <v>45958.0</v>
      </c>
      <c r="AP35" s="20" t="s">
        <v>84</v>
      </c>
      <c r="AQ35" s="24">
        <v>2.0</v>
      </c>
      <c r="AR35" s="24">
        <v>46006.0</v>
      </c>
      <c r="AS35" s="24">
        <f>' En tramite 23-26'!$AI35+45</f>
        <v>46003</v>
      </c>
      <c r="AT35" s="20" t="s">
        <v>85</v>
      </c>
      <c r="AU35" s="20" t="s">
        <v>84</v>
      </c>
      <c r="AV35" s="20">
        <v>2.0</v>
      </c>
      <c r="AW35" s="24">
        <f>' En tramite 23-26'!$AS35+45</f>
        <v>46048</v>
      </c>
      <c r="AX35" s="20" t="s">
        <v>86</v>
      </c>
      <c r="AY35" s="20" t="s">
        <v>84</v>
      </c>
      <c r="AZ35" s="20">
        <v>2.0</v>
      </c>
      <c r="BA35" s="24">
        <v>46048.0</v>
      </c>
      <c r="BB35" s="20" t="s">
        <v>84</v>
      </c>
      <c r="BC35" s="28">
        <v>2.0</v>
      </c>
      <c r="BD35" s="24">
        <v>46048.0</v>
      </c>
      <c r="BE35" s="20">
        <f>DAY(' En tramite 23-26'!$BD35)</f>
        <v>26</v>
      </c>
      <c r="BF35" s="24" t="str">
        <f>TEXT(' En tramite 23-26'!$BD35,"mmmm")</f>
        <v>enero</v>
      </c>
      <c r="BG35" s="20">
        <f>YEAR(' En tramite 23-26'!$BD35)</f>
        <v>2026</v>
      </c>
      <c r="BH35" s="29">
        <v>1.0</v>
      </c>
      <c r="BI35" s="26" t="s">
        <v>115</v>
      </c>
      <c r="BJ35" s="30" t="s">
        <v>88</v>
      </c>
      <c r="BK35" s="31" t="s">
        <v>89</v>
      </c>
      <c r="BL35" s="32">
        <v>46213.0</v>
      </c>
      <c r="BM35" s="33">
        <v>2.0</v>
      </c>
    </row>
    <row r="36" ht="16.5" customHeight="1">
      <c r="A36" s="11" t="s">
        <v>366</v>
      </c>
      <c r="B36" s="34" t="s">
        <v>323</v>
      </c>
      <c r="C36" s="13" t="s">
        <v>367</v>
      </c>
      <c r="D36" s="18" t="s">
        <v>368</v>
      </c>
      <c r="E36" s="15" t="s">
        <v>369</v>
      </c>
      <c r="F36" s="16" t="s">
        <v>370</v>
      </c>
      <c r="G36" s="16">
        <v>4.424539493E9</v>
      </c>
      <c r="H36" s="17" t="s">
        <v>371</v>
      </c>
      <c r="I36" s="18" t="s">
        <v>128</v>
      </c>
      <c r="J36" s="18" t="s">
        <v>109</v>
      </c>
      <c r="K36" s="18" t="s">
        <v>129</v>
      </c>
      <c r="L36" s="19" t="s">
        <v>75</v>
      </c>
      <c r="M36" s="14" t="s">
        <v>14</v>
      </c>
      <c r="N36" s="18" t="s">
        <v>372</v>
      </c>
      <c r="O36" s="18" t="s">
        <v>131</v>
      </c>
      <c r="P36" s="20" t="s">
        <v>78</v>
      </c>
      <c r="Q36" s="20">
        <v>4.422240626E9</v>
      </c>
      <c r="R36" s="20" t="s">
        <v>373</v>
      </c>
      <c r="S36" s="35" t="s">
        <v>374</v>
      </c>
      <c r="T36" s="22" t="s">
        <v>81</v>
      </c>
      <c r="U36" s="21" t="s">
        <v>82</v>
      </c>
      <c r="V36" s="23">
        <v>2.0</v>
      </c>
      <c r="W36" s="60">
        <v>1200.0</v>
      </c>
      <c r="X36" s="20" t="s">
        <v>375</v>
      </c>
      <c r="Y36" s="24">
        <v>2.0</v>
      </c>
      <c r="Z36" s="25">
        <v>45965.0</v>
      </c>
      <c r="AA36" s="20">
        <f>DAY(Tabla1[F. INICIO])</f>
        <v>4</v>
      </c>
      <c r="AB36" s="26" t="str">
        <f>TEXT(' En tramite 23-26'!$Z36,"mmmm")</f>
        <v>noviembre</v>
      </c>
      <c r="AC36" s="20">
        <f>YEAR(' En tramite 23-26'!$Z36)</f>
        <v>2025</v>
      </c>
      <c r="AD36" s="20" t="s">
        <v>84</v>
      </c>
      <c r="AE36" s="24">
        <v>2.0</v>
      </c>
      <c r="AF36" s="24">
        <v>45965.0</v>
      </c>
      <c r="AG36" s="20" t="s">
        <v>84</v>
      </c>
      <c r="AH36" s="24">
        <v>2.0</v>
      </c>
      <c r="AI36" s="24">
        <v>45964.0</v>
      </c>
      <c r="AJ36" s="20">
        <f>DAY(' En tramite 23-26'!$AI36)</f>
        <v>3</v>
      </c>
      <c r="AK36" s="20" t="str">
        <f>TEXT(' En tramite 23-26'!$AI36,"mmmm")</f>
        <v>noviembre</v>
      </c>
      <c r="AL36" s="20">
        <f>YEAR(' En tramite 23-26'!$Z36)</f>
        <v>2025</v>
      </c>
      <c r="AM36" s="20" t="s">
        <v>84</v>
      </c>
      <c r="AN36" s="24">
        <v>2.0</v>
      </c>
      <c r="AO36" s="24">
        <v>45964.0</v>
      </c>
      <c r="AP36" s="20" t="s">
        <v>84</v>
      </c>
      <c r="AQ36" s="24">
        <v>2.0</v>
      </c>
      <c r="AR36" s="24">
        <v>46034.0</v>
      </c>
      <c r="AS36" s="24">
        <f>' En tramite 23-26'!$AI36+45</f>
        <v>46009</v>
      </c>
      <c r="AT36" s="20" t="s">
        <v>85</v>
      </c>
      <c r="AU36" s="20" t="s">
        <v>84</v>
      </c>
      <c r="AV36" s="20">
        <v>2.0</v>
      </c>
      <c r="AW36" s="24">
        <v>46079.0</v>
      </c>
      <c r="AX36" s="20" t="s">
        <v>86</v>
      </c>
      <c r="AY36" s="20" t="s">
        <v>84</v>
      </c>
      <c r="AZ36" s="20">
        <v>2.0</v>
      </c>
      <c r="BA36" s="24">
        <v>46101.0</v>
      </c>
      <c r="BB36" s="20" t="s">
        <v>84</v>
      </c>
      <c r="BC36" s="28">
        <v>2.0</v>
      </c>
      <c r="BD36" s="24">
        <v>46079.0</v>
      </c>
      <c r="BE36" s="20">
        <f>DAY(' En tramite 23-26'!$BD36)</f>
        <v>26</v>
      </c>
      <c r="BF36" s="24" t="str">
        <f>TEXT(' En tramite 23-26'!$BD36,"mmmm")</f>
        <v>febrero</v>
      </c>
      <c r="BG36" s="20">
        <f>YEAR(' En tramite 23-26'!$BD36)</f>
        <v>2026</v>
      </c>
      <c r="BH36" s="29">
        <v>1.0</v>
      </c>
      <c r="BI36" s="26" t="s">
        <v>376</v>
      </c>
      <c r="BJ36" s="30" t="s">
        <v>88</v>
      </c>
      <c r="BK36" s="31" t="s">
        <v>89</v>
      </c>
      <c r="BL36" s="32">
        <v>46211.0</v>
      </c>
      <c r="BM36" s="33">
        <v>2.0</v>
      </c>
    </row>
    <row r="37" ht="16.5" customHeight="1">
      <c r="A37" s="11" t="s">
        <v>377</v>
      </c>
      <c r="B37" s="34" t="s">
        <v>329</v>
      </c>
      <c r="C37" s="13" t="s">
        <v>378</v>
      </c>
      <c r="D37" s="18" t="s">
        <v>379</v>
      </c>
      <c r="E37" s="15" t="s">
        <v>380</v>
      </c>
      <c r="F37" s="16" t="s">
        <v>381</v>
      </c>
      <c r="G37" s="16">
        <v>4.426072565E9</v>
      </c>
      <c r="H37" s="17" t="s">
        <v>382</v>
      </c>
      <c r="I37" s="18" t="s">
        <v>128</v>
      </c>
      <c r="J37" s="18" t="s">
        <v>109</v>
      </c>
      <c r="K37" s="18" t="s">
        <v>129</v>
      </c>
      <c r="L37" s="19" t="s">
        <v>75</v>
      </c>
      <c r="M37" s="14" t="s">
        <v>14</v>
      </c>
      <c r="N37" s="18" t="s">
        <v>372</v>
      </c>
      <c r="O37" s="18" t="s">
        <v>131</v>
      </c>
      <c r="P37" s="20" t="s">
        <v>78</v>
      </c>
      <c r="Q37" s="20">
        <v>4.422240626E9</v>
      </c>
      <c r="R37" s="20" t="s">
        <v>373</v>
      </c>
      <c r="S37" s="35" t="s">
        <v>374</v>
      </c>
      <c r="T37" s="22" t="s">
        <v>81</v>
      </c>
      <c r="U37" s="21" t="s">
        <v>100</v>
      </c>
      <c r="V37" s="23">
        <v>2.0</v>
      </c>
      <c r="W37" s="60">
        <v>1200.0</v>
      </c>
      <c r="X37" s="20" t="s">
        <v>375</v>
      </c>
      <c r="Y37" s="24">
        <v>2.0</v>
      </c>
      <c r="Z37" s="25">
        <v>45965.0</v>
      </c>
      <c r="AA37" s="20">
        <f>DAY(Tabla1[F. INICIO])</f>
        <v>4</v>
      </c>
      <c r="AB37" s="26" t="str">
        <f>TEXT(' En tramite 23-26'!$Z37,"mmmm")</f>
        <v>noviembre</v>
      </c>
      <c r="AC37" s="20">
        <f>YEAR(' En tramite 23-26'!$Z37)</f>
        <v>2025</v>
      </c>
      <c r="AD37" s="20" t="s">
        <v>84</v>
      </c>
      <c r="AE37" s="24">
        <v>2.0</v>
      </c>
      <c r="AF37" s="24">
        <v>45965.0</v>
      </c>
      <c r="AG37" s="20" t="s">
        <v>84</v>
      </c>
      <c r="AH37" s="24">
        <v>2.0</v>
      </c>
      <c r="AI37" s="24">
        <v>45964.0</v>
      </c>
      <c r="AJ37" s="20">
        <f>DAY(' En tramite 23-26'!$AI37)</f>
        <v>3</v>
      </c>
      <c r="AK37" s="20" t="str">
        <f>TEXT(' En tramite 23-26'!$AI37,"mmmm")</f>
        <v>noviembre</v>
      </c>
      <c r="AL37" s="20">
        <f>YEAR(' En tramite 23-26'!$Z37)</f>
        <v>2025</v>
      </c>
      <c r="AM37" s="20" t="s">
        <v>84</v>
      </c>
      <c r="AN37" s="24">
        <v>2.0</v>
      </c>
      <c r="AO37" s="24">
        <v>45964.0</v>
      </c>
      <c r="AP37" s="20" t="s">
        <v>84</v>
      </c>
      <c r="AQ37" s="24">
        <v>2.0</v>
      </c>
      <c r="AR37" s="24">
        <v>46034.0</v>
      </c>
      <c r="AS37" s="24">
        <f>' En tramite 23-26'!$AI37+45</f>
        <v>46009</v>
      </c>
      <c r="AT37" s="20" t="s">
        <v>85</v>
      </c>
      <c r="AU37" s="20" t="s">
        <v>84</v>
      </c>
      <c r="AV37" s="20">
        <v>2.0</v>
      </c>
      <c r="AW37" s="24">
        <v>46079.0</v>
      </c>
      <c r="AX37" s="20" t="s">
        <v>86</v>
      </c>
      <c r="AY37" s="20" t="s">
        <v>84</v>
      </c>
      <c r="AZ37" s="20">
        <v>2.0</v>
      </c>
      <c r="BA37" s="24">
        <v>46079.0</v>
      </c>
      <c r="BB37" s="20" t="s">
        <v>84</v>
      </c>
      <c r="BC37" s="28">
        <v>2.0</v>
      </c>
      <c r="BD37" s="24">
        <v>46079.0</v>
      </c>
      <c r="BE37" s="20">
        <f>DAY(' En tramite 23-26'!$BD37)</f>
        <v>26</v>
      </c>
      <c r="BF37" s="24" t="str">
        <f>TEXT(' En tramite 23-26'!$BD37,"mmmm")</f>
        <v>febrero</v>
      </c>
      <c r="BG37" s="20">
        <f>YEAR(' En tramite 23-26'!$BD37)</f>
        <v>2026</v>
      </c>
      <c r="BH37" s="29">
        <v>1.0</v>
      </c>
      <c r="BI37" s="26" t="s">
        <v>383</v>
      </c>
      <c r="BJ37" s="30" t="s">
        <v>88</v>
      </c>
      <c r="BK37" s="31" t="s">
        <v>89</v>
      </c>
      <c r="BL37" s="32">
        <v>46211.0</v>
      </c>
      <c r="BM37" s="33">
        <v>2.0</v>
      </c>
    </row>
    <row r="38" ht="16.5" customHeight="1">
      <c r="A38" s="11" t="s">
        <v>384</v>
      </c>
      <c r="B38" s="34" t="s">
        <v>339</v>
      </c>
      <c r="C38" s="13" t="s">
        <v>385</v>
      </c>
      <c r="D38" s="18" t="s">
        <v>386</v>
      </c>
      <c r="E38" s="15" t="s">
        <v>387</v>
      </c>
      <c r="F38" s="16" t="s">
        <v>388</v>
      </c>
      <c r="G38" s="16">
        <v>4.421865631E9</v>
      </c>
      <c r="H38" s="17" t="s">
        <v>389</v>
      </c>
      <c r="I38" s="18" t="s">
        <v>72</v>
      </c>
      <c r="J38" s="18" t="s">
        <v>109</v>
      </c>
      <c r="K38" s="18" t="s">
        <v>74</v>
      </c>
      <c r="L38" s="19" t="s">
        <v>75</v>
      </c>
      <c r="M38" s="14" t="s">
        <v>14</v>
      </c>
      <c r="N38" s="14" t="s">
        <v>390</v>
      </c>
      <c r="O38" s="18" t="s">
        <v>131</v>
      </c>
      <c r="P38" s="20" t="s">
        <v>78</v>
      </c>
      <c r="Q38" s="20">
        <v>4.422792072E9</v>
      </c>
      <c r="R38" s="20" t="s">
        <v>391</v>
      </c>
      <c r="S38" s="35" t="s">
        <v>392</v>
      </c>
      <c r="T38" s="22" t="s">
        <v>81</v>
      </c>
      <c r="U38" s="21" t="s">
        <v>82</v>
      </c>
      <c r="V38" s="23">
        <v>1.0</v>
      </c>
      <c r="W38" s="20" t="s">
        <v>83</v>
      </c>
      <c r="X38" s="20" t="s">
        <v>84</v>
      </c>
      <c r="Y38" s="24">
        <v>2.0</v>
      </c>
      <c r="Z38" s="25">
        <v>45964.0</v>
      </c>
      <c r="AA38" s="20">
        <f>DAY(Tabla1[F. INICIO])</f>
        <v>3</v>
      </c>
      <c r="AB38" s="26" t="str">
        <f>TEXT(' En tramite 23-26'!$Z38,"mmmm")</f>
        <v>noviembre</v>
      </c>
      <c r="AC38" s="20">
        <f>YEAR(' En tramite 23-26'!$Z38)</f>
        <v>2025</v>
      </c>
      <c r="AD38" s="20" t="s">
        <v>84</v>
      </c>
      <c r="AE38" s="24">
        <v>2.0</v>
      </c>
      <c r="AF38" s="24">
        <v>45964.0</v>
      </c>
      <c r="AG38" s="20" t="s">
        <v>84</v>
      </c>
      <c r="AH38" s="24">
        <v>2.0</v>
      </c>
      <c r="AI38" s="24">
        <v>45973.0</v>
      </c>
      <c r="AJ38" s="20">
        <f>DAY(' En tramite 23-26'!$AI38)</f>
        <v>12</v>
      </c>
      <c r="AK38" s="20" t="str">
        <f>TEXT(' En tramite 23-26'!$AI38,"mmmm")</f>
        <v>noviembre</v>
      </c>
      <c r="AL38" s="20">
        <f>YEAR(' En tramite 23-26'!$Z38)</f>
        <v>2025</v>
      </c>
      <c r="AM38" s="20" t="s">
        <v>84</v>
      </c>
      <c r="AN38" s="24">
        <v>2.0</v>
      </c>
      <c r="AO38" s="24" t="s">
        <v>393</v>
      </c>
      <c r="AP38" s="20" t="s">
        <v>84</v>
      </c>
      <c r="AQ38" s="24">
        <v>2.0</v>
      </c>
      <c r="AR38" s="24">
        <v>46355.0</v>
      </c>
      <c r="AS38" s="24">
        <f>' En tramite 23-26'!$AI38+45</f>
        <v>46018</v>
      </c>
      <c r="AT38" s="20" t="s">
        <v>85</v>
      </c>
      <c r="AU38" s="20" t="s">
        <v>84</v>
      </c>
      <c r="AV38" s="20">
        <v>2.0</v>
      </c>
      <c r="AW38" s="24">
        <v>46062.0</v>
      </c>
      <c r="AX38" s="20" t="s">
        <v>86</v>
      </c>
      <c r="AY38" s="20" t="s">
        <v>84</v>
      </c>
      <c r="AZ38" s="20">
        <v>2.0</v>
      </c>
      <c r="BA38" s="24">
        <v>46062.0</v>
      </c>
      <c r="BB38" s="20" t="s">
        <v>84</v>
      </c>
      <c r="BC38" s="28">
        <v>2.0</v>
      </c>
      <c r="BD38" s="24">
        <v>46062.0</v>
      </c>
      <c r="BE38" s="20">
        <f>DAY(' En tramite 23-26'!$BD38)</f>
        <v>9</v>
      </c>
      <c r="BF38" s="24" t="str">
        <f>TEXT(' En tramite 23-26'!$BD38,"mmmm")</f>
        <v>febrero</v>
      </c>
      <c r="BG38" s="20">
        <f>YEAR(' En tramite 23-26'!$BD38)</f>
        <v>2026</v>
      </c>
      <c r="BH38" s="29">
        <v>1.0</v>
      </c>
      <c r="BI38" s="38" t="s">
        <v>394</v>
      </c>
      <c r="BJ38" s="30" t="s">
        <v>88</v>
      </c>
      <c r="BK38" s="31" t="s">
        <v>89</v>
      </c>
      <c r="BL38" s="32">
        <v>46213.0</v>
      </c>
      <c r="BM38" s="33">
        <v>2.0</v>
      </c>
    </row>
    <row r="39" ht="16.5" customHeight="1">
      <c r="A39" s="11" t="s">
        <v>395</v>
      </c>
      <c r="B39" s="34" t="s">
        <v>349</v>
      </c>
      <c r="C39" s="13" t="s">
        <v>396</v>
      </c>
      <c r="D39" s="18" t="s">
        <v>397</v>
      </c>
      <c r="E39" s="15" t="s">
        <v>398</v>
      </c>
      <c r="F39" s="16" t="s">
        <v>399</v>
      </c>
      <c r="G39" s="16">
        <v>8.120263431E9</v>
      </c>
      <c r="H39" s="17" t="s">
        <v>400</v>
      </c>
      <c r="I39" s="18" t="s">
        <v>72</v>
      </c>
      <c r="J39" s="18" t="s">
        <v>109</v>
      </c>
      <c r="K39" s="18" t="s">
        <v>74</v>
      </c>
      <c r="L39" s="19" t="s">
        <v>75</v>
      </c>
      <c r="M39" s="14" t="s">
        <v>14</v>
      </c>
      <c r="N39" s="14" t="s">
        <v>390</v>
      </c>
      <c r="O39" s="18" t="s">
        <v>131</v>
      </c>
      <c r="P39" s="20" t="s">
        <v>78</v>
      </c>
      <c r="Q39" s="20">
        <v>4.422792072E9</v>
      </c>
      <c r="R39" s="20" t="s">
        <v>391</v>
      </c>
      <c r="S39" s="35" t="s">
        <v>392</v>
      </c>
      <c r="T39" s="22" t="s">
        <v>81</v>
      </c>
      <c r="U39" s="21" t="s">
        <v>100</v>
      </c>
      <c r="V39" s="23">
        <v>1.0</v>
      </c>
      <c r="W39" s="20" t="s">
        <v>83</v>
      </c>
      <c r="X39" s="20" t="s">
        <v>84</v>
      </c>
      <c r="Y39" s="24">
        <v>2.0</v>
      </c>
      <c r="Z39" s="25">
        <v>45964.0</v>
      </c>
      <c r="AA39" s="20">
        <f>DAY(Tabla1[F. INICIO])</f>
        <v>3</v>
      </c>
      <c r="AB39" s="26" t="str">
        <f>TEXT(' En tramite 23-26'!$Z39,"mmmm")</f>
        <v>noviembre</v>
      </c>
      <c r="AC39" s="20">
        <f>YEAR(' En tramite 23-26'!$Z39)</f>
        <v>2025</v>
      </c>
      <c r="AD39" s="20" t="s">
        <v>84</v>
      </c>
      <c r="AE39" s="24">
        <v>2.0</v>
      </c>
      <c r="AF39" s="24">
        <v>45964.0</v>
      </c>
      <c r="AG39" s="20" t="s">
        <v>84</v>
      </c>
      <c r="AH39" s="24">
        <v>2.0</v>
      </c>
      <c r="AI39" s="24">
        <v>45973.0</v>
      </c>
      <c r="AJ39" s="20">
        <f>DAY(' En tramite 23-26'!$AI39)</f>
        <v>12</v>
      </c>
      <c r="AK39" s="20" t="str">
        <f>TEXT(' En tramite 23-26'!$AI39,"mmmm")</f>
        <v>noviembre</v>
      </c>
      <c r="AL39" s="20">
        <f>YEAR(' En tramite 23-26'!$Z39)</f>
        <v>2025</v>
      </c>
      <c r="AM39" s="20" t="s">
        <v>84</v>
      </c>
      <c r="AN39" s="24">
        <v>2.0</v>
      </c>
      <c r="AO39" s="24" t="s">
        <v>393</v>
      </c>
      <c r="AP39" s="20" t="s">
        <v>84</v>
      </c>
      <c r="AQ39" s="24">
        <v>2.0</v>
      </c>
      <c r="AR39" s="24">
        <v>46355.0</v>
      </c>
      <c r="AS39" s="24">
        <f>' En tramite 23-26'!$AI39+45</f>
        <v>46018</v>
      </c>
      <c r="AT39" s="20" t="s">
        <v>85</v>
      </c>
      <c r="AU39" s="20" t="s">
        <v>84</v>
      </c>
      <c r="AV39" s="20">
        <v>2.0</v>
      </c>
      <c r="AW39" s="24">
        <v>46062.0</v>
      </c>
      <c r="AX39" s="20" t="s">
        <v>86</v>
      </c>
      <c r="AY39" s="20" t="s">
        <v>84</v>
      </c>
      <c r="AZ39" s="20">
        <v>2.0</v>
      </c>
      <c r="BA39" s="24">
        <v>46062.0</v>
      </c>
      <c r="BB39" s="20" t="s">
        <v>84</v>
      </c>
      <c r="BC39" s="28">
        <v>2.0</v>
      </c>
      <c r="BD39" s="24">
        <v>46062.0</v>
      </c>
      <c r="BE39" s="20">
        <f>DAY(' En tramite 23-26'!$BD39)</f>
        <v>9</v>
      </c>
      <c r="BF39" s="24" t="str">
        <f>TEXT(' En tramite 23-26'!$BD39,"mmmm")</f>
        <v>febrero</v>
      </c>
      <c r="BG39" s="20">
        <f>YEAR(' En tramite 23-26'!$BD39)</f>
        <v>2026</v>
      </c>
      <c r="BH39" s="29">
        <v>1.0</v>
      </c>
      <c r="BI39" s="38" t="s">
        <v>394</v>
      </c>
      <c r="BJ39" s="30" t="s">
        <v>88</v>
      </c>
      <c r="BK39" s="31" t="s">
        <v>89</v>
      </c>
      <c r="BL39" s="32">
        <v>46213.0</v>
      </c>
      <c r="BM39" s="33">
        <v>2.0</v>
      </c>
    </row>
    <row r="40" ht="16.5" customHeight="1">
      <c r="A40" s="11" t="s">
        <v>401</v>
      </c>
      <c r="B40" s="34" t="s">
        <v>357</v>
      </c>
      <c r="C40" s="13" t="s">
        <v>402</v>
      </c>
      <c r="D40" s="18" t="s">
        <v>403</v>
      </c>
      <c r="E40" s="15" t="s">
        <v>404</v>
      </c>
      <c r="F40" s="16" t="s">
        <v>405</v>
      </c>
      <c r="G40" s="16">
        <v>4.424238963E9</v>
      </c>
      <c r="H40" s="17" t="s">
        <v>406</v>
      </c>
      <c r="I40" s="18" t="s">
        <v>407</v>
      </c>
      <c r="J40" s="18" t="s">
        <v>109</v>
      </c>
      <c r="K40" s="18" t="s">
        <v>74</v>
      </c>
      <c r="L40" s="19" t="s">
        <v>75</v>
      </c>
      <c r="M40" s="14" t="s">
        <v>95</v>
      </c>
      <c r="N40" s="18" t="s">
        <v>96</v>
      </c>
      <c r="O40" s="18" t="s">
        <v>97</v>
      </c>
      <c r="P40" s="20" t="s">
        <v>95</v>
      </c>
      <c r="Q40" s="20">
        <v>4.423622063E9</v>
      </c>
      <c r="R40" s="18" t="s">
        <v>98</v>
      </c>
      <c r="S40" s="21" t="s">
        <v>99</v>
      </c>
      <c r="T40" s="22" t="s">
        <v>81</v>
      </c>
      <c r="U40" s="21" t="s">
        <v>100</v>
      </c>
      <c r="V40" s="23">
        <v>1.0</v>
      </c>
      <c r="W40" s="20" t="s">
        <v>83</v>
      </c>
      <c r="X40" s="20" t="s">
        <v>84</v>
      </c>
      <c r="Y40" s="24">
        <v>2.0</v>
      </c>
      <c r="Z40" s="25">
        <v>45985.0</v>
      </c>
      <c r="AA40" s="20">
        <f>DAY(Tabla1[F. INICIO])</f>
        <v>24</v>
      </c>
      <c r="AB40" s="26" t="str">
        <f>TEXT(' En tramite 23-26'!$Z40,"mmmm")</f>
        <v>noviembre</v>
      </c>
      <c r="AC40" s="20">
        <f>YEAR(' En tramite 23-26'!$Z40)</f>
        <v>2025</v>
      </c>
      <c r="AD40" s="20" t="s">
        <v>84</v>
      </c>
      <c r="AE40" s="24">
        <v>2.0</v>
      </c>
      <c r="AF40" s="24">
        <v>45985.0</v>
      </c>
      <c r="AG40" s="20" t="s">
        <v>84</v>
      </c>
      <c r="AH40" s="24">
        <v>2.0</v>
      </c>
      <c r="AI40" s="24">
        <v>45992.0</v>
      </c>
      <c r="AJ40" s="20">
        <f>DAY(' En tramite 23-26'!$AI40)</f>
        <v>1</v>
      </c>
      <c r="AK40" s="20" t="str">
        <f>TEXT(' En tramite 23-26'!$AI40,"mmmm")</f>
        <v>diciembre</v>
      </c>
      <c r="AL40" s="20">
        <f>YEAR(' En tramite 23-26'!$Z40)</f>
        <v>2025</v>
      </c>
      <c r="AM40" s="20" t="s">
        <v>84</v>
      </c>
      <c r="AN40" s="24">
        <v>2.0</v>
      </c>
      <c r="AO40" s="24">
        <v>45992.0</v>
      </c>
      <c r="AP40" s="20" t="s">
        <v>84</v>
      </c>
      <c r="AQ40" s="24">
        <v>2.0</v>
      </c>
      <c r="AR40" s="24">
        <v>46037.0</v>
      </c>
      <c r="AS40" s="24">
        <f>' En tramite 23-26'!$AI40+45</f>
        <v>46037</v>
      </c>
      <c r="AT40" s="20" t="s">
        <v>85</v>
      </c>
      <c r="AU40" s="20" t="s">
        <v>84</v>
      </c>
      <c r="AV40" s="20">
        <v>2.0</v>
      </c>
      <c r="AW40" s="24">
        <v>46099.0</v>
      </c>
      <c r="AX40" s="20" t="s">
        <v>86</v>
      </c>
      <c r="AY40" s="20" t="s">
        <v>84</v>
      </c>
      <c r="AZ40" s="20">
        <v>2.0</v>
      </c>
      <c r="BA40" s="24">
        <v>46099.0</v>
      </c>
      <c r="BB40" s="20" t="s">
        <v>84</v>
      </c>
      <c r="BC40" s="28">
        <v>2.0</v>
      </c>
      <c r="BD40" s="24">
        <v>46099.0</v>
      </c>
      <c r="BE40" s="20">
        <f>DAY(' En tramite 23-26'!$BD40)</f>
        <v>18</v>
      </c>
      <c r="BF40" s="24" t="str">
        <f>TEXT(' En tramite 23-26'!$BD40,"mmmm")</f>
        <v>marzo</v>
      </c>
      <c r="BG40" s="20">
        <f>YEAR(' En tramite 23-26'!$BD40)</f>
        <v>2026</v>
      </c>
      <c r="BH40" s="29">
        <v>1.0</v>
      </c>
      <c r="BI40" s="26" t="s">
        <v>408</v>
      </c>
      <c r="BJ40" s="30" t="s">
        <v>88</v>
      </c>
      <c r="BK40" s="31" t="s">
        <v>89</v>
      </c>
      <c r="BL40" s="32">
        <v>46238.0</v>
      </c>
      <c r="BM40" s="33">
        <v>2.0</v>
      </c>
    </row>
    <row r="41" ht="16.5" customHeight="1">
      <c r="A41" s="11" t="s">
        <v>409</v>
      </c>
      <c r="B41" s="34" t="s">
        <v>366</v>
      </c>
      <c r="C41" s="13" t="s">
        <v>410</v>
      </c>
      <c r="D41" s="18" t="s">
        <v>411</v>
      </c>
      <c r="E41" s="15" t="s">
        <v>412</v>
      </c>
      <c r="F41" s="16" t="s">
        <v>413</v>
      </c>
      <c r="G41" s="16">
        <v>4.421812232E9</v>
      </c>
      <c r="H41" s="17" t="s">
        <v>414</v>
      </c>
      <c r="I41" s="18" t="s">
        <v>407</v>
      </c>
      <c r="J41" s="18" t="s">
        <v>109</v>
      </c>
      <c r="K41" s="18" t="s">
        <v>74</v>
      </c>
      <c r="L41" s="19" t="s">
        <v>75</v>
      </c>
      <c r="M41" s="14" t="s">
        <v>95</v>
      </c>
      <c r="N41" s="18" t="s">
        <v>96</v>
      </c>
      <c r="O41" s="18" t="s">
        <v>97</v>
      </c>
      <c r="P41" s="20" t="s">
        <v>95</v>
      </c>
      <c r="Q41" s="20">
        <v>4.423622063E9</v>
      </c>
      <c r="R41" s="18" t="s">
        <v>98</v>
      </c>
      <c r="S41" s="21" t="s">
        <v>99</v>
      </c>
      <c r="T41" s="22" t="s">
        <v>81</v>
      </c>
      <c r="U41" s="21" t="s">
        <v>100</v>
      </c>
      <c r="V41" s="23">
        <v>1.0</v>
      </c>
      <c r="W41" s="20" t="s">
        <v>83</v>
      </c>
      <c r="X41" s="20" t="s">
        <v>84</v>
      </c>
      <c r="Y41" s="24">
        <v>2.0</v>
      </c>
      <c r="Z41" s="25">
        <v>45985.0</v>
      </c>
      <c r="AA41" s="20">
        <f>DAY(Tabla1[F. INICIO])</f>
        <v>24</v>
      </c>
      <c r="AB41" s="26" t="str">
        <f>TEXT(' En tramite 23-26'!$Z41,"mmmm")</f>
        <v>noviembre</v>
      </c>
      <c r="AC41" s="20">
        <f>YEAR(' En tramite 23-26'!$Z41)</f>
        <v>2025</v>
      </c>
      <c r="AD41" s="20" t="s">
        <v>84</v>
      </c>
      <c r="AE41" s="24">
        <v>2.0</v>
      </c>
      <c r="AF41" s="24">
        <v>45985.0</v>
      </c>
      <c r="AG41" s="20" t="s">
        <v>84</v>
      </c>
      <c r="AH41" s="24">
        <v>2.0</v>
      </c>
      <c r="AI41" s="24">
        <v>45985.0</v>
      </c>
      <c r="AJ41" s="20">
        <f>DAY(' En tramite 23-26'!$AI41)</f>
        <v>24</v>
      </c>
      <c r="AK41" s="20" t="str">
        <f>TEXT(' En tramite 23-26'!$AI41,"mmmm")</f>
        <v>noviembre</v>
      </c>
      <c r="AL41" s="20">
        <f>YEAR(' En tramite 23-26'!$Z41)</f>
        <v>2025</v>
      </c>
      <c r="AM41" s="20" t="s">
        <v>84</v>
      </c>
      <c r="AN41" s="24">
        <v>2.0</v>
      </c>
      <c r="AO41" s="24">
        <v>45986.0</v>
      </c>
      <c r="AP41" s="20" t="s">
        <v>84</v>
      </c>
      <c r="AQ41" s="24">
        <v>2.0</v>
      </c>
      <c r="AR41" s="24">
        <v>46071.0</v>
      </c>
      <c r="AS41" s="24">
        <f>' En tramite 23-26'!$AI41+45</f>
        <v>46030</v>
      </c>
      <c r="AT41" s="20" t="s">
        <v>85</v>
      </c>
      <c r="AU41" s="20" t="s">
        <v>84</v>
      </c>
      <c r="AV41" s="20">
        <v>2.0</v>
      </c>
      <c r="AW41" s="24">
        <v>46105.0</v>
      </c>
      <c r="AX41" s="20" t="s">
        <v>86</v>
      </c>
      <c r="AY41" s="20" t="s">
        <v>84</v>
      </c>
      <c r="AZ41" s="20">
        <v>2.0</v>
      </c>
      <c r="BA41" s="24">
        <v>46105.0</v>
      </c>
      <c r="BB41" s="20" t="s">
        <v>84</v>
      </c>
      <c r="BC41" s="28">
        <v>2.0</v>
      </c>
      <c r="BD41" s="24">
        <v>46105.0</v>
      </c>
      <c r="BE41" s="20">
        <f>DAY(' En tramite 23-26'!$BD41)</f>
        <v>24</v>
      </c>
      <c r="BF41" s="24" t="str">
        <f>TEXT(' En tramite 23-26'!$BD41,"mmmm")</f>
        <v>marzo</v>
      </c>
      <c r="BG41" s="20">
        <f>YEAR(' En tramite 23-26'!$BD41)</f>
        <v>2026</v>
      </c>
      <c r="BH41" s="29">
        <v>1.0</v>
      </c>
      <c r="BI41" s="26" t="s">
        <v>415</v>
      </c>
      <c r="BJ41" s="30" t="s">
        <v>88</v>
      </c>
      <c r="BK41" s="31" t="s">
        <v>89</v>
      </c>
      <c r="BL41" s="32">
        <v>46211.0</v>
      </c>
      <c r="BM41" s="33">
        <v>2.0</v>
      </c>
    </row>
    <row r="42" ht="16.5" customHeight="1">
      <c r="A42" s="11" t="s">
        <v>416</v>
      </c>
      <c r="B42" s="34" t="s">
        <v>377</v>
      </c>
      <c r="C42" s="13" t="s">
        <v>417</v>
      </c>
      <c r="D42" s="18" t="s">
        <v>418</v>
      </c>
      <c r="E42" s="15" t="s">
        <v>419</v>
      </c>
      <c r="F42" s="16" t="s">
        <v>420</v>
      </c>
      <c r="G42" s="16">
        <v>4.426068107E9</v>
      </c>
      <c r="H42" s="17" t="s">
        <v>421</v>
      </c>
      <c r="I42" s="18" t="s">
        <v>407</v>
      </c>
      <c r="J42" s="18" t="s">
        <v>109</v>
      </c>
      <c r="K42" s="18" t="s">
        <v>74</v>
      </c>
      <c r="L42" s="19" t="s">
        <v>75</v>
      </c>
      <c r="M42" s="14" t="s">
        <v>95</v>
      </c>
      <c r="N42" s="18" t="s">
        <v>96</v>
      </c>
      <c r="O42" s="18" t="s">
        <v>97</v>
      </c>
      <c r="P42" s="20" t="s">
        <v>95</v>
      </c>
      <c r="Q42" s="20">
        <v>4.421350214E9</v>
      </c>
      <c r="R42" s="18" t="s">
        <v>98</v>
      </c>
      <c r="S42" s="21" t="s">
        <v>99</v>
      </c>
      <c r="T42" s="22" t="s">
        <v>81</v>
      </c>
      <c r="U42" s="21" t="s">
        <v>100</v>
      </c>
      <c r="V42" s="23">
        <v>1.0</v>
      </c>
      <c r="W42" s="20" t="s">
        <v>83</v>
      </c>
      <c r="X42" s="20" t="s">
        <v>84</v>
      </c>
      <c r="Y42" s="24">
        <v>2.0</v>
      </c>
      <c r="Z42" s="25">
        <v>45985.0</v>
      </c>
      <c r="AA42" s="20">
        <f>DAY(Tabla1[F. INICIO])</f>
        <v>24</v>
      </c>
      <c r="AB42" s="26" t="str">
        <f>TEXT(' En tramite 23-26'!$Z42,"mmmm")</f>
        <v>noviembre</v>
      </c>
      <c r="AC42" s="20">
        <f>YEAR(' En tramite 23-26'!$Z42)</f>
        <v>2025</v>
      </c>
      <c r="AD42" s="20" t="s">
        <v>84</v>
      </c>
      <c r="AE42" s="24">
        <v>2.0</v>
      </c>
      <c r="AF42" s="24">
        <v>45985.0</v>
      </c>
      <c r="AG42" s="20" t="s">
        <v>84</v>
      </c>
      <c r="AH42" s="24">
        <v>2.0</v>
      </c>
      <c r="AI42" s="24">
        <v>45989.0</v>
      </c>
      <c r="AJ42" s="20">
        <f>DAY(' En tramite 23-26'!$AI42)</f>
        <v>28</v>
      </c>
      <c r="AK42" s="20" t="str">
        <f>TEXT(' En tramite 23-26'!$AI42,"mmmm")</f>
        <v>noviembre</v>
      </c>
      <c r="AL42" s="20">
        <f>YEAR(' En tramite 23-26'!$Z42)</f>
        <v>2025</v>
      </c>
      <c r="AM42" s="20" t="s">
        <v>84</v>
      </c>
      <c r="AN42" s="24">
        <v>2.0</v>
      </c>
      <c r="AO42" s="24">
        <v>45989.0</v>
      </c>
      <c r="AP42" s="20" t="s">
        <v>84</v>
      </c>
      <c r="AQ42" s="24">
        <v>2.0</v>
      </c>
      <c r="AR42" s="24">
        <v>46034.0</v>
      </c>
      <c r="AS42" s="24">
        <f>' En tramite 23-26'!$AI42+45</f>
        <v>46034</v>
      </c>
      <c r="AT42" s="20" t="s">
        <v>85</v>
      </c>
      <c r="AU42" s="20" t="s">
        <v>84</v>
      </c>
      <c r="AV42" s="20">
        <v>2.0</v>
      </c>
      <c r="AW42" s="24">
        <f>' En tramite 23-26'!$AS42+45</f>
        <v>46079</v>
      </c>
      <c r="AX42" s="20" t="s">
        <v>86</v>
      </c>
      <c r="AY42" s="20" t="s">
        <v>84</v>
      </c>
      <c r="AZ42" s="20">
        <v>2.0</v>
      </c>
      <c r="BA42" s="24">
        <v>46079.0</v>
      </c>
      <c r="BB42" s="20" t="s">
        <v>84</v>
      </c>
      <c r="BC42" s="28">
        <v>2.0</v>
      </c>
      <c r="BD42" s="24">
        <v>46079.0</v>
      </c>
      <c r="BE42" s="20">
        <f>DAY(' En tramite 23-26'!$BD42)</f>
        <v>26</v>
      </c>
      <c r="BF42" s="24" t="str">
        <f>TEXT(' En tramite 23-26'!$BD42,"mmmm")</f>
        <v>febrero</v>
      </c>
      <c r="BG42" s="20">
        <f>YEAR(' En tramite 23-26'!$BD42)</f>
        <v>2026</v>
      </c>
      <c r="BH42" s="29">
        <v>1.0</v>
      </c>
      <c r="BI42" s="26" t="s">
        <v>422</v>
      </c>
      <c r="BJ42" s="30" t="s">
        <v>88</v>
      </c>
      <c r="BK42" s="31" t="s">
        <v>89</v>
      </c>
      <c r="BL42" s="32">
        <v>46211.0</v>
      </c>
      <c r="BM42" s="33">
        <v>2.0</v>
      </c>
    </row>
    <row r="43" ht="16.5" customHeight="1">
      <c r="A43" s="11" t="s">
        <v>423</v>
      </c>
      <c r="B43" s="34" t="s">
        <v>384</v>
      </c>
      <c r="C43" s="13" t="s">
        <v>424</v>
      </c>
      <c r="D43" s="18" t="s">
        <v>425</v>
      </c>
      <c r="E43" s="15" t="s">
        <v>426</v>
      </c>
      <c r="F43" s="16" t="s">
        <v>427</v>
      </c>
      <c r="G43" s="16">
        <v>4.42317266E9</v>
      </c>
      <c r="H43" s="17" t="s">
        <v>428</v>
      </c>
      <c r="I43" s="18" t="s">
        <v>140</v>
      </c>
      <c r="J43" s="18" t="s">
        <v>109</v>
      </c>
      <c r="K43" s="18" t="s">
        <v>141</v>
      </c>
      <c r="L43" s="19" t="s">
        <v>75</v>
      </c>
      <c r="M43" s="14" t="s">
        <v>111</v>
      </c>
      <c r="N43" s="18" t="s">
        <v>355</v>
      </c>
      <c r="O43" s="18" t="s">
        <v>97</v>
      </c>
      <c r="P43" s="20" t="s">
        <v>165</v>
      </c>
      <c r="Q43" s="20">
        <v>4.421561235E9</v>
      </c>
      <c r="R43" s="18" t="s">
        <v>98</v>
      </c>
      <c r="S43" s="35" t="s">
        <v>166</v>
      </c>
      <c r="T43" s="22" t="s">
        <v>81</v>
      </c>
      <c r="U43" s="21" t="s">
        <v>100</v>
      </c>
      <c r="V43" s="23">
        <v>1.0</v>
      </c>
      <c r="W43" s="20" t="s">
        <v>83</v>
      </c>
      <c r="X43" s="20" t="s">
        <v>84</v>
      </c>
      <c r="Y43" s="24">
        <v>2.0</v>
      </c>
      <c r="Z43" s="25">
        <v>45901.0</v>
      </c>
      <c r="AA43" s="20">
        <f>DAY(Tabla1[F. INICIO])</f>
        <v>1</v>
      </c>
      <c r="AB43" s="26" t="str">
        <f>TEXT(' En tramite 23-26'!$Z43,"mmmm")</f>
        <v>septiembre</v>
      </c>
      <c r="AC43" s="20">
        <f>YEAR(' En tramite 23-26'!$Z43)</f>
        <v>2025</v>
      </c>
      <c r="AD43" s="20" t="s">
        <v>84</v>
      </c>
      <c r="AE43" s="24">
        <v>2.0</v>
      </c>
      <c r="AF43" s="24">
        <v>45901.0</v>
      </c>
      <c r="AG43" s="20" t="s">
        <v>84</v>
      </c>
      <c r="AH43" s="24">
        <v>2.0</v>
      </c>
      <c r="AI43" s="24">
        <v>45901.0</v>
      </c>
      <c r="AJ43" s="20">
        <f>DAY(' En tramite 23-26'!$AI43)</f>
        <v>1</v>
      </c>
      <c r="AK43" s="20" t="str">
        <f>TEXT(' En tramite 23-26'!$AI43,"mmmm")</f>
        <v>septiembre</v>
      </c>
      <c r="AL43" s="20">
        <f>YEAR(' En tramite 23-26'!$Z43)</f>
        <v>2025</v>
      </c>
      <c r="AM43" s="20" t="s">
        <v>84</v>
      </c>
      <c r="AN43" s="24">
        <v>2.0</v>
      </c>
      <c r="AO43" s="24">
        <v>45901.0</v>
      </c>
      <c r="AP43" s="20" t="s">
        <v>84</v>
      </c>
      <c r="AQ43" s="24">
        <v>2.0</v>
      </c>
      <c r="AR43" s="24">
        <v>45947.0</v>
      </c>
      <c r="AS43" s="24">
        <f>' En tramite 23-26'!$AI43+45</f>
        <v>45946</v>
      </c>
      <c r="AT43" s="20" t="s">
        <v>85</v>
      </c>
      <c r="AU43" s="20" t="s">
        <v>84</v>
      </c>
      <c r="AV43" s="20">
        <v>2.0</v>
      </c>
      <c r="AW43" s="24">
        <v>45996.0</v>
      </c>
      <c r="AX43" s="20" t="s">
        <v>86</v>
      </c>
      <c r="AY43" s="20" t="s">
        <v>84</v>
      </c>
      <c r="AZ43" s="20">
        <v>2.0</v>
      </c>
      <c r="BA43" s="24">
        <v>45996.0</v>
      </c>
      <c r="BB43" s="20" t="s">
        <v>84</v>
      </c>
      <c r="BC43" s="28">
        <v>2.0</v>
      </c>
      <c r="BD43" s="24">
        <v>45996.0</v>
      </c>
      <c r="BE43" s="20">
        <f>DAY(' En tramite 23-26'!$BD43)</f>
        <v>5</v>
      </c>
      <c r="BF43" s="24" t="str">
        <f>TEXT(' En tramite 23-26'!$BD43,"mmmm")</f>
        <v>diciembre</v>
      </c>
      <c r="BG43" s="20">
        <f>YEAR(' En tramite 23-26'!$BD43)</f>
        <v>2025</v>
      </c>
      <c r="BH43" s="29">
        <v>1.0</v>
      </c>
      <c r="BI43" s="26" t="s">
        <v>429</v>
      </c>
      <c r="BJ43" s="30" t="s">
        <v>88</v>
      </c>
      <c r="BK43" s="31" t="s">
        <v>89</v>
      </c>
      <c r="BL43" s="32">
        <v>46213.0</v>
      </c>
      <c r="BM43" s="33">
        <v>2.0</v>
      </c>
    </row>
    <row r="44" ht="16.5" customHeight="1">
      <c r="A44" s="11" t="s">
        <v>430</v>
      </c>
      <c r="B44" s="34" t="s">
        <v>395</v>
      </c>
      <c r="C44" s="13" t="s">
        <v>431</v>
      </c>
      <c r="D44" s="18" t="s">
        <v>432</v>
      </c>
      <c r="E44" s="15" t="s">
        <v>433</v>
      </c>
      <c r="F44" s="16" t="s">
        <v>434</v>
      </c>
      <c r="G44" s="16">
        <v>4.428659889E9</v>
      </c>
      <c r="H44" s="17" t="s">
        <v>435</v>
      </c>
      <c r="I44" s="18" t="s">
        <v>128</v>
      </c>
      <c r="J44" s="18" t="s">
        <v>109</v>
      </c>
      <c r="K44" s="18" t="s">
        <v>129</v>
      </c>
      <c r="L44" s="19" t="s">
        <v>75</v>
      </c>
      <c r="M44" s="14" t="s">
        <v>142</v>
      </c>
      <c r="N44" s="18" t="s">
        <v>436</v>
      </c>
      <c r="O44" s="18" t="s">
        <v>97</v>
      </c>
      <c r="P44" s="20" t="s">
        <v>78</v>
      </c>
      <c r="Q44" s="20">
        <v>4.424743859E9</v>
      </c>
      <c r="R44" s="18" t="s">
        <v>437</v>
      </c>
      <c r="S44" s="35" t="s">
        <v>438</v>
      </c>
      <c r="T44" s="22" t="s">
        <v>81</v>
      </c>
      <c r="U44" s="21" t="s">
        <v>100</v>
      </c>
      <c r="V44" s="23">
        <v>1.0</v>
      </c>
      <c r="W44" s="20" t="s">
        <v>83</v>
      </c>
      <c r="X44" s="20" t="s">
        <v>84</v>
      </c>
      <c r="Y44" s="24">
        <v>2.0</v>
      </c>
      <c r="Z44" s="25">
        <v>45979.0</v>
      </c>
      <c r="AA44" s="20">
        <f>DAY(Tabla1[F. INICIO])</f>
        <v>18</v>
      </c>
      <c r="AB44" s="26" t="str">
        <f>TEXT(' En tramite 23-26'!$Z44,"mmmm")</f>
        <v>noviembre</v>
      </c>
      <c r="AC44" s="20">
        <f>YEAR(' En tramite 23-26'!$Z44)</f>
        <v>2025</v>
      </c>
      <c r="AD44" s="20" t="s">
        <v>84</v>
      </c>
      <c r="AE44" s="24">
        <v>2.0</v>
      </c>
      <c r="AF44" s="24">
        <v>45979.0</v>
      </c>
      <c r="AG44" s="20" t="s">
        <v>84</v>
      </c>
      <c r="AH44" s="24">
        <v>2.0</v>
      </c>
      <c r="AI44" s="24">
        <v>46371.0</v>
      </c>
      <c r="AJ44" s="20">
        <f>DAY(' En tramite 23-26'!$AI44)</f>
        <v>15</v>
      </c>
      <c r="AK44" s="20" t="str">
        <f>TEXT(' En tramite 23-26'!$AI44,"mmmm")</f>
        <v>diciembre</v>
      </c>
      <c r="AL44" s="20">
        <f>YEAR(' En tramite 23-26'!$Z44)</f>
        <v>2025</v>
      </c>
      <c r="AM44" s="20" t="s">
        <v>84</v>
      </c>
      <c r="AN44" s="24">
        <v>2.0</v>
      </c>
      <c r="AO44" s="24">
        <v>46006.0</v>
      </c>
      <c r="AP44" s="20" t="s">
        <v>84</v>
      </c>
      <c r="AQ44" s="24">
        <v>2.0</v>
      </c>
      <c r="AR44" s="24">
        <v>46065.0</v>
      </c>
      <c r="AS44" s="24">
        <f>' En tramite 23-26'!$AI44+45</f>
        <v>46416</v>
      </c>
      <c r="AT44" s="20" t="s">
        <v>85</v>
      </c>
      <c r="AU44" s="20" t="s">
        <v>84</v>
      </c>
      <c r="AV44" s="20">
        <v>2.0</v>
      </c>
      <c r="AW44" s="24">
        <v>46113.0</v>
      </c>
      <c r="AX44" s="20" t="s">
        <v>86</v>
      </c>
      <c r="AY44" s="20" t="s">
        <v>84</v>
      </c>
      <c r="AZ44" s="20">
        <v>2.0</v>
      </c>
      <c r="BA44" s="24">
        <v>46113.0</v>
      </c>
      <c r="BB44" s="20" t="s">
        <v>84</v>
      </c>
      <c r="BC44" s="28">
        <v>2.0</v>
      </c>
      <c r="BD44" s="24">
        <v>46113.0</v>
      </c>
      <c r="BE44" s="20">
        <f>DAY(' En tramite 23-26'!$BD44)</f>
        <v>1</v>
      </c>
      <c r="BF44" s="24" t="str">
        <f>TEXT(' En tramite 23-26'!$BD44,"mmmm")</f>
        <v>abril</v>
      </c>
      <c r="BG44" s="20">
        <f>YEAR(' En tramite 23-26'!$BD44)</f>
        <v>2026</v>
      </c>
      <c r="BH44" s="29">
        <v>1.0</v>
      </c>
      <c r="BI44" s="26" t="s">
        <v>439</v>
      </c>
      <c r="BJ44" s="30" t="s">
        <v>88</v>
      </c>
      <c r="BK44" s="31" t="s">
        <v>89</v>
      </c>
      <c r="BL44" s="32"/>
      <c r="BM44" s="33"/>
    </row>
    <row r="45" ht="16.5" customHeight="1">
      <c r="A45" s="11" t="s">
        <v>440</v>
      </c>
      <c r="B45" s="34" t="s">
        <v>401</v>
      </c>
      <c r="C45" s="13" t="s">
        <v>441</v>
      </c>
      <c r="D45" s="18" t="s">
        <v>442</v>
      </c>
      <c r="E45" s="15" t="s">
        <v>443</v>
      </c>
      <c r="F45" s="16" t="s">
        <v>444</v>
      </c>
      <c r="G45" s="16">
        <v>4.426016929E9</v>
      </c>
      <c r="H45" s="17" t="s">
        <v>445</v>
      </c>
      <c r="I45" s="18" t="s">
        <v>128</v>
      </c>
      <c r="J45" s="18" t="s">
        <v>109</v>
      </c>
      <c r="K45" s="18" t="s">
        <v>129</v>
      </c>
      <c r="L45" s="19" t="s">
        <v>75</v>
      </c>
      <c r="M45" s="14" t="s">
        <v>142</v>
      </c>
      <c r="N45" s="18" t="s">
        <v>436</v>
      </c>
      <c r="O45" s="18" t="s">
        <v>97</v>
      </c>
      <c r="P45" s="20" t="s">
        <v>78</v>
      </c>
      <c r="Q45" s="20">
        <v>4.424743859E9</v>
      </c>
      <c r="R45" s="18" t="s">
        <v>437</v>
      </c>
      <c r="S45" s="35" t="s">
        <v>438</v>
      </c>
      <c r="T45" s="22" t="s">
        <v>81</v>
      </c>
      <c r="U45" s="21" t="s">
        <v>100</v>
      </c>
      <c r="V45" s="23">
        <v>1.0</v>
      </c>
      <c r="W45" s="20" t="s">
        <v>83</v>
      </c>
      <c r="X45" s="20" t="s">
        <v>84</v>
      </c>
      <c r="Y45" s="24">
        <v>2.0</v>
      </c>
      <c r="Z45" s="25">
        <v>45979.0</v>
      </c>
      <c r="AA45" s="20">
        <f>DAY(Tabla1[F. INICIO])</f>
        <v>18</v>
      </c>
      <c r="AB45" s="26" t="str">
        <f>TEXT(' En tramite 23-26'!$Z45,"mmmm")</f>
        <v>noviembre</v>
      </c>
      <c r="AC45" s="20">
        <f>YEAR(' En tramite 23-26'!$Z45)</f>
        <v>2025</v>
      </c>
      <c r="AD45" s="20" t="s">
        <v>84</v>
      </c>
      <c r="AE45" s="24">
        <v>2.0</v>
      </c>
      <c r="AF45" s="24">
        <v>45979.0</v>
      </c>
      <c r="AG45" s="20" t="s">
        <v>84</v>
      </c>
      <c r="AH45" s="24">
        <v>2.0</v>
      </c>
      <c r="AI45" s="24">
        <v>46006.0</v>
      </c>
      <c r="AJ45" s="20">
        <f>DAY(' En tramite 23-26'!$AI45)</f>
        <v>15</v>
      </c>
      <c r="AK45" s="20" t="str">
        <f>TEXT(' En tramite 23-26'!$AI45,"mmmm")</f>
        <v>diciembre</v>
      </c>
      <c r="AL45" s="20">
        <f>YEAR(' En tramite 23-26'!$Z45)</f>
        <v>2025</v>
      </c>
      <c r="AM45" s="20" t="s">
        <v>84</v>
      </c>
      <c r="AN45" s="24">
        <v>46003.0</v>
      </c>
      <c r="AO45" s="24">
        <v>46006.0</v>
      </c>
      <c r="AP45" s="20" t="s">
        <v>84</v>
      </c>
      <c r="AQ45" s="24">
        <v>2.0</v>
      </c>
      <c r="AR45" s="24">
        <v>46065.0</v>
      </c>
      <c r="AS45" s="24">
        <f>' En tramite 23-26'!$AI45+45</f>
        <v>46051</v>
      </c>
      <c r="AT45" s="20" t="s">
        <v>85</v>
      </c>
      <c r="AU45" s="20" t="s">
        <v>84</v>
      </c>
      <c r="AV45" s="20">
        <v>2.0</v>
      </c>
      <c r="AW45" s="24">
        <v>46113.0</v>
      </c>
      <c r="AX45" s="20" t="s">
        <v>86</v>
      </c>
      <c r="AY45" s="20" t="s">
        <v>84</v>
      </c>
      <c r="AZ45" s="20">
        <v>2.0</v>
      </c>
      <c r="BA45" s="24">
        <v>46113.0</v>
      </c>
      <c r="BB45" s="20" t="s">
        <v>84</v>
      </c>
      <c r="BC45" s="28">
        <v>2.0</v>
      </c>
      <c r="BD45" s="24">
        <v>46113.0</v>
      </c>
      <c r="BE45" s="20">
        <f>DAY(' En tramite 23-26'!$BD45)</f>
        <v>1</v>
      </c>
      <c r="BF45" s="24" t="str">
        <f>TEXT(' En tramite 23-26'!$BD45,"mmmm")</f>
        <v>abril</v>
      </c>
      <c r="BG45" s="20">
        <f>YEAR(' En tramite 23-26'!$BD45)</f>
        <v>2026</v>
      </c>
      <c r="BH45" s="29">
        <v>1.0</v>
      </c>
      <c r="BI45" s="26" t="s">
        <v>439</v>
      </c>
      <c r="BJ45" s="30" t="s">
        <v>88</v>
      </c>
      <c r="BK45" s="31" t="s">
        <v>89</v>
      </c>
      <c r="BL45" s="32"/>
      <c r="BM45" s="33"/>
    </row>
    <row r="46" ht="16.5" customHeight="1">
      <c r="A46" s="11" t="s">
        <v>446</v>
      </c>
      <c r="B46" s="34" t="s">
        <v>409</v>
      </c>
      <c r="C46" s="13" t="s">
        <v>447</v>
      </c>
      <c r="D46" s="18" t="s">
        <v>448</v>
      </c>
      <c r="E46" s="15" t="s">
        <v>449</v>
      </c>
      <c r="F46" s="16" t="s">
        <v>450</v>
      </c>
      <c r="G46" s="16">
        <v>4.423472213E9</v>
      </c>
      <c r="H46" s="17" t="s">
        <v>451</v>
      </c>
      <c r="I46" s="18" t="s">
        <v>154</v>
      </c>
      <c r="J46" s="18" t="s">
        <v>109</v>
      </c>
      <c r="K46" s="18" t="s">
        <v>155</v>
      </c>
      <c r="L46" s="19" t="s">
        <v>75</v>
      </c>
      <c r="M46" s="14" t="s">
        <v>14</v>
      </c>
      <c r="N46" s="18" t="s">
        <v>452</v>
      </c>
      <c r="O46" s="18" t="s">
        <v>453</v>
      </c>
      <c r="P46" s="20" t="s">
        <v>78</v>
      </c>
      <c r="Q46" s="20">
        <v>4.423952357E9</v>
      </c>
      <c r="R46" s="18" t="s">
        <v>454</v>
      </c>
      <c r="S46" s="35" t="s">
        <v>455</v>
      </c>
      <c r="T46" s="22" t="s">
        <v>81</v>
      </c>
      <c r="U46" s="21" t="s">
        <v>100</v>
      </c>
      <c r="V46" s="23">
        <v>1.0</v>
      </c>
      <c r="W46" s="20" t="s">
        <v>83</v>
      </c>
      <c r="X46" s="20" t="s">
        <v>84</v>
      </c>
      <c r="Y46" s="24">
        <v>2.0</v>
      </c>
      <c r="Z46" s="25">
        <v>46035.0</v>
      </c>
      <c r="AA46" s="20">
        <f>DAY(Tabla1[F. INICIO])</f>
        <v>13</v>
      </c>
      <c r="AB46" s="26" t="str">
        <f>TEXT(' En tramite 23-26'!$Z46,"mmmm")</f>
        <v>enero</v>
      </c>
      <c r="AC46" s="20">
        <f>YEAR(' En tramite 23-26'!$Z46)</f>
        <v>2026</v>
      </c>
      <c r="AD46" s="20" t="s">
        <v>84</v>
      </c>
      <c r="AE46" s="24">
        <v>2.0</v>
      </c>
      <c r="AF46" s="24">
        <v>46035.0</v>
      </c>
      <c r="AG46" s="20" t="s">
        <v>84</v>
      </c>
      <c r="AH46" s="24">
        <v>2.0</v>
      </c>
      <c r="AI46" s="24">
        <v>46036.0</v>
      </c>
      <c r="AJ46" s="20">
        <f>DAY(' En tramite 23-26'!$AI46)</f>
        <v>14</v>
      </c>
      <c r="AK46" s="20" t="str">
        <f>TEXT(' En tramite 23-26'!$AI46,"mmmm")</f>
        <v>enero</v>
      </c>
      <c r="AL46" s="20">
        <f>YEAR(' En tramite 23-26'!$Z46)</f>
        <v>2026</v>
      </c>
      <c r="AM46" s="20" t="s">
        <v>84</v>
      </c>
      <c r="AN46" s="24">
        <v>2.0</v>
      </c>
      <c r="AO46" s="24">
        <v>46035.0</v>
      </c>
      <c r="AP46" s="20" t="s">
        <v>84</v>
      </c>
      <c r="AQ46" s="24">
        <v>2.0</v>
      </c>
      <c r="AR46" s="24">
        <v>46079.0</v>
      </c>
      <c r="AS46" s="24">
        <f>' En tramite 23-26'!$AI46+45</f>
        <v>46081</v>
      </c>
      <c r="AT46" s="20" t="s">
        <v>85</v>
      </c>
      <c r="AU46" s="20" t="s">
        <v>84</v>
      </c>
      <c r="AV46" s="20">
        <v>2.0</v>
      </c>
      <c r="AW46" s="24">
        <v>46153.0</v>
      </c>
      <c r="AX46" s="20" t="s">
        <v>86</v>
      </c>
      <c r="AY46" s="20" t="s">
        <v>84</v>
      </c>
      <c r="AZ46" s="20">
        <v>2.0</v>
      </c>
      <c r="BA46" s="24">
        <v>46153.0</v>
      </c>
      <c r="BB46" s="20" t="s">
        <v>84</v>
      </c>
      <c r="BC46" s="28">
        <v>2.0</v>
      </c>
      <c r="BD46" s="24">
        <v>46153.0</v>
      </c>
      <c r="BE46" s="20">
        <f>DAY(' En tramite 23-26'!$BD46)</f>
        <v>11</v>
      </c>
      <c r="BF46" s="24" t="str">
        <f>TEXT(' En tramite 23-26'!$BD46,"mmmm")</f>
        <v>mayo</v>
      </c>
      <c r="BG46" s="20">
        <f>YEAR(' En tramite 23-26'!$BD46)</f>
        <v>2026</v>
      </c>
      <c r="BH46" s="29">
        <v>1.0</v>
      </c>
      <c r="BI46" s="38" t="s">
        <v>456</v>
      </c>
      <c r="BJ46" s="30" t="s">
        <v>88</v>
      </c>
      <c r="BK46" s="31" t="s">
        <v>89</v>
      </c>
      <c r="BL46" s="32">
        <v>46245.0</v>
      </c>
      <c r="BM46" s="33">
        <v>2.0</v>
      </c>
    </row>
    <row r="47" ht="16.5" customHeight="1">
      <c r="A47" s="11" t="s">
        <v>457</v>
      </c>
      <c r="B47" s="34" t="s">
        <v>416</v>
      </c>
      <c r="C47" s="13" t="s">
        <v>458</v>
      </c>
      <c r="D47" s="18" t="s">
        <v>459</v>
      </c>
      <c r="E47" s="15" t="s">
        <v>460</v>
      </c>
      <c r="F47" s="16" t="s">
        <v>461</v>
      </c>
      <c r="G47" s="16">
        <v>4.422589503E9</v>
      </c>
      <c r="H47" s="17" t="s">
        <v>462</v>
      </c>
      <c r="I47" s="18" t="s">
        <v>140</v>
      </c>
      <c r="J47" s="18" t="s">
        <v>73</v>
      </c>
      <c r="K47" s="18" t="s">
        <v>141</v>
      </c>
      <c r="L47" s="19" t="s">
        <v>75</v>
      </c>
      <c r="M47" s="14" t="s">
        <v>142</v>
      </c>
      <c r="N47" s="18" t="s">
        <v>463</v>
      </c>
      <c r="O47" s="18" t="s">
        <v>97</v>
      </c>
      <c r="P47" s="20" t="s">
        <v>78</v>
      </c>
      <c r="Q47" s="20">
        <v>4.42238606E9</v>
      </c>
      <c r="R47" s="18" t="s">
        <v>464</v>
      </c>
      <c r="S47" s="35" t="s">
        <v>465</v>
      </c>
      <c r="T47" s="22" t="s">
        <v>81</v>
      </c>
      <c r="U47" s="21" t="s">
        <v>100</v>
      </c>
      <c r="V47" s="23">
        <v>1.0</v>
      </c>
      <c r="W47" s="20" t="s">
        <v>83</v>
      </c>
      <c r="X47" s="20" t="s">
        <v>84</v>
      </c>
      <c r="Y47" s="24">
        <v>2.0</v>
      </c>
      <c r="Z47" s="25">
        <v>45981.0</v>
      </c>
      <c r="AA47" s="20">
        <f>DAY(Tabla1[F. INICIO])</f>
        <v>20</v>
      </c>
      <c r="AB47" s="26" t="str">
        <f>TEXT(' En tramite 23-26'!$Z47,"mmmm")</f>
        <v>noviembre</v>
      </c>
      <c r="AC47" s="20">
        <f>YEAR(' En tramite 23-26'!$Z47)</f>
        <v>2025</v>
      </c>
      <c r="AD47" s="20" t="s">
        <v>84</v>
      </c>
      <c r="AE47" s="24">
        <v>2.0</v>
      </c>
      <c r="AF47" s="24">
        <v>45981.0</v>
      </c>
      <c r="AG47" s="20" t="s">
        <v>84</v>
      </c>
      <c r="AH47" s="20">
        <v>2.0</v>
      </c>
      <c r="AI47" s="24">
        <v>45982.0</v>
      </c>
      <c r="AJ47" s="20">
        <f>DAY(' En tramite 23-26'!$AI47)</f>
        <v>21</v>
      </c>
      <c r="AK47" s="20" t="str">
        <f>TEXT(' En tramite 23-26'!$AI47,"mmmm")</f>
        <v>noviembre</v>
      </c>
      <c r="AL47" s="20">
        <f>YEAR(' En tramite 23-26'!$Z47)</f>
        <v>2025</v>
      </c>
      <c r="AM47" s="20" t="s">
        <v>84</v>
      </c>
      <c r="AN47" s="24">
        <v>2.0</v>
      </c>
      <c r="AO47" s="24">
        <v>45982.0</v>
      </c>
      <c r="AP47" s="20" t="s">
        <v>84</v>
      </c>
      <c r="AQ47" s="24">
        <v>2.0</v>
      </c>
      <c r="AR47" s="24">
        <v>46043.0</v>
      </c>
      <c r="AS47" s="24">
        <f>' En tramite 23-26'!$AI47+45</f>
        <v>46027</v>
      </c>
      <c r="AT47" s="20" t="s">
        <v>85</v>
      </c>
      <c r="AU47" s="20" t="s">
        <v>84</v>
      </c>
      <c r="AV47" s="20">
        <v>2.0</v>
      </c>
      <c r="AW47" s="24">
        <v>46076.0</v>
      </c>
      <c r="AX47" s="20" t="s">
        <v>86</v>
      </c>
      <c r="AY47" s="20" t="s">
        <v>84</v>
      </c>
      <c r="AZ47" s="20">
        <v>2.0</v>
      </c>
      <c r="BA47" s="24">
        <v>46076.0</v>
      </c>
      <c r="BB47" s="20" t="s">
        <v>84</v>
      </c>
      <c r="BC47" s="28">
        <v>2.0</v>
      </c>
      <c r="BD47" s="24">
        <v>46076.0</v>
      </c>
      <c r="BE47" s="20">
        <f>DAY(' En tramite 23-26'!$BD47)</f>
        <v>23</v>
      </c>
      <c r="BF47" s="24" t="str">
        <f>TEXT(' En tramite 23-26'!$BD47,"mmmm")</f>
        <v>febrero</v>
      </c>
      <c r="BG47" s="20">
        <f>YEAR(' En tramite 23-26'!$BD47)</f>
        <v>2026</v>
      </c>
      <c r="BH47" s="29">
        <v>1.0</v>
      </c>
      <c r="BI47" s="26" t="s">
        <v>466</v>
      </c>
      <c r="BJ47" s="30" t="s">
        <v>88</v>
      </c>
      <c r="BK47" s="31" t="s">
        <v>89</v>
      </c>
      <c r="BL47" s="36">
        <v>46211.0</v>
      </c>
      <c r="BM47" s="33">
        <v>2.0</v>
      </c>
    </row>
    <row r="48" ht="16.5" customHeight="1">
      <c r="A48" s="11" t="s">
        <v>467</v>
      </c>
      <c r="B48" s="34" t="s">
        <v>423</v>
      </c>
      <c r="C48" s="13" t="s">
        <v>468</v>
      </c>
      <c r="D48" s="18" t="s">
        <v>469</v>
      </c>
      <c r="E48" s="15" t="s">
        <v>470</v>
      </c>
      <c r="F48" s="16" t="s">
        <v>471</v>
      </c>
      <c r="G48" s="16">
        <v>4.462597572E9</v>
      </c>
      <c r="H48" s="17" t="s">
        <v>472</v>
      </c>
      <c r="I48" s="18" t="s">
        <v>140</v>
      </c>
      <c r="J48" s="18" t="s">
        <v>73</v>
      </c>
      <c r="K48" s="18" t="s">
        <v>141</v>
      </c>
      <c r="L48" s="19" t="s">
        <v>75</v>
      </c>
      <c r="M48" s="14" t="s">
        <v>142</v>
      </c>
      <c r="N48" s="18" t="s">
        <v>463</v>
      </c>
      <c r="O48" s="18" t="s">
        <v>97</v>
      </c>
      <c r="P48" s="20" t="s">
        <v>78</v>
      </c>
      <c r="Q48" s="20">
        <v>4.42238606E9</v>
      </c>
      <c r="R48" s="18" t="s">
        <v>464</v>
      </c>
      <c r="S48" s="35" t="s">
        <v>465</v>
      </c>
      <c r="T48" s="22" t="s">
        <v>81</v>
      </c>
      <c r="U48" s="21" t="s">
        <v>100</v>
      </c>
      <c r="V48" s="23">
        <v>1.0</v>
      </c>
      <c r="W48" s="22" t="s">
        <v>83</v>
      </c>
      <c r="X48" s="20" t="s">
        <v>84</v>
      </c>
      <c r="Y48" s="24">
        <v>2.0</v>
      </c>
      <c r="Z48" s="25">
        <v>45981.0</v>
      </c>
      <c r="AA48" s="20">
        <f>DAY(Tabla1[F. INICIO])</f>
        <v>20</v>
      </c>
      <c r="AB48" s="26" t="str">
        <f>TEXT(' En tramite 23-26'!$Z48,"mmmm")</f>
        <v>noviembre</v>
      </c>
      <c r="AC48" s="20">
        <f>YEAR(' En tramite 23-26'!$Z48)</f>
        <v>2025</v>
      </c>
      <c r="AD48" s="20" t="s">
        <v>84</v>
      </c>
      <c r="AE48" s="24">
        <v>2.0</v>
      </c>
      <c r="AF48" s="24">
        <v>45981.0</v>
      </c>
      <c r="AG48" s="20" t="s">
        <v>84</v>
      </c>
      <c r="AH48" s="24">
        <v>2.0</v>
      </c>
      <c r="AI48" s="24">
        <v>45982.0</v>
      </c>
      <c r="AJ48" s="20">
        <f>DAY(' En tramite 23-26'!$AI48)</f>
        <v>21</v>
      </c>
      <c r="AK48" s="20" t="str">
        <f>TEXT(' En tramite 23-26'!$AI48,"mmmm")</f>
        <v>noviembre</v>
      </c>
      <c r="AL48" s="20">
        <f>YEAR(' En tramite 23-26'!$Z48)</f>
        <v>2025</v>
      </c>
      <c r="AM48" s="20" t="s">
        <v>84</v>
      </c>
      <c r="AN48" s="24">
        <v>2.0</v>
      </c>
      <c r="AO48" s="24">
        <v>45982.0</v>
      </c>
      <c r="AP48" s="20" t="s">
        <v>84</v>
      </c>
      <c r="AQ48" s="24">
        <v>2.0</v>
      </c>
      <c r="AR48" s="24">
        <v>46043.0</v>
      </c>
      <c r="AS48" s="24">
        <f>' En tramite 23-26'!$AI48+45</f>
        <v>46027</v>
      </c>
      <c r="AT48" s="20" t="s">
        <v>85</v>
      </c>
      <c r="AU48" s="20" t="s">
        <v>84</v>
      </c>
      <c r="AV48" s="20">
        <v>2.0</v>
      </c>
      <c r="AW48" s="24">
        <v>46076.0</v>
      </c>
      <c r="AX48" s="20" t="s">
        <v>86</v>
      </c>
      <c r="AY48" s="20" t="s">
        <v>84</v>
      </c>
      <c r="AZ48" s="20">
        <v>2.0</v>
      </c>
      <c r="BA48" s="24">
        <v>46076.0</v>
      </c>
      <c r="BB48" s="20" t="s">
        <v>84</v>
      </c>
      <c r="BC48" s="28">
        <v>2.0</v>
      </c>
      <c r="BD48" s="24">
        <v>46076.0</v>
      </c>
      <c r="BE48" s="20">
        <f>DAY(' En tramite 23-26'!$BD48)</f>
        <v>23</v>
      </c>
      <c r="BF48" s="24" t="str">
        <f>TEXT(' En tramite 23-26'!$BD48,"mmmm")</f>
        <v>febrero</v>
      </c>
      <c r="BG48" s="20">
        <f>YEAR(' En tramite 23-26'!$BD48)</f>
        <v>2026</v>
      </c>
      <c r="BH48" s="29">
        <v>1.0</v>
      </c>
      <c r="BI48" s="26" t="s">
        <v>466</v>
      </c>
      <c r="BJ48" s="30" t="s">
        <v>88</v>
      </c>
      <c r="BK48" s="31" t="s">
        <v>89</v>
      </c>
      <c r="BL48" s="32">
        <v>46211.0</v>
      </c>
      <c r="BM48" s="33">
        <v>2.0</v>
      </c>
    </row>
    <row r="49" ht="16.5" customHeight="1">
      <c r="A49" s="11" t="s">
        <v>473</v>
      </c>
      <c r="B49" s="34" t="s">
        <v>430</v>
      </c>
      <c r="C49" s="13" t="s">
        <v>474</v>
      </c>
      <c r="D49" s="18" t="s">
        <v>475</v>
      </c>
      <c r="E49" s="15" t="s">
        <v>476</v>
      </c>
      <c r="F49" s="16" t="s">
        <v>477</v>
      </c>
      <c r="G49" s="16">
        <v>4.4217922E9</v>
      </c>
      <c r="H49" s="17" t="s">
        <v>478</v>
      </c>
      <c r="I49" s="18" t="s">
        <v>209</v>
      </c>
      <c r="J49" s="18" t="s">
        <v>73</v>
      </c>
      <c r="K49" s="18" t="s">
        <v>141</v>
      </c>
      <c r="L49" s="19" t="s">
        <v>75</v>
      </c>
      <c r="M49" s="14" t="s">
        <v>142</v>
      </c>
      <c r="N49" s="18" t="s">
        <v>463</v>
      </c>
      <c r="O49" s="18" t="s">
        <v>97</v>
      </c>
      <c r="P49" s="20" t="s">
        <v>78</v>
      </c>
      <c r="Q49" s="20">
        <v>4.42238606E9</v>
      </c>
      <c r="R49" s="18" t="s">
        <v>464</v>
      </c>
      <c r="S49" s="35" t="s">
        <v>465</v>
      </c>
      <c r="T49" s="22" t="s">
        <v>81</v>
      </c>
      <c r="U49" s="21" t="s">
        <v>100</v>
      </c>
      <c r="V49" s="23">
        <v>1.0</v>
      </c>
      <c r="W49" s="22" t="s">
        <v>83</v>
      </c>
      <c r="X49" s="20" t="s">
        <v>84</v>
      </c>
      <c r="Y49" s="24">
        <v>2.0</v>
      </c>
      <c r="Z49" s="25">
        <v>45981.0</v>
      </c>
      <c r="AA49" s="20">
        <f>DAY(Tabla1[F. INICIO])</f>
        <v>20</v>
      </c>
      <c r="AB49" s="26" t="str">
        <f>TEXT(' En tramite 23-26'!$Z49,"mmmm")</f>
        <v>noviembre</v>
      </c>
      <c r="AC49" s="20">
        <f>YEAR(' En tramite 23-26'!$Z49)</f>
        <v>2025</v>
      </c>
      <c r="AD49" s="20" t="s">
        <v>84</v>
      </c>
      <c r="AE49" s="24">
        <v>2.0</v>
      </c>
      <c r="AF49" s="24">
        <v>45981.0</v>
      </c>
      <c r="AG49" s="20" t="s">
        <v>84</v>
      </c>
      <c r="AH49" s="24">
        <v>2.0</v>
      </c>
      <c r="AI49" s="24">
        <v>45982.0</v>
      </c>
      <c r="AJ49" s="20">
        <f>DAY(' En tramite 23-26'!$AI49)</f>
        <v>21</v>
      </c>
      <c r="AK49" s="20" t="str">
        <f>TEXT(' En tramite 23-26'!$AI49,"mmmm")</f>
        <v>noviembre</v>
      </c>
      <c r="AL49" s="20">
        <f>YEAR(' En tramite 23-26'!$Z49)</f>
        <v>2025</v>
      </c>
      <c r="AM49" s="20" t="s">
        <v>84</v>
      </c>
      <c r="AN49" s="24">
        <v>2.0</v>
      </c>
      <c r="AO49" s="24">
        <v>45982.0</v>
      </c>
      <c r="AP49" s="20" t="s">
        <v>84</v>
      </c>
      <c r="AQ49" s="24">
        <v>2.0</v>
      </c>
      <c r="AR49" s="24">
        <v>46043.0</v>
      </c>
      <c r="AS49" s="24">
        <f>' En tramite 23-26'!$AI49+45</f>
        <v>46027</v>
      </c>
      <c r="AT49" s="20" t="s">
        <v>85</v>
      </c>
      <c r="AU49" s="20" t="s">
        <v>84</v>
      </c>
      <c r="AV49" s="20">
        <v>2.0</v>
      </c>
      <c r="AW49" s="24">
        <v>46076.0</v>
      </c>
      <c r="AX49" s="20" t="s">
        <v>86</v>
      </c>
      <c r="AY49" s="20" t="s">
        <v>84</v>
      </c>
      <c r="AZ49" s="20">
        <v>2.0</v>
      </c>
      <c r="BA49" s="24">
        <v>46076.0</v>
      </c>
      <c r="BB49" s="20" t="s">
        <v>84</v>
      </c>
      <c r="BC49" s="28">
        <v>2.0</v>
      </c>
      <c r="BD49" s="24">
        <v>46076.0</v>
      </c>
      <c r="BE49" s="20">
        <f>DAY(' En tramite 23-26'!$BD49)</f>
        <v>23</v>
      </c>
      <c r="BF49" s="24" t="str">
        <f>TEXT(' En tramite 23-26'!$BD49,"mmmm")</f>
        <v>febrero</v>
      </c>
      <c r="BG49" s="20">
        <f>YEAR(' En tramite 23-26'!$BD49)</f>
        <v>2026</v>
      </c>
      <c r="BH49" s="29">
        <v>1.0</v>
      </c>
      <c r="BI49" s="26" t="s">
        <v>466</v>
      </c>
      <c r="BJ49" s="30" t="s">
        <v>88</v>
      </c>
      <c r="BK49" s="31" t="s">
        <v>89</v>
      </c>
      <c r="BL49" s="32">
        <v>46211.0</v>
      </c>
      <c r="BM49" s="33">
        <v>2.0</v>
      </c>
    </row>
    <row r="50" ht="16.5" customHeight="1">
      <c r="A50" s="11" t="s">
        <v>479</v>
      </c>
      <c r="B50" s="34" t="s">
        <v>440</v>
      </c>
      <c r="C50" s="13" t="s">
        <v>480</v>
      </c>
      <c r="D50" s="18" t="s">
        <v>481</v>
      </c>
      <c r="E50" s="15" t="s">
        <v>482</v>
      </c>
      <c r="F50" s="16" t="s">
        <v>483</v>
      </c>
      <c r="G50" s="16">
        <v>4.424074868E9</v>
      </c>
      <c r="H50" s="17" t="s">
        <v>484</v>
      </c>
      <c r="I50" s="18" t="s">
        <v>407</v>
      </c>
      <c r="J50" s="18" t="s">
        <v>109</v>
      </c>
      <c r="K50" s="18" t="s">
        <v>74</v>
      </c>
      <c r="L50" s="19" t="s">
        <v>75</v>
      </c>
      <c r="M50" s="14" t="s">
        <v>95</v>
      </c>
      <c r="N50" s="18" t="s">
        <v>96</v>
      </c>
      <c r="O50" s="18" t="s">
        <v>97</v>
      </c>
      <c r="P50" s="20" t="s">
        <v>95</v>
      </c>
      <c r="Q50" s="20">
        <v>4.423622063E9</v>
      </c>
      <c r="R50" s="18" t="s">
        <v>98</v>
      </c>
      <c r="S50" s="21" t="s">
        <v>99</v>
      </c>
      <c r="T50" s="22" t="s">
        <v>81</v>
      </c>
      <c r="U50" s="21" t="s">
        <v>82</v>
      </c>
      <c r="V50" s="23">
        <v>1.0</v>
      </c>
      <c r="W50" s="22" t="s">
        <v>83</v>
      </c>
      <c r="X50" s="20" t="s">
        <v>84</v>
      </c>
      <c r="Y50" s="24">
        <v>2.0</v>
      </c>
      <c r="Z50" s="25">
        <v>45985.0</v>
      </c>
      <c r="AA50" s="20">
        <f>DAY(Tabla1[F. INICIO])</f>
        <v>24</v>
      </c>
      <c r="AB50" s="26" t="str">
        <f>TEXT(' En tramite 23-26'!$Z50,"mmmm")</f>
        <v>noviembre</v>
      </c>
      <c r="AC50" s="20">
        <f>YEAR(' En tramite 23-26'!$Z50)</f>
        <v>2025</v>
      </c>
      <c r="AD50" s="20" t="s">
        <v>84</v>
      </c>
      <c r="AE50" s="24">
        <v>2.0</v>
      </c>
      <c r="AF50" s="24">
        <v>45985.0</v>
      </c>
      <c r="AG50" s="20" t="s">
        <v>84</v>
      </c>
      <c r="AH50" s="24">
        <v>2.0</v>
      </c>
      <c r="AI50" s="24">
        <v>45985.0</v>
      </c>
      <c r="AJ50" s="20">
        <f>DAY(' En tramite 23-26'!$AI50)</f>
        <v>24</v>
      </c>
      <c r="AK50" s="20" t="str">
        <f>TEXT(' En tramite 23-26'!$AI50,"mmmm")</f>
        <v>noviembre</v>
      </c>
      <c r="AL50" s="20">
        <f>YEAR(' En tramite 23-26'!$Z50)</f>
        <v>2025</v>
      </c>
      <c r="AM50" s="20" t="s">
        <v>84</v>
      </c>
      <c r="AN50" s="24">
        <v>2.0</v>
      </c>
      <c r="AO50" s="24">
        <v>45985.0</v>
      </c>
      <c r="AP50" s="20" t="s">
        <v>84</v>
      </c>
      <c r="AQ50" s="24">
        <v>2.0</v>
      </c>
      <c r="AR50" s="24">
        <v>46047.0</v>
      </c>
      <c r="AS50" s="24">
        <f>' En tramite 23-26'!$AI50+45</f>
        <v>46030</v>
      </c>
      <c r="AT50" s="20" t="s">
        <v>85</v>
      </c>
      <c r="AU50" s="20" t="s">
        <v>84</v>
      </c>
      <c r="AV50" s="20">
        <v>2.0</v>
      </c>
      <c r="AW50" s="24">
        <f>' En tramite 23-26'!$AS50+45</f>
        <v>46075</v>
      </c>
      <c r="AX50" s="20" t="s">
        <v>86</v>
      </c>
      <c r="AY50" s="20" t="s">
        <v>84</v>
      </c>
      <c r="AZ50" s="20">
        <v>2.0</v>
      </c>
      <c r="BA50" s="24">
        <v>46099.0</v>
      </c>
      <c r="BB50" s="20" t="s">
        <v>84</v>
      </c>
      <c r="BC50" s="28">
        <v>2.0</v>
      </c>
      <c r="BD50" s="24">
        <v>46099.0</v>
      </c>
      <c r="BE50" s="20">
        <f>DAY(' En tramite 23-26'!$BD50)</f>
        <v>18</v>
      </c>
      <c r="BF50" s="24" t="str">
        <f>TEXT(' En tramite 23-26'!$BD50,"mmmm")</f>
        <v>marzo</v>
      </c>
      <c r="BG50" s="20">
        <f>YEAR(' En tramite 23-26'!$BD50)</f>
        <v>2026</v>
      </c>
      <c r="BH50" s="29">
        <v>1.0</v>
      </c>
      <c r="BI50" s="37" t="s">
        <v>167</v>
      </c>
      <c r="BJ50" s="30" t="s">
        <v>88</v>
      </c>
      <c r="BK50" s="31" t="s">
        <v>89</v>
      </c>
      <c r="BL50" s="32">
        <v>46238.0</v>
      </c>
      <c r="BM50" s="33">
        <v>2.0</v>
      </c>
    </row>
    <row r="51" ht="16.5" customHeight="1">
      <c r="A51" s="11" t="s">
        <v>485</v>
      </c>
      <c r="B51" s="34" t="s">
        <v>446</v>
      </c>
      <c r="C51" s="13" t="s">
        <v>486</v>
      </c>
      <c r="D51" s="18" t="s">
        <v>487</v>
      </c>
      <c r="E51" s="15" t="s">
        <v>488</v>
      </c>
      <c r="F51" s="16" t="s">
        <v>489</v>
      </c>
      <c r="G51" s="16">
        <v>4.427811801E9</v>
      </c>
      <c r="H51" s="17" t="s">
        <v>490</v>
      </c>
      <c r="I51" s="18" t="s">
        <v>154</v>
      </c>
      <c r="J51" s="18" t="s">
        <v>109</v>
      </c>
      <c r="K51" s="18" t="s">
        <v>155</v>
      </c>
      <c r="L51" s="19" t="s">
        <v>75</v>
      </c>
      <c r="M51" s="14" t="s">
        <v>14</v>
      </c>
      <c r="N51" s="14" t="s">
        <v>491</v>
      </c>
      <c r="O51" s="18" t="s">
        <v>131</v>
      </c>
      <c r="P51" s="20" t="s">
        <v>78</v>
      </c>
      <c r="Q51" s="20">
        <v>4.422127149E9</v>
      </c>
      <c r="R51" s="20" t="s">
        <v>492</v>
      </c>
      <c r="S51" s="35" t="s">
        <v>493</v>
      </c>
      <c r="T51" s="22" t="s">
        <v>81</v>
      </c>
      <c r="U51" s="21" t="s">
        <v>100</v>
      </c>
      <c r="V51" s="86">
        <v>1.0</v>
      </c>
      <c r="W51" s="20" t="s">
        <v>83</v>
      </c>
      <c r="X51" s="20" t="s">
        <v>84</v>
      </c>
      <c r="Y51" s="24">
        <v>2.0</v>
      </c>
      <c r="Z51" s="25">
        <v>45986.0</v>
      </c>
      <c r="AA51" s="20">
        <f>DAY(Tabla1[F. INICIO])</f>
        <v>25</v>
      </c>
      <c r="AB51" s="26" t="str">
        <f>TEXT(' En tramite 23-26'!$Z51,"mmmm")</f>
        <v>noviembre</v>
      </c>
      <c r="AC51" s="20">
        <f>YEAR(' En tramite 23-26'!$Z51)</f>
        <v>2025</v>
      </c>
      <c r="AD51" s="20" t="s">
        <v>84</v>
      </c>
      <c r="AE51" s="24">
        <v>2.0</v>
      </c>
      <c r="AF51" s="24">
        <v>45986.0</v>
      </c>
      <c r="AG51" s="20" t="s">
        <v>84</v>
      </c>
      <c r="AH51" s="24">
        <v>2.0</v>
      </c>
      <c r="AI51" s="24">
        <v>45996.0</v>
      </c>
      <c r="AJ51" s="20">
        <f>DAY(' En tramite 23-26'!$AI51)</f>
        <v>5</v>
      </c>
      <c r="AK51" s="20" t="str">
        <f>TEXT(' En tramite 23-26'!$AI51,"mmmm")</f>
        <v>diciembre</v>
      </c>
      <c r="AL51" s="20">
        <f>YEAR(' En tramite 23-26'!$Z51)</f>
        <v>2025</v>
      </c>
      <c r="AM51" s="20" t="s">
        <v>84</v>
      </c>
      <c r="AN51" s="24">
        <v>2.0</v>
      </c>
      <c r="AO51" s="24">
        <v>45996.0</v>
      </c>
      <c r="AP51" s="20" t="s">
        <v>84</v>
      </c>
      <c r="AQ51" s="24">
        <v>2.0</v>
      </c>
      <c r="AR51" s="24">
        <v>46041.0</v>
      </c>
      <c r="AS51" s="24">
        <f>' En tramite 23-26'!$AI51+45</f>
        <v>46041</v>
      </c>
      <c r="AT51" s="20" t="s">
        <v>85</v>
      </c>
      <c r="AU51" s="20" t="s">
        <v>84</v>
      </c>
      <c r="AV51" s="20">
        <v>2.0</v>
      </c>
      <c r="AW51" s="24">
        <f>' En tramite 23-26'!$AS51+45</f>
        <v>46086</v>
      </c>
      <c r="AX51" s="20" t="s">
        <v>86</v>
      </c>
      <c r="AY51" s="20" t="s">
        <v>84</v>
      </c>
      <c r="AZ51" s="20">
        <v>2.0</v>
      </c>
      <c r="BA51" s="24">
        <v>46086.0</v>
      </c>
      <c r="BB51" s="20" t="s">
        <v>84</v>
      </c>
      <c r="BC51" s="28">
        <v>2.0</v>
      </c>
      <c r="BD51" s="24">
        <v>46086.0</v>
      </c>
      <c r="BE51" s="20">
        <f>DAY(' En tramite 23-26'!$BD51)</f>
        <v>5</v>
      </c>
      <c r="BF51" s="24" t="str">
        <f>TEXT(' En tramite 23-26'!$BD51,"mmmm")</f>
        <v>marzo</v>
      </c>
      <c r="BG51" s="20">
        <f>YEAR(' En tramite 23-26'!$BD51)</f>
        <v>2026</v>
      </c>
      <c r="BH51" s="29">
        <v>1.0</v>
      </c>
      <c r="BI51" s="37" t="s">
        <v>148</v>
      </c>
      <c r="BJ51" s="30" t="s">
        <v>88</v>
      </c>
      <c r="BK51" s="31" t="s">
        <v>89</v>
      </c>
      <c r="BL51" s="32"/>
      <c r="BM51" s="33"/>
    </row>
    <row r="52" ht="16.5" customHeight="1">
      <c r="A52" s="11" t="s">
        <v>494</v>
      </c>
      <c r="B52" s="34" t="s">
        <v>446</v>
      </c>
      <c r="C52" s="13" t="s">
        <v>495</v>
      </c>
      <c r="D52" s="18" t="s">
        <v>496</v>
      </c>
      <c r="E52" s="15" t="s">
        <v>497</v>
      </c>
      <c r="F52" s="16" t="s">
        <v>498</v>
      </c>
      <c r="G52" s="16" t="s">
        <v>499</v>
      </c>
      <c r="H52" s="17" t="s">
        <v>500</v>
      </c>
      <c r="I52" s="18" t="s">
        <v>154</v>
      </c>
      <c r="J52" s="18" t="s">
        <v>109</v>
      </c>
      <c r="K52" s="18" t="s">
        <v>155</v>
      </c>
      <c r="L52" s="19" t="s">
        <v>75</v>
      </c>
      <c r="M52" s="14" t="s">
        <v>14</v>
      </c>
      <c r="N52" s="14" t="s">
        <v>491</v>
      </c>
      <c r="O52" s="18" t="s">
        <v>131</v>
      </c>
      <c r="P52" s="20" t="s">
        <v>78</v>
      </c>
      <c r="Q52" s="20">
        <v>4.422127149E9</v>
      </c>
      <c r="R52" s="20" t="s">
        <v>492</v>
      </c>
      <c r="S52" s="35" t="s">
        <v>493</v>
      </c>
      <c r="T52" s="22" t="s">
        <v>81</v>
      </c>
      <c r="U52" s="21" t="s">
        <v>100</v>
      </c>
      <c r="V52" s="86">
        <v>1.0</v>
      </c>
      <c r="W52" s="20" t="s">
        <v>83</v>
      </c>
      <c r="X52" s="20" t="s">
        <v>84</v>
      </c>
      <c r="Y52" s="24">
        <v>2.0</v>
      </c>
      <c r="Z52" s="25">
        <v>45986.0</v>
      </c>
      <c r="AA52" s="20">
        <f>DAY(Tabla1[F. INICIO])</f>
        <v>25</v>
      </c>
      <c r="AB52" s="26" t="str">
        <f>TEXT(' En tramite 23-26'!$Z52,"mmmm")</f>
        <v>noviembre</v>
      </c>
      <c r="AC52" s="20">
        <f>YEAR(' En tramite 23-26'!$Z52)</f>
        <v>2025</v>
      </c>
      <c r="AD52" s="20" t="s">
        <v>84</v>
      </c>
      <c r="AE52" s="24">
        <v>2.0</v>
      </c>
      <c r="AF52" s="24">
        <v>45986.0</v>
      </c>
      <c r="AG52" s="20" t="s">
        <v>84</v>
      </c>
      <c r="AH52" s="24">
        <v>2.0</v>
      </c>
      <c r="AI52" s="24">
        <v>45996.0</v>
      </c>
      <c r="AJ52" s="20">
        <f>DAY(' En tramite 23-26'!$AI52)</f>
        <v>5</v>
      </c>
      <c r="AK52" s="20" t="str">
        <f>TEXT(' En tramite 23-26'!$AI52,"mmmm")</f>
        <v>diciembre</v>
      </c>
      <c r="AL52" s="20">
        <f>YEAR(' En tramite 23-26'!$Z52)</f>
        <v>2025</v>
      </c>
      <c r="AM52" s="20" t="s">
        <v>84</v>
      </c>
      <c r="AN52" s="24">
        <v>2.0</v>
      </c>
      <c r="AO52" s="24">
        <v>45996.0</v>
      </c>
      <c r="AP52" s="20" t="s">
        <v>84</v>
      </c>
      <c r="AQ52" s="24">
        <v>2.0</v>
      </c>
      <c r="AR52" s="24">
        <v>46041.0</v>
      </c>
      <c r="AS52" s="24">
        <f>' En tramite 23-26'!$AI52+45</f>
        <v>46041</v>
      </c>
      <c r="AT52" s="20" t="s">
        <v>85</v>
      </c>
      <c r="AU52" s="20" t="s">
        <v>84</v>
      </c>
      <c r="AV52" s="20">
        <v>2.0</v>
      </c>
      <c r="AW52" s="24">
        <f>' En tramite 23-26'!$AS52+45</f>
        <v>46086</v>
      </c>
      <c r="AX52" s="20" t="s">
        <v>86</v>
      </c>
      <c r="AY52" s="20" t="s">
        <v>84</v>
      </c>
      <c r="AZ52" s="20">
        <v>2.0</v>
      </c>
      <c r="BA52" s="24">
        <v>46086.0</v>
      </c>
      <c r="BB52" s="20" t="s">
        <v>84</v>
      </c>
      <c r="BC52" s="28">
        <v>2.0</v>
      </c>
      <c r="BD52" s="24">
        <v>46086.0</v>
      </c>
      <c r="BE52" s="20">
        <f>DAY(' En tramite 23-26'!$BD52)</f>
        <v>5</v>
      </c>
      <c r="BF52" s="24" t="str">
        <f>TEXT(' En tramite 23-26'!$BD52,"mmmm")</f>
        <v>marzo</v>
      </c>
      <c r="BG52" s="20">
        <f>YEAR(' En tramite 23-26'!$BD52)</f>
        <v>2026</v>
      </c>
      <c r="BH52" s="29">
        <v>1.0</v>
      </c>
      <c r="BI52" s="37" t="s">
        <v>148</v>
      </c>
      <c r="BJ52" s="30" t="s">
        <v>88</v>
      </c>
      <c r="BK52" s="31" t="s">
        <v>89</v>
      </c>
      <c r="BL52" s="14"/>
      <c r="BM52" s="81"/>
      <c r="BO52" s="87" t="s">
        <v>501</v>
      </c>
    </row>
    <row r="53" ht="16.5" customHeight="1">
      <c r="A53" s="11" t="s">
        <v>502</v>
      </c>
      <c r="B53" s="34" t="s">
        <v>467</v>
      </c>
      <c r="C53" s="13" t="s">
        <v>503</v>
      </c>
      <c r="D53" s="18" t="s">
        <v>504</v>
      </c>
      <c r="E53" s="15" t="s">
        <v>505</v>
      </c>
      <c r="F53" s="16" t="s">
        <v>506</v>
      </c>
      <c r="G53" s="16">
        <v>4.424665765E9</v>
      </c>
      <c r="H53" s="17" t="s">
        <v>507</v>
      </c>
      <c r="I53" s="18" t="s">
        <v>407</v>
      </c>
      <c r="J53" s="18" t="s">
        <v>109</v>
      </c>
      <c r="K53" s="18" t="s">
        <v>74</v>
      </c>
      <c r="L53" s="19" t="s">
        <v>75</v>
      </c>
      <c r="M53" s="14" t="s">
        <v>142</v>
      </c>
      <c r="N53" s="18" t="s">
        <v>508</v>
      </c>
      <c r="O53" s="18" t="s">
        <v>97</v>
      </c>
      <c r="P53" s="20" t="s">
        <v>78</v>
      </c>
      <c r="Q53" s="20">
        <v>4.464091385E9</v>
      </c>
      <c r="R53" s="20" t="s">
        <v>509</v>
      </c>
      <c r="S53" s="35" t="s">
        <v>510</v>
      </c>
      <c r="T53" s="22" t="s">
        <v>81</v>
      </c>
      <c r="U53" s="21" t="s">
        <v>100</v>
      </c>
      <c r="V53" s="23">
        <v>1.0</v>
      </c>
      <c r="W53" s="22" t="s">
        <v>83</v>
      </c>
      <c r="X53" s="20" t="s">
        <v>84</v>
      </c>
      <c r="Y53" s="24">
        <v>2.0</v>
      </c>
      <c r="Z53" s="25">
        <v>45917.0</v>
      </c>
      <c r="AA53" s="20">
        <f>DAY(Tabla1[F. INICIO])</f>
        <v>17</v>
      </c>
      <c r="AB53" s="26" t="str">
        <f>TEXT(' En tramite 23-26'!$Z53,"mmmm")</f>
        <v>septiembre</v>
      </c>
      <c r="AC53" s="20">
        <f>YEAR(' En tramite 23-26'!$Z53)</f>
        <v>2025</v>
      </c>
      <c r="AD53" s="20" t="s">
        <v>84</v>
      </c>
      <c r="AE53" s="24">
        <v>2.0</v>
      </c>
      <c r="AF53" s="24">
        <v>45917.0</v>
      </c>
      <c r="AG53" s="20" t="s">
        <v>84</v>
      </c>
      <c r="AH53" s="24">
        <v>45918.0</v>
      </c>
      <c r="AI53" s="24">
        <v>45918.0</v>
      </c>
      <c r="AJ53" s="20">
        <f>DAY(' En tramite 23-26'!$AI53)</f>
        <v>18</v>
      </c>
      <c r="AK53" s="20" t="str">
        <f>TEXT(' En tramite 23-26'!$AI53,"mmmm")</f>
        <v>septiembre</v>
      </c>
      <c r="AL53" s="20">
        <f>YEAR(' En tramite 23-26'!$Z53)</f>
        <v>2025</v>
      </c>
      <c r="AM53" s="20" t="s">
        <v>84</v>
      </c>
      <c r="AN53" s="24">
        <v>2.0</v>
      </c>
      <c r="AO53" s="24">
        <v>45918.0</v>
      </c>
      <c r="AP53" s="20" t="s">
        <v>84</v>
      </c>
      <c r="AQ53" s="24">
        <v>2.0</v>
      </c>
      <c r="AR53" s="24">
        <v>45964.0</v>
      </c>
      <c r="AS53" s="24">
        <f>' En tramite 23-26'!$AI53+45</f>
        <v>45963</v>
      </c>
      <c r="AT53" s="20" t="s">
        <v>85</v>
      </c>
      <c r="AU53" s="20" t="s">
        <v>84</v>
      </c>
      <c r="AV53" s="20">
        <v>2.0</v>
      </c>
      <c r="AW53" s="24">
        <v>46009.0</v>
      </c>
      <c r="AX53" s="20" t="s">
        <v>86</v>
      </c>
      <c r="AY53" s="20" t="s">
        <v>84</v>
      </c>
      <c r="AZ53" s="20">
        <v>2.0</v>
      </c>
      <c r="BA53" s="24">
        <v>46009.0</v>
      </c>
      <c r="BB53" s="20" t="s">
        <v>84</v>
      </c>
      <c r="BC53" s="28">
        <v>2.0</v>
      </c>
      <c r="BD53" s="24">
        <v>46009.0</v>
      </c>
      <c r="BE53" s="20">
        <f>DAY(' En tramite 23-26'!$BD53)</f>
        <v>18</v>
      </c>
      <c r="BF53" s="24" t="str">
        <f>TEXT(' En tramite 23-26'!$BD53,"mmmm")</f>
        <v>diciembre</v>
      </c>
      <c r="BG53" s="20">
        <f>YEAR(' En tramite 23-26'!$BD53)</f>
        <v>2025</v>
      </c>
      <c r="BH53" s="29">
        <v>1.0</v>
      </c>
      <c r="BI53" s="37" t="s">
        <v>148</v>
      </c>
      <c r="BJ53" s="30" t="s">
        <v>88</v>
      </c>
      <c r="BK53" s="31" t="s">
        <v>89</v>
      </c>
      <c r="BL53" s="32"/>
      <c r="BM53" s="33"/>
    </row>
    <row r="54" ht="16.5" customHeight="1">
      <c r="A54" s="11" t="s">
        <v>511</v>
      </c>
      <c r="B54" s="34" t="s">
        <v>473</v>
      </c>
      <c r="C54" s="13" t="s">
        <v>512</v>
      </c>
      <c r="D54" s="18" t="s">
        <v>513</v>
      </c>
      <c r="E54" s="15" t="s">
        <v>514</v>
      </c>
      <c r="F54" s="16" t="s">
        <v>515</v>
      </c>
      <c r="G54" s="16">
        <v>4.4260193E9</v>
      </c>
      <c r="H54" s="17" t="s">
        <v>516</v>
      </c>
      <c r="I54" s="18" t="s">
        <v>108</v>
      </c>
      <c r="J54" s="18" t="s">
        <v>109</v>
      </c>
      <c r="K54" s="18" t="s">
        <v>110</v>
      </c>
      <c r="L54" s="19" t="s">
        <v>75</v>
      </c>
      <c r="M54" s="14" t="s">
        <v>142</v>
      </c>
      <c r="N54" s="18" t="s">
        <v>508</v>
      </c>
      <c r="O54" s="18" t="s">
        <v>97</v>
      </c>
      <c r="P54" s="20" t="s">
        <v>78</v>
      </c>
      <c r="Q54" s="20">
        <v>4.464091385E9</v>
      </c>
      <c r="R54" s="20" t="s">
        <v>509</v>
      </c>
      <c r="S54" s="35" t="s">
        <v>510</v>
      </c>
      <c r="T54" s="22" t="s">
        <v>81</v>
      </c>
      <c r="U54" s="21" t="s">
        <v>82</v>
      </c>
      <c r="V54" s="23">
        <v>1.0</v>
      </c>
      <c r="W54" s="22" t="s">
        <v>83</v>
      </c>
      <c r="X54" s="20" t="s">
        <v>84</v>
      </c>
      <c r="Y54" s="24">
        <v>2.0</v>
      </c>
      <c r="Z54" s="25">
        <v>45917.0</v>
      </c>
      <c r="AA54" s="20">
        <f>DAY(Tabla1[F. INICIO])</f>
        <v>17</v>
      </c>
      <c r="AB54" s="26" t="str">
        <f>TEXT(' En tramite 23-26'!$Z54,"mmmm")</f>
        <v>septiembre</v>
      </c>
      <c r="AC54" s="20">
        <f>YEAR(' En tramite 23-26'!$Z54)</f>
        <v>2025</v>
      </c>
      <c r="AD54" s="20" t="s">
        <v>84</v>
      </c>
      <c r="AE54" s="24">
        <v>2.0</v>
      </c>
      <c r="AF54" s="24">
        <v>45917.0</v>
      </c>
      <c r="AG54" s="20" t="s">
        <v>84</v>
      </c>
      <c r="AH54" s="24">
        <v>45918.0</v>
      </c>
      <c r="AI54" s="24">
        <v>45918.0</v>
      </c>
      <c r="AJ54" s="20">
        <f>DAY(' En tramite 23-26'!$AI54)</f>
        <v>18</v>
      </c>
      <c r="AK54" s="20" t="str">
        <f>TEXT(' En tramite 23-26'!$AI54,"mmmm")</f>
        <v>septiembre</v>
      </c>
      <c r="AL54" s="20">
        <f>YEAR(' En tramite 23-26'!$Z54)</f>
        <v>2025</v>
      </c>
      <c r="AM54" s="20" t="s">
        <v>84</v>
      </c>
      <c r="AN54" s="24">
        <v>2.0</v>
      </c>
      <c r="AO54" s="24">
        <v>45917.0</v>
      </c>
      <c r="AP54" s="20" t="s">
        <v>84</v>
      </c>
      <c r="AQ54" s="24">
        <v>2.0</v>
      </c>
      <c r="AR54" s="24">
        <v>45964.0</v>
      </c>
      <c r="AS54" s="24">
        <f>' En tramite 23-26'!$AI54+45</f>
        <v>45963</v>
      </c>
      <c r="AT54" s="20" t="s">
        <v>85</v>
      </c>
      <c r="AU54" s="20" t="s">
        <v>84</v>
      </c>
      <c r="AV54" s="20">
        <v>2.0</v>
      </c>
      <c r="AW54" s="24">
        <v>46009.0</v>
      </c>
      <c r="AX54" s="20" t="s">
        <v>86</v>
      </c>
      <c r="AY54" s="20" t="s">
        <v>84</v>
      </c>
      <c r="AZ54" s="20">
        <v>2.0</v>
      </c>
      <c r="BA54" s="24">
        <v>46009.0</v>
      </c>
      <c r="BB54" s="20" t="s">
        <v>84</v>
      </c>
      <c r="BC54" s="28">
        <v>2.0</v>
      </c>
      <c r="BD54" s="24">
        <v>46009.0</v>
      </c>
      <c r="BE54" s="20">
        <f>DAY(' En tramite 23-26'!$BD54)</f>
        <v>18</v>
      </c>
      <c r="BF54" s="24" t="str">
        <f>TEXT(' En tramite 23-26'!$BD54,"mmmm")</f>
        <v>diciembre</v>
      </c>
      <c r="BG54" s="20">
        <f>YEAR(' En tramite 23-26'!$BD54)</f>
        <v>2025</v>
      </c>
      <c r="BH54" s="29">
        <v>1.0</v>
      </c>
      <c r="BI54" s="37" t="s">
        <v>148</v>
      </c>
      <c r="BJ54" s="30" t="s">
        <v>88</v>
      </c>
      <c r="BK54" s="31" t="s">
        <v>89</v>
      </c>
      <c r="BL54" s="32"/>
      <c r="BM54" s="33"/>
    </row>
    <row r="55" ht="16.5" customHeight="1">
      <c r="A55" s="11" t="s">
        <v>517</v>
      </c>
      <c r="B55" s="34" t="s">
        <v>479</v>
      </c>
      <c r="C55" s="13" t="s">
        <v>518</v>
      </c>
      <c r="D55" s="18" t="s">
        <v>519</v>
      </c>
      <c r="E55" s="15" t="s">
        <v>520</v>
      </c>
      <c r="F55" s="16" t="s">
        <v>521</v>
      </c>
      <c r="G55" s="16">
        <v>4.421057923E9</v>
      </c>
      <c r="H55" s="17" t="s">
        <v>522</v>
      </c>
      <c r="I55" s="18" t="s">
        <v>345</v>
      </c>
      <c r="J55" s="18" t="s">
        <v>73</v>
      </c>
      <c r="K55" s="18" t="s">
        <v>74</v>
      </c>
      <c r="L55" s="19" t="s">
        <v>75</v>
      </c>
      <c r="M55" s="14" t="s">
        <v>14</v>
      </c>
      <c r="N55" s="14" t="s">
        <v>523</v>
      </c>
      <c r="O55" s="18" t="s">
        <v>211</v>
      </c>
      <c r="P55" s="20" t="s">
        <v>78</v>
      </c>
      <c r="Q55" s="20" t="s">
        <v>83</v>
      </c>
      <c r="R55" s="18" t="s">
        <v>524</v>
      </c>
      <c r="S55" s="35" t="s">
        <v>83</v>
      </c>
      <c r="T55" s="22" t="s">
        <v>81</v>
      </c>
      <c r="U55" s="21" t="s">
        <v>100</v>
      </c>
      <c r="V55" s="23">
        <v>1.0</v>
      </c>
      <c r="W55" s="22" t="s">
        <v>83</v>
      </c>
      <c r="X55" s="20" t="s">
        <v>84</v>
      </c>
      <c r="Y55" s="24">
        <v>2.0</v>
      </c>
      <c r="Z55" s="25">
        <v>45882.0</v>
      </c>
      <c r="AA55" s="20">
        <f>DAY(Tabla1[F. INICIO])</f>
        <v>13</v>
      </c>
      <c r="AB55" s="26" t="str">
        <f>TEXT(' En tramite 23-26'!$Z55,"mmmm")</f>
        <v>agosto</v>
      </c>
      <c r="AC55" s="20">
        <f>YEAR(' En tramite 23-26'!$Z55)</f>
        <v>2025</v>
      </c>
      <c r="AD55" s="20" t="s">
        <v>84</v>
      </c>
      <c r="AE55" s="24">
        <v>2.0</v>
      </c>
      <c r="AF55" s="24">
        <v>45882.0</v>
      </c>
      <c r="AG55" s="20" t="s">
        <v>84</v>
      </c>
      <c r="AH55" s="24">
        <v>2.0</v>
      </c>
      <c r="AI55" s="24">
        <v>45882.0</v>
      </c>
      <c r="AJ55" s="20">
        <f>DAY(' En tramite 23-26'!$AI55)</f>
        <v>13</v>
      </c>
      <c r="AK55" s="20" t="str">
        <f>TEXT(' En tramite 23-26'!$AI55,"mmmm")</f>
        <v>agosto</v>
      </c>
      <c r="AL55" s="20">
        <f>YEAR(' En tramite 23-26'!$Z55)</f>
        <v>2025</v>
      </c>
      <c r="AM55" s="20" t="s">
        <v>84</v>
      </c>
      <c r="AN55" s="24">
        <v>2.0</v>
      </c>
      <c r="AO55" s="24">
        <v>46247.0</v>
      </c>
      <c r="AP55" s="20" t="s">
        <v>84</v>
      </c>
      <c r="AQ55" s="24">
        <v>2.0</v>
      </c>
      <c r="AR55" s="24">
        <v>45929.0</v>
      </c>
      <c r="AS55" s="24">
        <f>' En tramite 23-26'!$AI55+45</f>
        <v>45927</v>
      </c>
      <c r="AT55" s="20" t="s">
        <v>85</v>
      </c>
      <c r="AU55" s="20" t="s">
        <v>84</v>
      </c>
      <c r="AV55" s="20">
        <v>2.0</v>
      </c>
      <c r="AW55" s="24">
        <v>46035.0</v>
      </c>
      <c r="AX55" s="20" t="s">
        <v>86</v>
      </c>
      <c r="AY55" s="20" t="s">
        <v>84</v>
      </c>
      <c r="AZ55" s="20">
        <v>2.0</v>
      </c>
      <c r="BA55" s="24">
        <v>46035.0</v>
      </c>
      <c r="BB55" s="20" t="s">
        <v>84</v>
      </c>
      <c r="BC55" s="28">
        <v>2.0</v>
      </c>
      <c r="BD55" s="24">
        <v>46035.0</v>
      </c>
      <c r="BE55" s="20">
        <f>DAY(' En tramite 23-26'!$BD55)</f>
        <v>13</v>
      </c>
      <c r="BF55" s="24" t="str">
        <f>TEXT(' En tramite 23-26'!$BD55,"mmmm")</f>
        <v>enero</v>
      </c>
      <c r="BG55" s="20">
        <f>YEAR(' En tramite 23-26'!$BD55)</f>
        <v>2026</v>
      </c>
      <c r="BH55" s="29">
        <v>1.0</v>
      </c>
      <c r="BI55" s="38" t="s">
        <v>525</v>
      </c>
      <c r="BJ55" s="30" t="s">
        <v>88</v>
      </c>
      <c r="BK55" s="31" t="s">
        <v>89</v>
      </c>
      <c r="BL55" s="32">
        <v>46212.0</v>
      </c>
      <c r="BM55" s="33">
        <v>2.0</v>
      </c>
    </row>
    <row r="56" ht="16.5" customHeight="1">
      <c r="A56" s="11" t="s">
        <v>526</v>
      </c>
      <c r="B56" s="34" t="s">
        <v>485</v>
      </c>
      <c r="C56" s="13" t="s">
        <v>527</v>
      </c>
      <c r="D56" s="18" t="s">
        <v>528</v>
      </c>
      <c r="E56" s="15" t="s">
        <v>529</v>
      </c>
      <c r="F56" s="16" t="s">
        <v>530</v>
      </c>
      <c r="G56" s="16">
        <v>4.428145289E9</v>
      </c>
      <c r="H56" s="17" t="s">
        <v>531</v>
      </c>
      <c r="I56" s="18" t="s">
        <v>345</v>
      </c>
      <c r="J56" s="18" t="s">
        <v>73</v>
      </c>
      <c r="K56" s="18" t="s">
        <v>74</v>
      </c>
      <c r="L56" s="19" t="s">
        <v>75</v>
      </c>
      <c r="M56" s="14" t="s">
        <v>14</v>
      </c>
      <c r="N56" s="14" t="s">
        <v>523</v>
      </c>
      <c r="O56" s="18" t="s">
        <v>211</v>
      </c>
      <c r="P56" s="20" t="s">
        <v>78</v>
      </c>
      <c r="Q56" s="20" t="s">
        <v>83</v>
      </c>
      <c r="R56" s="18" t="s">
        <v>524</v>
      </c>
      <c r="S56" s="35" t="s">
        <v>83</v>
      </c>
      <c r="T56" s="22" t="s">
        <v>81</v>
      </c>
      <c r="U56" s="21" t="s">
        <v>100</v>
      </c>
      <c r="V56" s="23">
        <v>1.0</v>
      </c>
      <c r="W56" s="22" t="s">
        <v>83</v>
      </c>
      <c r="X56" s="20" t="s">
        <v>84</v>
      </c>
      <c r="Y56" s="24">
        <v>2.0</v>
      </c>
      <c r="Z56" s="25">
        <v>45882.0</v>
      </c>
      <c r="AA56" s="20">
        <f>DAY(Tabla1[F. INICIO])</f>
        <v>13</v>
      </c>
      <c r="AB56" s="26" t="str">
        <f>TEXT(' En tramite 23-26'!$Z56,"mmmm")</f>
        <v>agosto</v>
      </c>
      <c r="AC56" s="20">
        <f>YEAR(' En tramite 23-26'!$Z56)</f>
        <v>2025</v>
      </c>
      <c r="AD56" s="20" t="s">
        <v>84</v>
      </c>
      <c r="AE56" s="24">
        <v>2.0</v>
      </c>
      <c r="AF56" s="24">
        <v>45882.0</v>
      </c>
      <c r="AG56" s="20" t="s">
        <v>84</v>
      </c>
      <c r="AH56" s="24">
        <v>2.0</v>
      </c>
      <c r="AI56" s="24">
        <v>45882.0</v>
      </c>
      <c r="AJ56" s="20">
        <f>DAY(' En tramite 23-26'!$AI56)</f>
        <v>13</v>
      </c>
      <c r="AK56" s="20" t="str">
        <f>TEXT(' En tramite 23-26'!$AI56,"mmmm")</f>
        <v>agosto</v>
      </c>
      <c r="AL56" s="20">
        <f>YEAR(' En tramite 23-26'!$Z56)</f>
        <v>2025</v>
      </c>
      <c r="AM56" s="20" t="s">
        <v>84</v>
      </c>
      <c r="AN56" s="24">
        <v>2.0</v>
      </c>
      <c r="AO56" s="24">
        <v>45882.0</v>
      </c>
      <c r="AP56" s="20" t="s">
        <v>84</v>
      </c>
      <c r="AQ56" s="24">
        <v>2.0</v>
      </c>
      <c r="AR56" s="24">
        <v>46294.0</v>
      </c>
      <c r="AS56" s="24">
        <f>' En tramite 23-26'!$AI56+45</f>
        <v>45927</v>
      </c>
      <c r="AT56" s="20" t="s">
        <v>85</v>
      </c>
      <c r="AU56" s="20" t="s">
        <v>84</v>
      </c>
      <c r="AV56" s="20">
        <v>2.0</v>
      </c>
      <c r="AW56" s="24">
        <v>46035.0</v>
      </c>
      <c r="AX56" s="20" t="s">
        <v>86</v>
      </c>
      <c r="AY56" s="20" t="s">
        <v>84</v>
      </c>
      <c r="AZ56" s="20">
        <v>2.0</v>
      </c>
      <c r="BA56" s="24">
        <v>46035.0</v>
      </c>
      <c r="BB56" s="20" t="s">
        <v>84</v>
      </c>
      <c r="BC56" s="28">
        <v>2.0</v>
      </c>
      <c r="BD56" s="24">
        <v>46035.0</v>
      </c>
      <c r="BE56" s="20">
        <f>DAY(' En tramite 23-26'!$BD56)</f>
        <v>13</v>
      </c>
      <c r="BF56" s="24" t="str">
        <f>TEXT(' En tramite 23-26'!$BD56,"mmmm")</f>
        <v>enero</v>
      </c>
      <c r="BG56" s="20">
        <f>YEAR(' En tramite 23-26'!$BD56)</f>
        <v>2026</v>
      </c>
      <c r="BH56" s="29">
        <v>1.0</v>
      </c>
      <c r="BI56" s="38" t="s">
        <v>525</v>
      </c>
      <c r="BJ56" s="30" t="s">
        <v>88</v>
      </c>
      <c r="BK56" s="31" t="s">
        <v>89</v>
      </c>
      <c r="BL56" s="32"/>
      <c r="BM56" s="33"/>
    </row>
    <row r="57" ht="16.5" customHeight="1">
      <c r="A57" s="11" t="s">
        <v>532</v>
      </c>
      <c r="B57" s="34" t="s">
        <v>494</v>
      </c>
      <c r="C57" s="13" t="s">
        <v>533</v>
      </c>
      <c r="D57" s="18" t="s">
        <v>534</v>
      </c>
      <c r="E57" s="15" t="s">
        <v>535</v>
      </c>
      <c r="F57" s="16">
        <v>2.3422070060264E13</v>
      </c>
      <c r="G57" s="16">
        <v>4.425979531E9</v>
      </c>
      <c r="H57" s="17" t="s">
        <v>536</v>
      </c>
      <c r="I57" s="18" t="s">
        <v>72</v>
      </c>
      <c r="J57" s="18" t="s">
        <v>109</v>
      </c>
      <c r="K57" s="18" t="s">
        <v>74</v>
      </c>
      <c r="L57" s="19" t="s">
        <v>75</v>
      </c>
      <c r="M57" s="14" t="s">
        <v>14</v>
      </c>
      <c r="N57" s="14" t="s">
        <v>537</v>
      </c>
      <c r="O57" s="18" t="s">
        <v>131</v>
      </c>
      <c r="P57" s="20" t="s">
        <v>78</v>
      </c>
      <c r="Q57" s="20" t="s">
        <v>83</v>
      </c>
      <c r="R57" s="18" t="s">
        <v>538</v>
      </c>
      <c r="S57" s="35" t="s">
        <v>539</v>
      </c>
      <c r="T57" s="22" t="s">
        <v>81</v>
      </c>
      <c r="U57" s="21" t="s">
        <v>100</v>
      </c>
      <c r="V57" s="86">
        <v>1.0</v>
      </c>
      <c r="W57" s="20" t="s">
        <v>83</v>
      </c>
      <c r="X57" s="20" t="s">
        <v>84</v>
      </c>
      <c r="Y57" s="24">
        <v>2.0</v>
      </c>
      <c r="Z57" s="25">
        <v>45994.0</v>
      </c>
      <c r="AA57" s="20">
        <f>DAY(Tabla1[F. INICIO])</f>
        <v>3</v>
      </c>
      <c r="AB57" s="26" t="str">
        <f>TEXT(' En tramite 23-26'!$Z57,"mmmm")</f>
        <v>diciembre</v>
      </c>
      <c r="AC57" s="20">
        <f>YEAR(' En tramite 23-26'!$Z57)</f>
        <v>2025</v>
      </c>
      <c r="AD57" s="20" t="s">
        <v>84</v>
      </c>
      <c r="AE57" s="24">
        <v>2.0</v>
      </c>
      <c r="AF57" s="24">
        <v>45995.0</v>
      </c>
      <c r="AG57" s="20" t="s">
        <v>84</v>
      </c>
      <c r="AH57" s="24">
        <v>2.0</v>
      </c>
      <c r="AI57" s="24">
        <v>45995.0</v>
      </c>
      <c r="AJ57" s="20">
        <f>DAY(' En tramite 23-26'!$AI57)</f>
        <v>4</v>
      </c>
      <c r="AK57" s="20" t="str">
        <f>TEXT(' En tramite 23-26'!$AI57,"mmmm")</f>
        <v>diciembre</v>
      </c>
      <c r="AL57" s="20">
        <f>YEAR(' En tramite 23-26'!$Z57)</f>
        <v>2025</v>
      </c>
      <c r="AM57" s="20" t="s">
        <v>84</v>
      </c>
      <c r="AN57" s="24">
        <v>2.0</v>
      </c>
      <c r="AO57" s="24">
        <v>45748.0</v>
      </c>
      <c r="AP57" s="20" t="s">
        <v>84</v>
      </c>
      <c r="AQ57" s="24">
        <v>2.0</v>
      </c>
      <c r="AR57" s="24">
        <v>46041.0</v>
      </c>
      <c r="AS57" s="24">
        <f>' En tramite 23-26'!$AI57+45</f>
        <v>46040</v>
      </c>
      <c r="AT57" s="20" t="s">
        <v>85</v>
      </c>
      <c r="AU57" s="20" t="s">
        <v>84</v>
      </c>
      <c r="AV57" s="20">
        <v>2.0</v>
      </c>
      <c r="AW57" s="24">
        <f>' En tramite 23-26'!$AS57+45</f>
        <v>46085</v>
      </c>
      <c r="AX57" s="20" t="s">
        <v>86</v>
      </c>
      <c r="AY57" s="20" t="s">
        <v>84</v>
      </c>
      <c r="AZ57" s="20">
        <v>2.0</v>
      </c>
      <c r="BA57" s="24">
        <v>46085.0</v>
      </c>
      <c r="BB57" s="20" t="s">
        <v>84</v>
      </c>
      <c r="BC57" s="28">
        <v>2.0</v>
      </c>
      <c r="BD57" s="24">
        <v>46085.0</v>
      </c>
      <c r="BE57" s="20">
        <f>DAY(' En tramite 23-26'!$BD57)</f>
        <v>4</v>
      </c>
      <c r="BF57" s="24" t="str">
        <f>TEXT(' En tramite 23-26'!$BD57,"mmmm")</f>
        <v>marzo</v>
      </c>
      <c r="BG57" s="20">
        <f>YEAR(' En tramite 23-26'!$BD57)</f>
        <v>2026</v>
      </c>
      <c r="BH57" s="29">
        <v>1.0</v>
      </c>
      <c r="BI57" s="26" t="s">
        <v>540</v>
      </c>
      <c r="BJ57" s="30" t="s">
        <v>88</v>
      </c>
      <c r="BK57" s="31" t="s">
        <v>89</v>
      </c>
      <c r="BL57" s="32">
        <v>46237.0</v>
      </c>
      <c r="BM57" s="33">
        <v>2.0</v>
      </c>
    </row>
    <row r="58" ht="16.5" customHeight="1">
      <c r="A58" s="11" t="s">
        <v>541</v>
      </c>
      <c r="B58" s="34" t="s">
        <v>502</v>
      </c>
      <c r="C58" s="13" t="s">
        <v>542</v>
      </c>
      <c r="D58" s="18" t="s">
        <v>543</v>
      </c>
      <c r="E58" s="15" t="s">
        <v>544</v>
      </c>
      <c r="F58" s="16" t="s">
        <v>545</v>
      </c>
      <c r="G58" s="16">
        <v>4.421364079E9</v>
      </c>
      <c r="H58" s="17" t="s">
        <v>546</v>
      </c>
      <c r="I58" s="18" t="s">
        <v>345</v>
      </c>
      <c r="J58" s="18" t="s">
        <v>73</v>
      </c>
      <c r="K58" s="18" t="s">
        <v>74</v>
      </c>
      <c r="L58" s="19" t="s">
        <v>75</v>
      </c>
      <c r="M58" s="14" t="s">
        <v>14</v>
      </c>
      <c r="N58" s="14" t="s">
        <v>547</v>
      </c>
      <c r="O58" s="18" t="s">
        <v>131</v>
      </c>
      <c r="P58" s="20" t="s">
        <v>78</v>
      </c>
      <c r="Q58" s="20" t="s">
        <v>83</v>
      </c>
      <c r="R58" s="20" t="s">
        <v>548</v>
      </c>
      <c r="S58" s="35" t="s">
        <v>549</v>
      </c>
      <c r="T58" s="22" t="s">
        <v>81</v>
      </c>
      <c r="U58" s="21" t="s">
        <v>100</v>
      </c>
      <c r="V58" s="23">
        <v>1.0</v>
      </c>
      <c r="W58" s="82" t="s">
        <v>83</v>
      </c>
      <c r="X58" s="20" t="s">
        <v>84</v>
      </c>
      <c r="Y58" s="24">
        <v>2.0</v>
      </c>
      <c r="Z58" s="25">
        <v>46008.0</v>
      </c>
      <c r="AA58" s="20">
        <f>DAY(Tabla1[F. INICIO])</f>
        <v>17</v>
      </c>
      <c r="AB58" s="26" t="str">
        <f>TEXT(' En tramite 23-26'!$Z58,"mmmm")</f>
        <v>diciembre</v>
      </c>
      <c r="AC58" s="20">
        <f>YEAR(' En tramite 23-26'!$Z58)</f>
        <v>2025</v>
      </c>
      <c r="AD58" s="20" t="s">
        <v>84</v>
      </c>
      <c r="AE58" s="24">
        <v>2.0</v>
      </c>
      <c r="AF58" s="24">
        <v>46008.0</v>
      </c>
      <c r="AG58" s="20" t="s">
        <v>84</v>
      </c>
      <c r="AH58" s="24">
        <v>2.0</v>
      </c>
      <c r="AI58" s="24">
        <v>46013.0</v>
      </c>
      <c r="AJ58" s="20">
        <f>DAY(' En tramite 23-26'!$AI58)</f>
        <v>22</v>
      </c>
      <c r="AK58" s="20" t="str">
        <f>TEXT(' En tramite 23-26'!$AI58,"mmmm")</f>
        <v>diciembre</v>
      </c>
      <c r="AL58" s="20">
        <f>YEAR(' En tramite 23-26'!$Z58)</f>
        <v>2025</v>
      </c>
      <c r="AM58" s="20" t="s">
        <v>84</v>
      </c>
      <c r="AN58" s="24">
        <v>2.0</v>
      </c>
      <c r="AO58" s="24">
        <v>46013.0</v>
      </c>
      <c r="AP58" s="20" t="s">
        <v>84</v>
      </c>
      <c r="AQ58" s="24">
        <v>2.0</v>
      </c>
      <c r="AR58" s="24">
        <v>46049.0</v>
      </c>
      <c r="AS58" s="24">
        <f>' En tramite 23-26'!$AI58+45</f>
        <v>46058</v>
      </c>
      <c r="AT58" s="20" t="s">
        <v>85</v>
      </c>
      <c r="AU58" s="20" t="s">
        <v>84</v>
      </c>
      <c r="AV58" s="24">
        <v>2.0</v>
      </c>
      <c r="AW58" s="24">
        <f>' En tramite 23-26'!$AS58+45</f>
        <v>46103</v>
      </c>
      <c r="AX58" s="20" t="s">
        <v>86</v>
      </c>
      <c r="AY58" s="20" t="s">
        <v>84</v>
      </c>
      <c r="AZ58" s="20">
        <v>2.0</v>
      </c>
      <c r="BA58" s="24">
        <v>46097.0</v>
      </c>
      <c r="BB58" s="20" t="s">
        <v>84</v>
      </c>
      <c r="BC58" s="28">
        <v>2.0</v>
      </c>
      <c r="BD58" s="24">
        <v>46097.0</v>
      </c>
      <c r="BE58" s="20">
        <f>DAY(' En tramite 23-26'!$BD58)</f>
        <v>16</v>
      </c>
      <c r="BF58" s="24" t="str">
        <f>TEXT(' En tramite 23-26'!$BD58,"mmmm")</f>
        <v>marzo</v>
      </c>
      <c r="BG58" s="20">
        <f>YEAR(' En tramite 23-26'!$BD58)</f>
        <v>2026</v>
      </c>
      <c r="BH58" s="29">
        <v>1.0</v>
      </c>
      <c r="BI58" s="26" t="s">
        <v>550</v>
      </c>
      <c r="BJ58" s="30" t="s">
        <v>88</v>
      </c>
      <c r="BK58" s="31" t="s">
        <v>89</v>
      </c>
      <c r="BL58" s="32"/>
      <c r="BM58" s="33"/>
    </row>
    <row r="59" ht="16.5" customHeight="1">
      <c r="A59" s="11" t="s">
        <v>551</v>
      </c>
      <c r="B59" s="34"/>
      <c r="C59" s="13"/>
      <c r="D59" s="41" t="s">
        <v>552</v>
      </c>
      <c r="E59" s="15" t="s">
        <v>553</v>
      </c>
      <c r="F59" s="42" t="s">
        <v>554</v>
      </c>
      <c r="G59" s="42">
        <v>4.421914432E9</v>
      </c>
      <c r="H59" s="43" t="s">
        <v>555</v>
      </c>
      <c r="I59" s="41" t="s">
        <v>140</v>
      </c>
      <c r="J59" s="41" t="s">
        <v>109</v>
      </c>
      <c r="K59" s="41" t="s">
        <v>141</v>
      </c>
      <c r="L59" s="44" t="s">
        <v>200</v>
      </c>
      <c r="M59" s="13" t="s">
        <v>111</v>
      </c>
      <c r="N59" s="41" t="s">
        <v>219</v>
      </c>
      <c r="O59" s="41" t="s">
        <v>97</v>
      </c>
      <c r="P59" s="44" t="s">
        <v>165</v>
      </c>
      <c r="Q59" s="44">
        <v>4.421561235E9</v>
      </c>
      <c r="R59" s="13" t="s">
        <v>98</v>
      </c>
      <c r="S59" s="88" t="s">
        <v>166</v>
      </c>
      <c r="T59" s="46" t="s">
        <v>81</v>
      </c>
      <c r="U59" s="47" t="s">
        <v>100</v>
      </c>
      <c r="V59" s="48">
        <v>0.0</v>
      </c>
      <c r="W59" s="44" t="s">
        <v>83</v>
      </c>
      <c r="X59" s="44"/>
      <c r="Y59" s="49"/>
      <c r="Z59" s="50"/>
      <c r="AA59" s="44"/>
      <c r="AB59" s="51"/>
      <c r="AC59" s="44"/>
      <c r="AD59" s="44"/>
      <c r="AE59" s="49"/>
      <c r="AF59" s="49"/>
      <c r="AG59" s="44"/>
      <c r="AH59" s="49"/>
      <c r="AI59" s="49"/>
      <c r="AJ59" s="44"/>
      <c r="AK59" s="44"/>
      <c r="AL59" s="44"/>
      <c r="AM59" s="44"/>
      <c r="AN59" s="49"/>
      <c r="AO59" s="49"/>
      <c r="AP59" s="44"/>
      <c r="AQ59" s="49"/>
      <c r="AR59" s="49"/>
      <c r="AS59" s="57">
        <f>' En tramite 23-26'!$AI59+45</f>
        <v>45</v>
      </c>
      <c r="AT59" s="44"/>
      <c r="AU59" s="44"/>
      <c r="AV59" s="44"/>
      <c r="AW59" s="49">
        <f>' En tramite 23-26'!$AS59+45</f>
        <v>90</v>
      </c>
      <c r="AX59" s="44"/>
      <c r="AY59" s="44"/>
      <c r="AZ59" s="44"/>
      <c r="BA59" s="49"/>
      <c r="BB59" s="44"/>
      <c r="BC59" s="12"/>
      <c r="BD59" s="49"/>
      <c r="BE59" s="44"/>
      <c r="BF59" s="49"/>
      <c r="BG59" s="44"/>
      <c r="BH59" s="53"/>
      <c r="BI59" s="34"/>
      <c r="BJ59" s="34"/>
      <c r="BK59" s="54"/>
      <c r="BL59" s="13"/>
      <c r="BM59" s="58"/>
    </row>
    <row r="60" ht="16.5" customHeight="1">
      <c r="A60" s="11" t="s">
        <v>556</v>
      </c>
      <c r="B60" s="34" t="s">
        <v>511</v>
      </c>
      <c r="C60" s="13" t="s">
        <v>557</v>
      </c>
      <c r="D60" s="18" t="s">
        <v>558</v>
      </c>
      <c r="E60" s="15" t="s">
        <v>559</v>
      </c>
      <c r="F60" s="16" t="s">
        <v>560</v>
      </c>
      <c r="G60" s="16">
        <v>4.461040382E9</v>
      </c>
      <c r="H60" s="17" t="s">
        <v>561</v>
      </c>
      <c r="I60" s="18" t="s">
        <v>128</v>
      </c>
      <c r="J60" s="18" t="s">
        <v>109</v>
      </c>
      <c r="K60" s="18" t="s">
        <v>129</v>
      </c>
      <c r="L60" s="19" t="s">
        <v>75</v>
      </c>
      <c r="M60" s="14" t="s">
        <v>14</v>
      </c>
      <c r="N60" s="14" t="s">
        <v>562</v>
      </c>
      <c r="O60" s="18" t="s">
        <v>131</v>
      </c>
      <c r="P60" s="20" t="s">
        <v>78</v>
      </c>
      <c r="Q60" s="20">
        <v>4.461166865E9</v>
      </c>
      <c r="R60" s="14" t="s">
        <v>563</v>
      </c>
      <c r="S60" s="89" t="s">
        <v>564</v>
      </c>
      <c r="T60" s="22" t="s">
        <v>81</v>
      </c>
      <c r="U60" s="21" t="s">
        <v>100</v>
      </c>
      <c r="V60" s="86">
        <v>1.0</v>
      </c>
      <c r="W60" s="90" t="s">
        <v>83</v>
      </c>
      <c r="X60" s="20" t="s">
        <v>84</v>
      </c>
      <c r="Y60" s="24">
        <v>2.0</v>
      </c>
      <c r="Z60" s="25">
        <v>45996.0</v>
      </c>
      <c r="AA60" s="20">
        <f>DAY(Tabla1[F. INICIO])</f>
        <v>5</v>
      </c>
      <c r="AB60" s="26" t="str">
        <f>TEXT(' En tramite 23-26'!$Z60,"mmmm")</f>
        <v>diciembre</v>
      </c>
      <c r="AC60" s="20">
        <f>YEAR(' En tramite 23-26'!$Z60)</f>
        <v>2025</v>
      </c>
      <c r="AD60" s="20" t="s">
        <v>84</v>
      </c>
      <c r="AE60" s="24">
        <v>2.0</v>
      </c>
      <c r="AF60" s="24">
        <v>45996.0</v>
      </c>
      <c r="AG60" s="20" t="s">
        <v>84</v>
      </c>
      <c r="AH60" s="24">
        <v>2.0</v>
      </c>
      <c r="AI60" s="24">
        <v>45999.0</v>
      </c>
      <c r="AJ60" s="20">
        <f>DAY(' En tramite 23-26'!$AI60)</f>
        <v>8</v>
      </c>
      <c r="AK60" s="20" t="str">
        <f>TEXT(' En tramite 23-26'!$AI60,"mmmm")</f>
        <v>diciembre</v>
      </c>
      <c r="AL60" s="20">
        <f>YEAR(' En tramite 23-26'!$Z60)</f>
        <v>2025</v>
      </c>
      <c r="AM60" s="20" t="s">
        <v>84</v>
      </c>
      <c r="AN60" s="24">
        <v>2.0</v>
      </c>
      <c r="AO60" s="24">
        <v>45999.0</v>
      </c>
      <c r="AP60" s="20"/>
      <c r="AQ60" s="24"/>
      <c r="AR60" s="24"/>
      <c r="AS60" s="24">
        <f>' En tramite 23-26'!$AI60+45</f>
        <v>46044</v>
      </c>
      <c r="AT60" s="20" t="s">
        <v>85</v>
      </c>
      <c r="AU60" s="20" t="s">
        <v>84</v>
      </c>
      <c r="AV60" s="20">
        <v>2.0</v>
      </c>
      <c r="AW60" s="24">
        <v>46089.0</v>
      </c>
      <c r="AX60" s="20" t="s">
        <v>86</v>
      </c>
      <c r="AY60" s="20" t="s">
        <v>84</v>
      </c>
      <c r="AZ60" s="20">
        <v>2.0</v>
      </c>
      <c r="BA60" s="24">
        <v>46089.0</v>
      </c>
      <c r="BB60" s="20" t="s">
        <v>84</v>
      </c>
      <c r="BC60" s="28">
        <v>2.0</v>
      </c>
      <c r="BD60" s="24">
        <v>46089.0</v>
      </c>
      <c r="BE60" s="20">
        <f>DAY(' En tramite 23-26'!$BD60)</f>
        <v>8</v>
      </c>
      <c r="BF60" s="24" t="str">
        <f>TEXT(' En tramite 23-26'!$BD60,"mmmm")</f>
        <v>marzo</v>
      </c>
      <c r="BG60" s="20">
        <f>YEAR(' En tramite 23-26'!$BD60)</f>
        <v>2026</v>
      </c>
      <c r="BH60" s="29">
        <v>1.0</v>
      </c>
      <c r="BI60" s="30" t="s">
        <v>565</v>
      </c>
      <c r="BJ60" s="30" t="s">
        <v>88</v>
      </c>
      <c r="BK60" s="31" t="s">
        <v>89</v>
      </c>
      <c r="BL60" s="14"/>
      <c r="BM60" s="81"/>
    </row>
    <row r="61" ht="16.5" customHeight="1">
      <c r="A61" s="11" t="s">
        <v>566</v>
      </c>
      <c r="B61" s="34" t="s">
        <v>517</v>
      </c>
      <c r="C61" s="13" t="s">
        <v>567</v>
      </c>
      <c r="D61" s="18" t="s">
        <v>568</v>
      </c>
      <c r="E61" s="15" t="s">
        <v>569</v>
      </c>
      <c r="F61" s="16" t="s">
        <v>570</v>
      </c>
      <c r="G61" s="16">
        <v>4.425534599E9</v>
      </c>
      <c r="H61" s="17" t="s">
        <v>571</v>
      </c>
      <c r="I61" s="18" t="s">
        <v>128</v>
      </c>
      <c r="J61" s="18" t="s">
        <v>109</v>
      </c>
      <c r="K61" s="18" t="s">
        <v>129</v>
      </c>
      <c r="L61" s="19" t="s">
        <v>75</v>
      </c>
      <c r="M61" s="14" t="s">
        <v>14</v>
      </c>
      <c r="N61" s="14" t="s">
        <v>572</v>
      </c>
      <c r="O61" s="18" t="s">
        <v>77</v>
      </c>
      <c r="P61" s="20" t="s">
        <v>78</v>
      </c>
      <c r="Q61" s="20" t="s">
        <v>83</v>
      </c>
      <c r="R61" s="14" t="s">
        <v>573</v>
      </c>
      <c r="S61" s="89" t="s">
        <v>574</v>
      </c>
      <c r="T61" s="22" t="s">
        <v>81</v>
      </c>
      <c r="U61" s="21" t="s">
        <v>100</v>
      </c>
      <c r="V61" s="23">
        <v>1.0</v>
      </c>
      <c r="W61" s="20" t="s">
        <v>83</v>
      </c>
      <c r="X61" s="20" t="s">
        <v>84</v>
      </c>
      <c r="Y61" s="24">
        <v>2.0</v>
      </c>
      <c r="Z61" s="25">
        <v>45979.0</v>
      </c>
      <c r="AA61" s="20">
        <f>DAY(Tabla1[F. INICIO])</f>
        <v>18</v>
      </c>
      <c r="AB61" s="26" t="str">
        <f>TEXT(' En tramite 23-26'!$Z61,"mmmm")</f>
        <v>noviembre</v>
      </c>
      <c r="AC61" s="20">
        <f>YEAR(' En tramite 23-26'!$Z61)</f>
        <v>2025</v>
      </c>
      <c r="AD61" s="20" t="s">
        <v>84</v>
      </c>
      <c r="AE61" s="24">
        <v>2.0</v>
      </c>
      <c r="AF61" s="24">
        <v>45979.0</v>
      </c>
      <c r="AG61" s="20" t="s">
        <v>84</v>
      </c>
      <c r="AH61" s="24">
        <v>2.0</v>
      </c>
      <c r="AI61" s="24">
        <v>45985.0</v>
      </c>
      <c r="AJ61" s="20">
        <f>DAY(' En tramite 23-26'!$AI61)</f>
        <v>24</v>
      </c>
      <c r="AK61" s="20" t="str">
        <f>TEXT(' En tramite 23-26'!$AI61,"mmmm")</f>
        <v>noviembre</v>
      </c>
      <c r="AL61" s="20">
        <f>YEAR(' En tramite 23-26'!$Z61)</f>
        <v>2025</v>
      </c>
      <c r="AM61" s="20" t="s">
        <v>84</v>
      </c>
      <c r="AN61" s="24">
        <v>2.0</v>
      </c>
      <c r="AO61" s="24">
        <v>45985.0</v>
      </c>
      <c r="AP61" s="20" t="s">
        <v>84</v>
      </c>
      <c r="AQ61" s="24">
        <v>2.0</v>
      </c>
      <c r="AR61" s="24">
        <v>46035.0</v>
      </c>
      <c r="AS61" s="24">
        <f>' En tramite 23-26'!$AI61+45</f>
        <v>46030</v>
      </c>
      <c r="AT61" s="20" t="s">
        <v>85</v>
      </c>
      <c r="AU61" s="20" t="s">
        <v>84</v>
      </c>
      <c r="AV61" s="20">
        <v>2.0</v>
      </c>
      <c r="AW61" s="24">
        <v>46071.0</v>
      </c>
      <c r="AX61" s="20" t="s">
        <v>86</v>
      </c>
      <c r="AY61" s="20" t="s">
        <v>84</v>
      </c>
      <c r="AZ61" s="20">
        <v>2.0</v>
      </c>
      <c r="BA61" s="24">
        <v>46071.0</v>
      </c>
      <c r="BB61" s="20" t="s">
        <v>84</v>
      </c>
      <c r="BC61" s="28">
        <v>2.0</v>
      </c>
      <c r="BD61" s="24">
        <v>46071.0</v>
      </c>
      <c r="BE61" s="20">
        <f>DAY(' En tramite 23-26'!$BD61)</f>
        <v>18</v>
      </c>
      <c r="BF61" s="24" t="str">
        <f>TEXT(' En tramite 23-26'!$BD61,"mmmm")</f>
        <v>febrero</v>
      </c>
      <c r="BG61" s="20">
        <f>YEAR(' En tramite 23-26'!$BD61)</f>
        <v>2026</v>
      </c>
      <c r="BH61" s="29">
        <v>1.0</v>
      </c>
      <c r="BI61" s="26" t="s">
        <v>575</v>
      </c>
      <c r="BJ61" s="30" t="s">
        <v>88</v>
      </c>
      <c r="BK61" s="31" t="s">
        <v>89</v>
      </c>
      <c r="BL61" s="32">
        <v>46213.0</v>
      </c>
      <c r="BM61" s="33">
        <v>2.0</v>
      </c>
    </row>
    <row r="62" ht="16.5" customHeight="1">
      <c r="A62" s="11" t="s">
        <v>576</v>
      </c>
      <c r="B62" s="34" t="s">
        <v>526</v>
      </c>
      <c r="C62" s="13" t="s">
        <v>577</v>
      </c>
      <c r="D62" s="18" t="s">
        <v>578</v>
      </c>
      <c r="E62" s="15" t="s">
        <v>579</v>
      </c>
      <c r="F62" s="16" t="s">
        <v>580</v>
      </c>
      <c r="G62" s="16">
        <v>4.428648679E9</v>
      </c>
      <c r="H62" s="17" t="s">
        <v>581</v>
      </c>
      <c r="I62" s="18" t="s">
        <v>108</v>
      </c>
      <c r="J62" s="18" t="s">
        <v>109</v>
      </c>
      <c r="K62" s="18" t="s">
        <v>110</v>
      </c>
      <c r="L62" s="19" t="s">
        <v>75</v>
      </c>
      <c r="M62" s="14" t="s">
        <v>111</v>
      </c>
      <c r="N62" s="18" t="s">
        <v>355</v>
      </c>
      <c r="O62" s="18" t="s">
        <v>97</v>
      </c>
      <c r="P62" s="20" t="s">
        <v>582</v>
      </c>
      <c r="Q62" s="20">
        <v>4.421550768E9</v>
      </c>
      <c r="R62" s="14" t="s">
        <v>98</v>
      </c>
      <c r="S62" s="89" t="s">
        <v>114</v>
      </c>
      <c r="T62" s="22" t="s">
        <v>81</v>
      </c>
      <c r="U62" s="21" t="s">
        <v>82</v>
      </c>
      <c r="V62" s="86">
        <v>1.0</v>
      </c>
      <c r="W62" s="82" t="s">
        <v>83</v>
      </c>
      <c r="X62" s="20" t="s">
        <v>84</v>
      </c>
      <c r="Y62" s="24">
        <v>2.0</v>
      </c>
      <c r="Z62" s="25">
        <v>45996.0</v>
      </c>
      <c r="AA62" s="20">
        <f>DAY(Tabla1[F. INICIO])</f>
        <v>5</v>
      </c>
      <c r="AB62" s="26" t="str">
        <f>TEXT(' En tramite 23-26'!$Z62,"mmmm")</f>
        <v>diciembre</v>
      </c>
      <c r="AC62" s="20">
        <f>YEAR(' En tramite 23-26'!$Z62)</f>
        <v>2025</v>
      </c>
      <c r="AD62" s="20" t="s">
        <v>84</v>
      </c>
      <c r="AE62" s="24">
        <v>2.0</v>
      </c>
      <c r="AF62" s="24">
        <v>45996.0</v>
      </c>
      <c r="AG62" s="20" t="s">
        <v>84</v>
      </c>
      <c r="AH62" s="24">
        <v>2.0</v>
      </c>
      <c r="AI62" s="24">
        <v>45999.0</v>
      </c>
      <c r="AJ62" s="20">
        <f>DAY(' En tramite 23-26'!$AI62)</f>
        <v>8</v>
      </c>
      <c r="AK62" s="20" t="str">
        <f>TEXT(' En tramite 23-26'!$AI62,"mmmm")</f>
        <v>diciembre</v>
      </c>
      <c r="AL62" s="20">
        <f>YEAR(' En tramite 23-26'!$Z62)</f>
        <v>2025</v>
      </c>
      <c r="AM62" s="20" t="s">
        <v>84</v>
      </c>
      <c r="AN62" s="24">
        <v>2.0</v>
      </c>
      <c r="AO62" s="24">
        <v>45999.0</v>
      </c>
      <c r="AP62" s="20" t="s">
        <v>84</v>
      </c>
      <c r="AQ62" s="24">
        <v>2.0</v>
      </c>
      <c r="AR62" s="24">
        <v>46044.0</v>
      </c>
      <c r="AS62" s="24">
        <f>' En tramite 23-26'!$AI62+45</f>
        <v>46044</v>
      </c>
      <c r="AT62" s="20" t="s">
        <v>85</v>
      </c>
      <c r="AU62" s="20" t="s">
        <v>84</v>
      </c>
      <c r="AV62" s="20">
        <v>2.0</v>
      </c>
      <c r="AW62" s="24">
        <v>46106.0</v>
      </c>
      <c r="AX62" s="20" t="s">
        <v>86</v>
      </c>
      <c r="AY62" s="20" t="s">
        <v>84</v>
      </c>
      <c r="AZ62" s="20">
        <v>2.0</v>
      </c>
      <c r="BA62" s="24">
        <v>46106.0</v>
      </c>
      <c r="BB62" s="20" t="s">
        <v>84</v>
      </c>
      <c r="BC62" s="28">
        <v>2.0</v>
      </c>
      <c r="BD62" s="24">
        <v>46106.0</v>
      </c>
      <c r="BE62" s="20">
        <f>DAY(' En tramite 23-26'!$BD62)</f>
        <v>25</v>
      </c>
      <c r="BF62" s="24" t="str">
        <f>TEXT(' En tramite 23-26'!$BD62,"mmmm")</f>
        <v>marzo</v>
      </c>
      <c r="BG62" s="20">
        <f>YEAR(' En tramite 23-26'!$BD62)</f>
        <v>2026</v>
      </c>
      <c r="BH62" s="29">
        <v>1.0</v>
      </c>
      <c r="BI62" s="26" t="s">
        <v>583</v>
      </c>
      <c r="BJ62" s="30" t="s">
        <v>88</v>
      </c>
      <c r="BK62" s="31" t="s">
        <v>89</v>
      </c>
      <c r="BL62" s="32">
        <v>46213.0</v>
      </c>
      <c r="BM62" s="33">
        <v>2.0</v>
      </c>
    </row>
    <row r="63" ht="16.5" customHeight="1">
      <c r="A63" s="11" t="s">
        <v>584</v>
      </c>
      <c r="B63" s="34" t="s">
        <v>532</v>
      </c>
      <c r="C63" s="13" t="s">
        <v>585</v>
      </c>
      <c r="D63" s="18" t="s">
        <v>586</v>
      </c>
      <c r="E63" s="15" t="s">
        <v>587</v>
      </c>
      <c r="F63" s="16" t="s">
        <v>588</v>
      </c>
      <c r="G63" s="16">
        <v>4.461209484E9</v>
      </c>
      <c r="H63" s="17" t="s">
        <v>589</v>
      </c>
      <c r="I63" s="18" t="s">
        <v>407</v>
      </c>
      <c r="J63" s="18" t="s">
        <v>109</v>
      </c>
      <c r="K63" s="18" t="s">
        <v>74</v>
      </c>
      <c r="L63" s="19" t="s">
        <v>75</v>
      </c>
      <c r="M63" s="14" t="s">
        <v>95</v>
      </c>
      <c r="N63" s="18" t="s">
        <v>96</v>
      </c>
      <c r="O63" s="18" t="s">
        <v>97</v>
      </c>
      <c r="P63" s="20" t="s">
        <v>95</v>
      </c>
      <c r="Q63" s="20">
        <v>4.423622063E9</v>
      </c>
      <c r="R63" s="18" t="s">
        <v>98</v>
      </c>
      <c r="S63" s="21" t="s">
        <v>99</v>
      </c>
      <c r="T63" s="22" t="s">
        <v>81</v>
      </c>
      <c r="U63" s="21" t="s">
        <v>100</v>
      </c>
      <c r="V63" s="91">
        <v>1.0</v>
      </c>
      <c r="W63" s="82" t="s">
        <v>83</v>
      </c>
      <c r="X63" s="20" t="s">
        <v>84</v>
      </c>
      <c r="Y63" s="24">
        <v>2.0</v>
      </c>
      <c r="Z63" s="25">
        <v>45992.0</v>
      </c>
      <c r="AA63" s="20">
        <f>DAY(Tabla1[F. INICIO])</f>
        <v>1</v>
      </c>
      <c r="AB63" s="26" t="str">
        <f>TEXT(' En tramite 23-26'!$Z63,"mmmm")</f>
        <v>diciembre</v>
      </c>
      <c r="AC63" s="20">
        <f>YEAR(' En tramite 23-26'!$Z63)</f>
        <v>2025</v>
      </c>
      <c r="AD63" s="20" t="s">
        <v>84</v>
      </c>
      <c r="AE63" s="24">
        <v>2.0</v>
      </c>
      <c r="AF63" s="24">
        <v>45992.0</v>
      </c>
      <c r="AG63" s="20" t="s">
        <v>84</v>
      </c>
      <c r="AH63" s="24">
        <v>2.0</v>
      </c>
      <c r="AI63" s="24">
        <v>45992.0</v>
      </c>
      <c r="AJ63" s="20">
        <f>DAY(' En tramite 23-26'!$AI63)</f>
        <v>1</v>
      </c>
      <c r="AK63" s="20" t="str">
        <f>TEXT(' En tramite 23-26'!$AI63,"mmmm")</f>
        <v>diciembre</v>
      </c>
      <c r="AL63" s="20">
        <f>YEAR(' En tramite 23-26'!$Z63)</f>
        <v>2025</v>
      </c>
      <c r="AM63" s="20" t="s">
        <v>84</v>
      </c>
      <c r="AN63" s="24">
        <v>2.0</v>
      </c>
      <c r="AO63" s="24">
        <v>45992.0</v>
      </c>
      <c r="AP63" s="20" t="s">
        <v>84</v>
      </c>
      <c r="AQ63" s="24">
        <v>2.0</v>
      </c>
      <c r="AR63" s="24">
        <v>46037.0</v>
      </c>
      <c r="AS63" s="24">
        <f>' En tramite 23-26'!$AI63+45</f>
        <v>46037</v>
      </c>
      <c r="AT63" s="20" t="s">
        <v>85</v>
      </c>
      <c r="AU63" s="20" t="s">
        <v>84</v>
      </c>
      <c r="AV63" s="24">
        <v>2.0</v>
      </c>
      <c r="AW63" s="24">
        <f>' En tramite 23-26'!$AS63+45</f>
        <v>46082</v>
      </c>
      <c r="AX63" s="20" t="s">
        <v>86</v>
      </c>
      <c r="AY63" s="20" t="s">
        <v>84</v>
      </c>
      <c r="AZ63" s="20">
        <v>2.0</v>
      </c>
      <c r="BA63" s="24" t="s">
        <v>590</v>
      </c>
      <c r="BB63" s="20" t="s">
        <v>84</v>
      </c>
      <c r="BC63" s="28">
        <v>2.0</v>
      </c>
      <c r="BD63" s="24">
        <v>46101.0</v>
      </c>
      <c r="BE63" s="20">
        <f>DAY(' En tramite 23-26'!$BD63)</f>
        <v>20</v>
      </c>
      <c r="BF63" s="24" t="str">
        <f>TEXT(' En tramite 23-26'!$BD63,"mmmm")</f>
        <v>marzo</v>
      </c>
      <c r="BG63" s="20">
        <f>YEAR(' En tramite 23-26'!$BD63)</f>
        <v>2026</v>
      </c>
      <c r="BH63" s="29">
        <v>1.0</v>
      </c>
      <c r="BI63" s="26" t="s">
        <v>195</v>
      </c>
      <c r="BJ63" s="30" t="s">
        <v>88</v>
      </c>
      <c r="BK63" s="31" t="s">
        <v>89</v>
      </c>
      <c r="BL63" s="32"/>
      <c r="BM63" s="33"/>
    </row>
    <row r="64" ht="16.5" customHeight="1">
      <c r="A64" s="11" t="s">
        <v>591</v>
      </c>
      <c r="B64" s="34" t="s">
        <v>541</v>
      </c>
      <c r="C64" s="13" t="s">
        <v>592</v>
      </c>
      <c r="D64" s="18" t="s">
        <v>593</v>
      </c>
      <c r="E64" s="15" t="s">
        <v>594</v>
      </c>
      <c r="F64" s="16" t="s">
        <v>595</v>
      </c>
      <c r="G64" s="16">
        <v>4.426588437E9</v>
      </c>
      <c r="H64" s="17" t="s">
        <v>596</v>
      </c>
      <c r="I64" s="18" t="s">
        <v>407</v>
      </c>
      <c r="J64" s="18" t="s">
        <v>109</v>
      </c>
      <c r="K64" s="18" t="s">
        <v>74</v>
      </c>
      <c r="L64" s="19" t="s">
        <v>75</v>
      </c>
      <c r="M64" s="14" t="s">
        <v>95</v>
      </c>
      <c r="N64" s="18" t="s">
        <v>96</v>
      </c>
      <c r="O64" s="18" t="s">
        <v>97</v>
      </c>
      <c r="P64" s="20" t="s">
        <v>95</v>
      </c>
      <c r="Q64" s="20">
        <v>4.423622063E9</v>
      </c>
      <c r="R64" s="18" t="s">
        <v>98</v>
      </c>
      <c r="S64" s="21" t="s">
        <v>99</v>
      </c>
      <c r="T64" s="22" t="s">
        <v>81</v>
      </c>
      <c r="U64" s="21" t="s">
        <v>100</v>
      </c>
      <c r="V64" s="91">
        <v>1.0</v>
      </c>
      <c r="W64" s="82" t="s">
        <v>83</v>
      </c>
      <c r="X64" s="20" t="s">
        <v>84</v>
      </c>
      <c r="Y64" s="24">
        <v>2.0</v>
      </c>
      <c r="Z64" s="25">
        <v>45992.0</v>
      </c>
      <c r="AA64" s="20">
        <f>DAY(Tabla1[F. INICIO])</f>
        <v>1</v>
      </c>
      <c r="AB64" s="26" t="str">
        <f>TEXT(' En tramite 23-26'!$Z64,"mmmm")</f>
        <v>diciembre</v>
      </c>
      <c r="AC64" s="20">
        <f>YEAR(' En tramite 23-26'!$Z64)</f>
        <v>2025</v>
      </c>
      <c r="AD64" s="20" t="s">
        <v>84</v>
      </c>
      <c r="AE64" s="24">
        <v>2.0</v>
      </c>
      <c r="AF64" s="24">
        <v>45992.0</v>
      </c>
      <c r="AG64" s="20" t="s">
        <v>84</v>
      </c>
      <c r="AH64" s="24">
        <v>2.0</v>
      </c>
      <c r="AI64" s="24">
        <v>45992.0</v>
      </c>
      <c r="AJ64" s="20">
        <f>DAY(' En tramite 23-26'!$AI64)</f>
        <v>1</v>
      </c>
      <c r="AK64" s="20" t="str">
        <f>TEXT(' En tramite 23-26'!$AI64,"mmmm")</f>
        <v>diciembre</v>
      </c>
      <c r="AL64" s="20">
        <f>YEAR(' En tramite 23-26'!$Z64)</f>
        <v>2025</v>
      </c>
      <c r="AM64" s="20" t="s">
        <v>84</v>
      </c>
      <c r="AN64" s="24">
        <v>2.0</v>
      </c>
      <c r="AO64" s="24">
        <v>45992.0</v>
      </c>
      <c r="AP64" s="20" t="s">
        <v>84</v>
      </c>
      <c r="AQ64" s="24">
        <v>2.0</v>
      </c>
      <c r="AR64" s="24">
        <v>46037.0</v>
      </c>
      <c r="AS64" s="24">
        <f>' En tramite 23-26'!$AI64+45</f>
        <v>46037</v>
      </c>
      <c r="AT64" s="20" t="s">
        <v>85</v>
      </c>
      <c r="AU64" s="20" t="s">
        <v>84</v>
      </c>
      <c r="AV64" s="24">
        <v>2.0</v>
      </c>
      <c r="AW64" s="24">
        <v>46099.0</v>
      </c>
      <c r="AX64" s="20" t="s">
        <v>86</v>
      </c>
      <c r="AY64" s="20" t="s">
        <v>84</v>
      </c>
      <c r="AZ64" s="20">
        <v>2.0</v>
      </c>
      <c r="BA64" s="24">
        <v>46099.0</v>
      </c>
      <c r="BB64" s="20" t="s">
        <v>84</v>
      </c>
      <c r="BC64" s="28">
        <v>2.0</v>
      </c>
      <c r="BD64" s="24">
        <v>46099.0</v>
      </c>
      <c r="BE64" s="20">
        <f>DAY(' En tramite 23-26'!$BD64)</f>
        <v>18</v>
      </c>
      <c r="BF64" s="24" t="str">
        <f>TEXT(' En tramite 23-26'!$BD64,"mmmm")</f>
        <v>marzo</v>
      </c>
      <c r="BG64" s="20">
        <f>YEAR(' En tramite 23-26'!$BD64)</f>
        <v>2026</v>
      </c>
      <c r="BH64" s="29">
        <v>1.0</v>
      </c>
      <c r="BI64" s="26" t="s">
        <v>229</v>
      </c>
      <c r="BJ64" s="30" t="s">
        <v>88</v>
      </c>
      <c r="BK64" s="31" t="s">
        <v>89</v>
      </c>
      <c r="BL64" s="14"/>
      <c r="BM64" s="81"/>
    </row>
    <row r="65" ht="16.5" customHeight="1">
      <c r="A65" s="11" t="s">
        <v>597</v>
      </c>
      <c r="B65" s="34" t="s">
        <v>551</v>
      </c>
      <c r="C65" s="13" t="s">
        <v>598</v>
      </c>
      <c r="D65" s="18" t="s">
        <v>599</v>
      </c>
      <c r="E65" s="15" t="s">
        <v>600</v>
      </c>
      <c r="F65" s="16" t="s">
        <v>601</v>
      </c>
      <c r="G65" s="16">
        <v>4.425817551E9</v>
      </c>
      <c r="H65" s="17" t="s">
        <v>602</v>
      </c>
      <c r="I65" s="18" t="s">
        <v>154</v>
      </c>
      <c r="J65" s="18" t="s">
        <v>109</v>
      </c>
      <c r="K65" s="18" t="s">
        <v>155</v>
      </c>
      <c r="L65" s="19" t="s">
        <v>75</v>
      </c>
      <c r="M65" s="14" t="s">
        <v>14</v>
      </c>
      <c r="N65" s="14" t="s">
        <v>603</v>
      </c>
      <c r="O65" s="18" t="s">
        <v>131</v>
      </c>
      <c r="P65" s="20" t="s">
        <v>78</v>
      </c>
      <c r="Q65" s="20">
        <v>4.427753623E9</v>
      </c>
      <c r="R65" s="20" t="s">
        <v>604</v>
      </c>
      <c r="S65" s="35" t="s">
        <v>605</v>
      </c>
      <c r="T65" s="22" t="s">
        <v>81</v>
      </c>
      <c r="U65" s="21" t="s">
        <v>100</v>
      </c>
      <c r="V65" s="91">
        <v>1.0</v>
      </c>
      <c r="W65" s="82" t="s">
        <v>83</v>
      </c>
      <c r="X65" s="20" t="s">
        <v>84</v>
      </c>
      <c r="Y65" s="24">
        <v>2.0</v>
      </c>
      <c r="Z65" s="25">
        <v>45999.0</v>
      </c>
      <c r="AA65" s="20">
        <f>DAY(Tabla1[F. INICIO])</f>
        <v>8</v>
      </c>
      <c r="AB65" s="26" t="str">
        <f>TEXT(' En tramite 23-26'!$Z65,"mmmm")</f>
        <v>diciembre</v>
      </c>
      <c r="AC65" s="20">
        <f>YEAR(' En tramite 23-26'!$Z65)</f>
        <v>2025</v>
      </c>
      <c r="AD65" s="20" t="s">
        <v>84</v>
      </c>
      <c r="AE65" s="24">
        <v>2.0</v>
      </c>
      <c r="AF65" s="24">
        <v>45999.0</v>
      </c>
      <c r="AG65" s="20" t="s">
        <v>84</v>
      </c>
      <c r="AH65" s="24">
        <v>2.0</v>
      </c>
      <c r="AI65" s="24">
        <v>45999.0</v>
      </c>
      <c r="AJ65" s="20">
        <f>DAY(' En tramite 23-26'!$AI65)</f>
        <v>8</v>
      </c>
      <c r="AK65" s="20" t="str">
        <f>TEXT(' En tramite 23-26'!$AI65,"mmmm")</f>
        <v>diciembre</v>
      </c>
      <c r="AL65" s="20">
        <f>YEAR(' En tramite 23-26'!$Z65)</f>
        <v>2025</v>
      </c>
      <c r="AM65" s="20" t="s">
        <v>84</v>
      </c>
      <c r="AN65" s="24">
        <v>2.0</v>
      </c>
      <c r="AO65" s="24">
        <v>45999.0</v>
      </c>
      <c r="AP65" s="20" t="s">
        <v>84</v>
      </c>
      <c r="AQ65" s="24">
        <v>2.0</v>
      </c>
      <c r="AR65" s="24">
        <v>46045.0</v>
      </c>
      <c r="AS65" s="24">
        <f>' En tramite 23-26'!$AI65+45</f>
        <v>46044</v>
      </c>
      <c r="AT65" s="20" t="s">
        <v>85</v>
      </c>
      <c r="AU65" s="20" t="s">
        <v>84</v>
      </c>
      <c r="AV65" s="24">
        <v>2.0</v>
      </c>
      <c r="AW65" s="24">
        <f>' En tramite 23-26'!$AS65+45</f>
        <v>46089</v>
      </c>
      <c r="AX65" s="20" t="s">
        <v>86</v>
      </c>
      <c r="AY65" s="20" t="s">
        <v>84</v>
      </c>
      <c r="AZ65" s="20">
        <v>2.0</v>
      </c>
      <c r="BA65" s="24">
        <v>46089.0</v>
      </c>
      <c r="BB65" s="20" t="s">
        <v>84</v>
      </c>
      <c r="BC65" s="28">
        <v>2.0</v>
      </c>
      <c r="BD65" s="24">
        <v>46089.0</v>
      </c>
      <c r="BE65" s="20">
        <f>DAY(' En tramite 23-26'!$BD65)</f>
        <v>8</v>
      </c>
      <c r="BF65" s="24" t="str">
        <f>TEXT(' En tramite 23-26'!$BD65,"mmmm")</f>
        <v>marzo</v>
      </c>
      <c r="BG65" s="20">
        <f>YEAR(' En tramite 23-26'!$BD65)</f>
        <v>2026</v>
      </c>
      <c r="BH65" s="29">
        <v>1.0</v>
      </c>
      <c r="BI65" s="26" t="s">
        <v>285</v>
      </c>
      <c r="BJ65" s="30" t="s">
        <v>88</v>
      </c>
      <c r="BK65" s="31" t="s">
        <v>89</v>
      </c>
      <c r="BL65" s="32"/>
      <c r="BM65" s="33"/>
    </row>
    <row r="66" ht="16.5" customHeight="1">
      <c r="A66" s="11" t="s">
        <v>606</v>
      </c>
      <c r="B66" s="34" t="s">
        <v>556</v>
      </c>
      <c r="C66" s="13" t="s">
        <v>607</v>
      </c>
      <c r="D66" s="18" t="s">
        <v>608</v>
      </c>
      <c r="E66" s="15" t="s">
        <v>609</v>
      </c>
      <c r="F66" s="16" t="s">
        <v>610</v>
      </c>
      <c r="G66" s="16">
        <v>4.422749203E9</v>
      </c>
      <c r="H66" s="17" t="s">
        <v>611</v>
      </c>
      <c r="I66" s="18" t="s">
        <v>407</v>
      </c>
      <c r="J66" s="18" t="s">
        <v>109</v>
      </c>
      <c r="K66" s="18" t="s">
        <v>74</v>
      </c>
      <c r="L66" s="19" t="s">
        <v>75</v>
      </c>
      <c r="M66" s="14" t="s">
        <v>95</v>
      </c>
      <c r="N66" s="18" t="s">
        <v>96</v>
      </c>
      <c r="O66" s="18" t="s">
        <v>97</v>
      </c>
      <c r="P66" s="20" t="s">
        <v>95</v>
      </c>
      <c r="Q66" s="20">
        <v>4.423622063E9</v>
      </c>
      <c r="R66" s="18" t="s">
        <v>98</v>
      </c>
      <c r="S66" s="21" t="s">
        <v>99</v>
      </c>
      <c r="T66" s="22" t="s">
        <v>81</v>
      </c>
      <c r="U66" s="21" t="s">
        <v>82</v>
      </c>
      <c r="V66" s="91">
        <v>1.0</v>
      </c>
      <c r="W66" s="82" t="s">
        <v>83</v>
      </c>
      <c r="X66" s="20" t="s">
        <v>84</v>
      </c>
      <c r="Y66" s="24">
        <v>2.0</v>
      </c>
      <c r="Z66" s="25">
        <v>45992.0</v>
      </c>
      <c r="AA66" s="20">
        <f>DAY(Tabla1[F. INICIO])</f>
        <v>1</v>
      </c>
      <c r="AB66" s="26" t="str">
        <f>TEXT(' En tramite 23-26'!$Z66,"mmmm")</f>
        <v>diciembre</v>
      </c>
      <c r="AC66" s="20">
        <f>YEAR(' En tramite 23-26'!$Z66)</f>
        <v>2025</v>
      </c>
      <c r="AD66" s="20" t="s">
        <v>84</v>
      </c>
      <c r="AE66" s="24">
        <v>2.0</v>
      </c>
      <c r="AF66" s="24">
        <v>45992.0</v>
      </c>
      <c r="AG66" s="20" t="s">
        <v>84</v>
      </c>
      <c r="AH66" s="24">
        <v>2.0</v>
      </c>
      <c r="AI66" s="24">
        <v>45992.0</v>
      </c>
      <c r="AJ66" s="20">
        <f>DAY(' En tramite 23-26'!$AI66)</f>
        <v>1</v>
      </c>
      <c r="AK66" s="20" t="str">
        <f>TEXT(' En tramite 23-26'!$AI66,"mmmm")</f>
        <v>diciembre</v>
      </c>
      <c r="AL66" s="20">
        <f>YEAR(' En tramite 23-26'!$Z66)</f>
        <v>2025</v>
      </c>
      <c r="AM66" s="20" t="s">
        <v>84</v>
      </c>
      <c r="AN66" s="24">
        <v>2.0</v>
      </c>
      <c r="AO66" s="24">
        <v>45992.0</v>
      </c>
      <c r="AP66" s="20" t="s">
        <v>84</v>
      </c>
      <c r="AQ66" s="24">
        <v>2.0</v>
      </c>
      <c r="AR66" s="24">
        <v>46037.0</v>
      </c>
      <c r="AS66" s="24">
        <f>' En tramite 23-26'!$AI66+45</f>
        <v>46037</v>
      </c>
      <c r="AT66" s="20" t="s">
        <v>85</v>
      </c>
      <c r="AU66" s="20" t="s">
        <v>84</v>
      </c>
      <c r="AV66" s="20">
        <v>2.0</v>
      </c>
      <c r="AW66" s="24">
        <v>46099.0</v>
      </c>
      <c r="AX66" s="20" t="s">
        <v>86</v>
      </c>
      <c r="AY66" s="20" t="s">
        <v>84</v>
      </c>
      <c r="AZ66" s="20">
        <v>2.0</v>
      </c>
      <c r="BA66" s="24">
        <v>46099.0</v>
      </c>
      <c r="BB66" s="20" t="s">
        <v>84</v>
      </c>
      <c r="BC66" s="28">
        <v>2.0</v>
      </c>
      <c r="BD66" s="24">
        <v>46099.0</v>
      </c>
      <c r="BE66" s="20">
        <f>DAY(' En tramite 23-26'!$BD66)</f>
        <v>18</v>
      </c>
      <c r="BF66" s="24" t="str">
        <f>TEXT(' En tramite 23-26'!$BD66,"mmmm")</f>
        <v>marzo</v>
      </c>
      <c r="BG66" s="20">
        <f>YEAR(' En tramite 23-26'!$BD66)</f>
        <v>2026</v>
      </c>
      <c r="BH66" s="29">
        <v>1.0</v>
      </c>
      <c r="BI66" s="26" t="s">
        <v>229</v>
      </c>
      <c r="BJ66" s="30" t="s">
        <v>88</v>
      </c>
      <c r="BK66" s="31" t="s">
        <v>89</v>
      </c>
      <c r="BL66" s="14"/>
      <c r="BM66" s="81"/>
    </row>
    <row r="67" ht="16.5" customHeight="1">
      <c r="A67" s="11" t="s">
        <v>612</v>
      </c>
      <c r="B67" s="34" t="s">
        <v>566</v>
      </c>
      <c r="C67" s="13" t="s">
        <v>613</v>
      </c>
      <c r="D67" s="18" t="s">
        <v>614</v>
      </c>
      <c r="E67" s="15" t="s">
        <v>615</v>
      </c>
      <c r="F67" s="16" t="s">
        <v>616</v>
      </c>
      <c r="G67" s="16">
        <v>4.426121284E9</v>
      </c>
      <c r="H67" s="17" t="s">
        <v>617</v>
      </c>
      <c r="I67" s="18" t="s">
        <v>407</v>
      </c>
      <c r="J67" s="18" t="s">
        <v>109</v>
      </c>
      <c r="K67" s="18" t="s">
        <v>74</v>
      </c>
      <c r="L67" s="19" t="s">
        <v>75</v>
      </c>
      <c r="M67" s="14" t="s">
        <v>95</v>
      </c>
      <c r="N67" s="18" t="s">
        <v>96</v>
      </c>
      <c r="O67" s="18" t="s">
        <v>97</v>
      </c>
      <c r="P67" s="20" t="s">
        <v>95</v>
      </c>
      <c r="Q67" s="20">
        <v>4.423622063E9</v>
      </c>
      <c r="R67" s="18" t="s">
        <v>98</v>
      </c>
      <c r="S67" s="21" t="s">
        <v>99</v>
      </c>
      <c r="T67" s="22" t="s">
        <v>81</v>
      </c>
      <c r="U67" s="21" t="s">
        <v>82</v>
      </c>
      <c r="V67" s="91">
        <v>1.0</v>
      </c>
      <c r="W67" s="82" t="s">
        <v>83</v>
      </c>
      <c r="X67" s="20" t="s">
        <v>84</v>
      </c>
      <c r="Y67" s="24">
        <v>2.0</v>
      </c>
      <c r="Z67" s="25">
        <v>45992.0</v>
      </c>
      <c r="AA67" s="20">
        <f>DAY(Tabla1[F. INICIO])</f>
        <v>1</v>
      </c>
      <c r="AB67" s="26" t="str">
        <f>TEXT(' En tramite 23-26'!$Z67,"mmmm")</f>
        <v>diciembre</v>
      </c>
      <c r="AC67" s="20">
        <f>YEAR(' En tramite 23-26'!$Z67)</f>
        <v>2025</v>
      </c>
      <c r="AD67" s="20" t="s">
        <v>84</v>
      </c>
      <c r="AE67" s="24">
        <v>2.0</v>
      </c>
      <c r="AF67" s="24">
        <v>45992.0</v>
      </c>
      <c r="AG67" s="20" t="s">
        <v>84</v>
      </c>
      <c r="AH67" s="24">
        <v>2.0</v>
      </c>
      <c r="AI67" s="24">
        <v>45992.0</v>
      </c>
      <c r="AJ67" s="20">
        <f>DAY(' En tramite 23-26'!$AI67)</f>
        <v>1</v>
      </c>
      <c r="AK67" s="20" t="str">
        <f>TEXT(' En tramite 23-26'!$AI67,"mmmm")</f>
        <v>diciembre</v>
      </c>
      <c r="AL67" s="20">
        <f>YEAR(' En tramite 23-26'!$Z67)</f>
        <v>2025</v>
      </c>
      <c r="AM67" s="20" t="s">
        <v>84</v>
      </c>
      <c r="AN67" s="24">
        <v>2.0</v>
      </c>
      <c r="AO67" s="24">
        <v>45992.0</v>
      </c>
      <c r="AP67" s="20" t="s">
        <v>84</v>
      </c>
      <c r="AQ67" s="24">
        <v>2.0</v>
      </c>
      <c r="AR67" s="24">
        <v>46037.0</v>
      </c>
      <c r="AS67" s="24">
        <f>' En tramite 23-26'!$AI67+45</f>
        <v>46037</v>
      </c>
      <c r="AT67" s="20" t="s">
        <v>85</v>
      </c>
      <c r="AU67" s="20" t="s">
        <v>84</v>
      </c>
      <c r="AV67" s="20">
        <v>2.0</v>
      </c>
      <c r="AW67" s="24">
        <v>46129.0</v>
      </c>
      <c r="AX67" s="20" t="s">
        <v>86</v>
      </c>
      <c r="AY67" s="20" t="s">
        <v>84</v>
      </c>
      <c r="AZ67" s="20">
        <v>2.0</v>
      </c>
      <c r="BA67" s="24">
        <v>46129.0</v>
      </c>
      <c r="BB67" s="20" t="s">
        <v>84</v>
      </c>
      <c r="BC67" s="28">
        <v>2.0</v>
      </c>
      <c r="BD67" s="24">
        <v>46129.0</v>
      </c>
      <c r="BE67" s="20">
        <f>DAY(' En tramite 23-26'!$BD67)</f>
        <v>17</v>
      </c>
      <c r="BF67" s="24" t="str">
        <f>TEXT(' En tramite 23-26'!$BD67,"mmmm")</f>
        <v>abril</v>
      </c>
      <c r="BG67" s="20">
        <f>YEAR(' En tramite 23-26'!$BD67)</f>
        <v>2026</v>
      </c>
      <c r="BH67" s="29">
        <v>1.0</v>
      </c>
      <c r="BI67" s="26" t="s">
        <v>618</v>
      </c>
      <c r="BJ67" s="30" t="s">
        <v>88</v>
      </c>
      <c r="BK67" s="31" t="s">
        <v>89</v>
      </c>
      <c r="BL67" s="32">
        <v>46237.0</v>
      </c>
      <c r="BM67" s="33">
        <v>2.0</v>
      </c>
    </row>
    <row r="68" ht="16.5" customHeight="1">
      <c r="A68" s="11" t="s">
        <v>619</v>
      </c>
      <c r="B68" s="34" t="s">
        <v>576</v>
      </c>
      <c r="C68" s="13" t="s">
        <v>620</v>
      </c>
      <c r="D68" s="18" t="s">
        <v>621</v>
      </c>
      <c r="E68" s="15" t="s">
        <v>622</v>
      </c>
      <c r="F68" s="16" t="s">
        <v>623</v>
      </c>
      <c r="G68" s="16">
        <v>4.425420619E9</v>
      </c>
      <c r="H68" s="92" t="s">
        <v>624</v>
      </c>
      <c r="I68" s="18" t="s">
        <v>407</v>
      </c>
      <c r="J68" s="18" t="s">
        <v>109</v>
      </c>
      <c r="K68" s="18" t="s">
        <v>74</v>
      </c>
      <c r="L68" s="19" t="s">
        <v>75</v>
      </c>
      <c r="M68" s="14" t="s">
        <v>95</v>
      </c>
      <c r="N68" s="18" t="s">
        <v>96</v>
      </c>
      <c r="O68" s="18" t="s">
        <v>97</v>
      </c>
      <c r="P68" s="20" t="s">
        <v>95</v>
      </c>
      <c r="Q68" s="20">
        <v>4.423622063E9</v>
      </c>
      <c r="R68" s="18" t="s">
        <v>98</v>
      </c>
      <c r="S68" s="21" t="s">
        <v>99</v>
      </c>
      <c r="T68" s="22" t="s">
        <v>81</v>
      </c>
      <c r="U68" s="21" t="s">
        <v>100</v>
      </c>
      <c r="V68" s="91">
        <v>1.0</v>
      </c>
      <c r="W68" s="20" t="s">
        <v>83</v>
      </c>
      <c r="X68" s="20" t="s">
        <v>84</v>
      </c>
      <c r="Y68" s="24">
        <v>2.0</v>
      </c>
      <c r="Z68" s="25">
        <v>45992.0</v>
      </c>
      <c r="AA68" s="20">
        <f>DAY(Tabla1[F. INICIO])</f>
        <v>1</v>
      </c>
      <c r="AB68" s="26" t="str">
        <f>TEXT(' En tramite 23-26'!$Z68,"mmmm")</f>
        <v>diciembre</v>
      </c>
      <c r="AC68" s="20">
        <f>YEAR(' En tramite 23-26'!$Z68)</f>
        <v>2025</v>
      </c>
      <c r="AD68" s="20" t="s">
        <v>84</v>
      </c>
      <c r="AE68" s="24">
        <v>2.0</v>
      </c>
      <c r="AF68" s="24">
        <v>45992.0</v>
      </c>
      <c r="AG68" s="20" t="s">
        <v>84</v>
      </c>
      <c r="AH68" s="24">
        <v>2.0</v>
      </c>
      <c r="AI68" s="24">
        <v>45992.0</v>
      </c>
      <c r="AJ68" s="20">
        <f>DAY(' En tramite 23-26'!$AI68)</f>
        <v>1</v>
      </c>
      <c r="AK68" s="20" t="str">
        <f>TEXT(' En tramite 23-26'!$AI68,"mmmm")</f>
        <v>diciembre</v>
      </c>
      <c r="AL68" s="20">
        <f>YEAR(' En tramite 23-26'!$Z68)</f>
        <v>2025</v>
      </c>
      <c r="AM68" s="20" t="s">
        <v>84</v>
      </c>
      <c r="AN68" s="24">
        <v>2.0</v>
      </c>
      <c r="AO68" s="24">
        <v>45992.0</v>
      </c>
      <c r="AP68" s="20" t="s">
        <v>84</v>
      </c>
      <c r="AQ68" s="24">
        <v>2.0</v>
      </c>
      <c r="AR68" s="24">
        <v>46059.0</v>
      </c>
      <c r="AS68" s="24">
        <f>' En tramite 23-26'!$AI68+45</f>
        <v>46037</v>
      </c>
      <c r="AT68" s="20" t="s">
        <v>85</v>
      </c>
      <c r="AU68" s="20" t="s">
        <v>84</v>
      </c>
      <c r="AV68" s="20">
        <v>2.0</v>
      </c>
      <c r="AW68" s="24">
        <v>46099.0</v>
      </c>
      <c r="AX68" s="20" t="s">
        <v>86</v>
      </c>
      <c r="AY68" s="20" t="s">
        <v>84</v>
      </c>
      <c r="AZ68" s="20">
        <v>2.0</v>
      </c>
      <c r="BA68" s="24">
        <v>46099.0</v>
      </c>
      <c r="BB68" s="20" t="s">
        <v>84</v>
      </c>
      <c r="BC68" s="28">
        <v>2.0</v>
      </c>
      <c r="BD68" s="24">
        <v>46099.0</v>
      </c>
      <c r="BE68" s="20">
        <f>DAY(' En tramite 23-26'!$BD68)</f>
        <v>18</v>
      </c>
      <c r="BF68" s="24" t="str">
        <f>TEXT(' En tramite 23-26'!$BD68,"mmmm")</f>
        <v>marzo</v>
      </c>
      <c r="BG68" s="20">
        <f>YEAR(' En tramite 23-26'!$BD68)</f>
        <v>2026</v>
      </c>
      <c r="BH68" s="29">
        <v>1.0</v>
      </c>
      <c r="BI68" s="26" t="s">
        <v>229</v>
      </c>
      <c r="BJ68" s="30" t="s">
        <v>88</v>
      </c>
      <c r="BK68" s="31" t="s">
        <v>89</v>
      </c>
      <c r="BL68" s="14"/>
      <c r="BM68" s="81"/>
    </row>
    <row r="69" ht="16.5" customHeight="1">
      <c r="A69" s="11" t="s">
        <v>625</v>
      </c>
      <c r="B69" s="34"/>
      <c r="C69" s="13"/>
      <c r="D69" s="93" t="s">
        <v>626</v>
      </c>
      <c r="E69" s="15" t="s">
        <v>627</v>
      </c>
      <c r="F69" s="42" t="s">
        <v>628</v>
      </c>
      <c r="G69" s="42">
        <v>4.427789415E9</v>
      </c>
      <c r="H69" s="43" t="s">
        <v>629</v>
      </c>
      <c r="I69" s="41" t="s">
        <v>630</v>
      </c>
      <c r="J69" s="41" t="s">
        <v>73</v>
      </c>
      <c r="K69" s="41" t="s">
        <v>129</v>
      </c>
      <c r="L69" s="44" t="s">
        <v>200</v>
      </c>
      <c r="M69" s="13" t="s">
        <v>14</v>
      </c>
      <c r="N69" s="41" t="s">
        <v>631</v>
      </c>
      <c r="O69" s="41" t="s">
        <v>131</v>
      </c>
      <c r="P69" s="44" t="s">
        <v>78</v>
      </c>
      <c r="Q69" s="44">
        <v>4.423722768E9</v>
      </c>
      <c r="R69" s="44" t="s">
        <v>632</v>
      </c>
      <c r="S69" s="94" t="s">
        <v>633</v>
      </c>
      <c r="T69" s="46" t="s">
        <v>81</v>
      </c>
      <c r="U69" s="47" t="s">
        <v>100</v>
      </c>
      <c r="V69" s="95">
        <v>1.0</v>
      </c>
      <c r="W69" s="44" t="s">
        <v>83</v>
      </c>
      <c r="X69" s="44" t="s">
        <v>84</v>
      </c>
      <c r="Y69" s="49">
        <v>2.0</v>
      </c>
      <c r="Z69" s="50">
        <v>46001.0</v>
      </c>
      <c r="AA69" s="44">
        <f>DAY(Tabla1[F. INICIO])</f>
        <v>10</v>
      </c>
      <c r="AB69" s="51" t="str">
        <f>TEXT(' En tramite 23-26'!$Z69,"mmmm")</f>
        <v>diciembre</v>
      </c>
      <c r="AC69" s="44">
        <f>YEAR(' En tramite 23-26'!$Z69)</f>
        <v>2025</v>
      </c>
      <c r="AD69" s="44" t="s">
        <v>84</v>
      </c>
      <c r="AE69" s="49">
        <v>2.0</v>
      </c>
      <c r="AF69" s="49">
        <v>46001.0</v>
      </c>
      <c r="AG69" s="44" t="s">
        <v>84</v>
      </c>
      <c r="AH69" s="49">
        <v>2.0</v>
      </c>
      <c r="AI69" s="49">
        <v>46098.0</v>
      </c>
      <c r="AJ69" s="44">
        <f>DAY(' En tramite 23-26'!$AI69)</f>
        <v>17</v>
      </c>
      <c r="AK69" s="44" t="str">
        <f>TEXT(' En tramite 23-26'!$AI69,"mmmm")</f>
        <v>marzo</v>
      </c>
      <c r="AL69" s="44">
        <f>YEAR(' En tramite 23-26'!$Z69)</f>
        <v>2025</v>
      </c>
      <c r="AM69" s="44" t="s">
        <v>84</v>
      </c>
      <c r="AN69" s="49">
        <v>2.0</v>
      </c>
      <c r="AO69" s="49">
        <v>46105.0</v>
      </c>
      <c r="AP69" s="44"/>
      <c r="AQ69" s="49"/>
      <c r="AR69" s="49"/>
      <c r="AS69" s="52">
        <f>' En tramite 23-26'!$AI69+45</f>
        <v>46143</v>
      </c>
      <c r="AT69" s="44"/>
      <c r="AU69" s="44"/>
      <c r="AV69" s="44"/>
      <c r="AW69" s="49">
        <f>' En tramite 23-26'!$AS69+45</f>
        <v>46188</v>
      </c>
      <c r="AX69" s="44"/>
      <c r="AY69" s="44"/>
      <c r="AZ69" s="44"/>
      <c r="BA69" s="49">
        <v>46093.0</v>
      </c>
      <c r="BB69" s="44"/>
      <c r="BC69" s="12"/>
      <c r="BD69" s="49"/>
      <c r="BE69" s="44">
        <f>DAY(' En tramite 23-26'!$BD69)</f>
        <v>30</v>
      </c>
      <c r="BF69" s="49" t="str">
        <f>TEXT(' En tramite 23-26'!$BD69,"mmmm")</f>
        <v>diciembre</v>
      </c>
      <c r="BG69" s="44">
        <f>YEAR(' En tramite 23-26'!$BD69)</f>
        <v>1899</v>
      </c>
      <c r="BH69" s="53"/>
      <c r="BI69" s="34"/>
      <c r="BJ69" s="34"/>
      <c r="BK69" s="54"/>
      <c r="BL69" s="96"/>
      <c r="BM69" s="97"/>
    </row>
    <row r="70" ht="16.5" customHeight="1">
      <c r="A70" s="11" t="s">
        <v>634</v>
      </c>
      <c r="B70" s="34"/>
      <c r="C70" s="13"/>
      <c r="D70" s="62" t="s">
        <v>635</v>
      </c>
      <c r="E70" s="15" t="s">
        <v>636</v>
      </c>
      <c r="F70" s="63" t="s">
        <v>637</v>
      </c>
      <c r="G70" s="63">
        <v>4.424503765E9</v>
      </c>
      <c r="H70" s="64" t="s">
        <v>638</v>
      </c>
      <c r="I70" s="62" t="s">
        <v>630</v>
      </c>
      <c r="J70" s="62" t="s">
        <v>73</v>
      </c>
      <c r="K70" s="62" t="s">
        <v>129</v>
      </c>
      <c r="L70" s="65" t="s">
        <v>75</v>
      </c>
      <c r="M70" s="66" t="s">
        <v>14</v>
      </c>
      <c r="N70" s="62" t="s">
        <v>631</v>
      </c>
      <c r="O70" s="62" t="s">
        <v>131</v>
      </c>
      <c r="P70" s="67" t="s">
        <v>78</v>
      </c>
      <c r="Q70" s="67">
        <v>4.423722768E9</v>
      </c>
      <c r="R70" s="67" t="s">
        <v>632</v>
      </c>
      <c r="S70" s="68" t="s">
        <v>633</v>
      </c>
      <c r="T70" s="69" t="s">
        <v>81</v>
      </c>
      <c r="U70" s="70" t="s">
        <v>100</v>
      </c>
      <c r="V70" s="98">
        <v>1.0</v>
      </c>
      <c r="W70" s="67" t="s">
        <v>83</v>
      </c>
      <c r="X70" s="67" t="s">
        <v>84</v>
      </c>
      <c r="Y70" s="73">
        <v>2.0</v>
      </c>
      <c r="Z70" s="74">
        <v>45999.0</v>
      </c>
      <c r="AA70" s="67">
        <f>DAY(Tabla1[F. INICIO])</f>
        <v>8</v>
      </c>
      <c r="AB70" s="75" t="str">
        <f>TEXT(' En tramite 23-26'!$Z70,"mmmm")</f>
        <v>diciembre</v>
      </c>
      <c r="AC70" s="67">
        <f>YEAR(' En tramite 23-26'!$Z70)</f>
        <v>2025</v>
      </c>
      <c r="AD70" s="67" t="s">
        <v>84</v>
      </c>
      <c r="AE70" s="73">
        <v>2.0</v>
      </c>
      <c r="AF70" s="73">
        <v>46001.0</v>
      </c>
      <c r="AG70" s="73" t="s">
        <v>84</v>
      </c>
      <c r="AH70" s="73">
        <v>2.0</v>
      </c>
      <c r="AI70" s="73">
        <v>46098.0</v>
      </c>
      <c r="AJ70" s="67">
        <f>DAY(' En tramite 23-26'!$AI70)</f>
        <v>17</v>
      </c>
      <c r="AK70" s="67" t="str">
        <f>TEXT(' En tramite 23-26'!$AI70,"mmmm")</f>
        <v>marzo</v>
      </c>
      <c r="AL70" s="67">
        <f>YEAR(' En tramite 23-26'!$Z70)</f>
        <v>2025</v>
      </c>
      <c r="AM70" s="67" t="s">
        <v>84</v>
      </c>
      <c r="AN70" s="73">
        <v>2.0</v>
      </c>
      <c r="AO70" s="73">
        <v>46105.0</v>
      </c>
      <c r="AP70" s="67" t="s">
        <v>84</v>
      </c>
      <c r="AQ70" s="73">
        <v>2.0</v>
      </c>
      <c r="AR70" s="73">
        <v>46170.0</v>
      </c>
      <c r="AS70" s="99">
        <f>' En tramite 23-26'!$AI70+45</f>
        <v>46143</v>
      </c>
      <c r="AT70" s="67" t="s">
        <v>85</v>
      </c>
      <c r="AU70" s="67" t="s">
        <v>84</v>
      </c>
      <c r="AV70" s="67">
        <v>2.0</v>
      </c>
      <c r="AW70" s="73">
        <f>' En tramite 23-26'!$AS70+45</f>
        <v>46188</v>
      </c>
      <c r="AX70" s="67" t="s">
        <v>86</v>
      </c>
      <c r="AY70" s="67"/>
      <c r="AZ70" s="67"/>
      <c r="BA70" s="73">
        <v>46094.0</v>
      </c>
      <c r="BB70" s="67"/>
      <c r="BC70" s="76"/>
      <c r="BD70" s="73"/>
      <c r="BE70" s="67">
        <f>DAY(' En tramite 23-26'!$BD70)</f>
        <v>30</v>
      </c>
      <c r="BF70" s="73" t="str">
        <f>TEXT(' En tramite 23-26'!$BD70,"mmmm")</f>
        <v>diciembre</v>
      </c>
      <c r="BG70" s="67">
        <f>YEAR(' En tramite 23-26'!$BD70)</f>
        <v>1899</v>
      </c>
      <c r="BH70" s="77"/>
      <c r="BI70" s="66"/>
      <c r="BJ70" s="78" t="s">
        <v>274</v>
      </c>
      <c r="BK70" s="79" t="s">
        <v>275</v>
      </c>
      <c r="BL70" s="66"/>
      <c r="BM70" s="80"/>
    </row>
    <row r="71" ht="16.5" customHeight="1">
      <c r="A71" s="11" t="s">
        <v>639</v>
      </c>
      <c r="B71" s="34"/>
      <c r="C71" s="13"/>
      <c r="D71" s="41" t="s">
        <v>640</v>
      </c>
      <c r="E71" s="15" t="s">
        <v>641</v>
      </c>
      <c r="F71" s="42" t="s">
        <v>642</v>
      </c>
      <c r="G71" s="42">
        <v>4.423308124E9</v>
      </c>
      <c r="H71" s="43" t="s">
        <v>643</v>
      </c>
      <c r="I71" s="41" t="s">
        <v>128</v>
      </c>
      <c r="J71" s="41" t="s">
        <v>109</v>
      </c>
      <c r="K71" s="41" t="s">
        <v>129</v>
      </c>
      <c r="L71" s="44" t="s">
        <v>200</v>
      </c>
      <c r="M71" s="13" t="s">
        <v>14</v>
      </c>
      <c r="N71" s="41" t="s">
        <v>644</v>
      </c>
      <c r="O71" s="41" t="s">
        <v>211</v>
      </c>
      <c r="P71" s="44" t="s">
        <v>78</v>
      </c>
      <c r="Q71" s="44">
        <v>4.421870851E9</v>
      </c>
      <c r="R71" s="44" t="s">
        <v>645</v>
      </c>
      <c r="S71" s="45" t="s">
        <v>337</v>
      </c>
      <c r="T71" s="46" t="s">
        <v>81</v>
      </c>
      <c r="U71" s="47" t="s">
        <v>82</v>
      </c>
      <c r="V71" s="48">
        <v>0.0</v>
      </c>
      <c r="W71" s="46"/>
      <c r="X71" s="44" t="s">
        <v>84</v>
      </c>
      <c r="Y71" s="49">
        <v>2.0</v>
      </c>
      <c r="Z71" s="50">
        <v>46006.0</v>
      </c>
      <c r="AA71" s="44">
        <f>DAY(Tabla1[F. INICIO])</f>
        <v>15</v>
      </c>
      <c r="AB71" s="51" t="str">
        <f>TEXT(' En tramite 23-26'!$Z71,"mmmm")</f>
        <v>diciembre</v>
      </c>
      <c r="AC71" s="44">
        <f>YEAR(' En tramite 23-26'!$Z71)</f>
        <v>2025</v>
      </c>
      <c r="AD71" s="44" t="s">
        <v>84</v>
      </c>
      <c r="AE71" s="49">
        <v>2.0</v>
      </c>
      <c r="AF71" s="49">
        <v>46006.0</v>
      </c>
      <c r="AG71" s="44" t="s">
        <v>220</v>
      </c>
      <c r="AH71" s="49">
        <v>0.0</v>
      </c>
      <c r="AI71" s="49"/>
      <c r="AJ71" s="44">
        <f>DAY(' En tramite 23-26'!$AI71)</f>
        <v>30</v>
      </c>
      <c r="AK71" s="44" t="str">
        <f>TEXT(' En tramite 23-26'!$AI71,"mmmm")</f>
        <v>diciembre</v>
      </c>
      <c r="AL71" s="44">
        <f>YEAR(' En tramite 23-26'!$Z71)</f>
        <v>2025</v>
      </c>
      <c r="AM71" s="44"/>
      <c r="AN71" s="49"/>
      <c r="AO71" s="49"/>
      <c r="AP71" s="44"/>
      <c r="AQ71" s="49"/>
      <c r="AR71" s="49"/>
      <c r="AS71" s="52">
        <f>' En tramite 23-26'!$AI71+45</f>
        <v>45</v>
      </c>
      <c r="AT71" s="44"/>
      <c r="AU71" s="44"/>
      <c r="AV71" s="44"/>
      <c r="AW71" s="49">
        <f>' En tramite 23-26'!$AS71+45</f>
        <v>90</v>
      </c>
      <c r="AX71" s="44"/>
      <c r="AY71" s="44"/>
      <c r="AZ71" s="44"/>
      <c r="BA71" s="49">
        <v>46095.0</v>
      </c>
      <c r="BB71" s="44"/>
      <c r="BC71" s="12"/>
      <c r="BD71" s="49"/>
      <c r="BE71" s="44">
        <f>DAY(' En tramite 23-26'!$BD71)</f>
        <v>30</v>
      </c>
      <c r="BF71" s="49" t="str">
        <f>TEXT(' En tramite 23-26'!$BD71,"mmmm")</f>
        <v>diciembre</v>
      </c>
      <c r="BG71" s="44">
        <f>YEAR(' En tramite 23-26'!$BD71)</f>
        <v>1899</v>
      </c>
      <c r="BH71" s="53"/>
      <c r="BI71" s="13"/>
      <c r="BJ71" s="34"/>
      <c r="BK71" s="54"/>
      <c r="BL71" s="13"/>
      <c r="BM71" s="58"/>
    </row>
    <row r="72" ht="16.5" customHeight="1">
      <c r="A72" s="11" t="s">
        <v>646</v>
      </c>
      <c r="B72" s="34" t="s">
        <v>584</v>
      </c>
      <c r="C72" s="13" t="s">
        <v>647</v>
      </c>
      <c r="D72" s="18" t="s">
        <v>648</v>
      </c>
      <c r="E72" s="15" t="s">
        <v>649</v>
      </c>
      <c r="F72" s="16" t="s">
        <v>650</v>
      </c>
      <c r="G72" s="16">
        <v>4.426063995E9</v>
      </c>
      <c r="H72" s="17" t="s">
        <v>651</v>
      </c>
      <c r="I72" s="18" t="s">
        <v>407</v>
      </c>
      <c r="J72" s="18" t="s">
        <v>109</v>
      </c>
      <c r="K72" s="18" t="s">
        <v>74</v>
      </c>
      <c r="L72" s="19" t="s">
        <v>75</v>
      </c>
      <c r="M72" s="14" t="s">
        <v>95</v>
      </c>
      <c r="N72" s="18" t="s">
        <v>96</v>
      </c>
      <c r="O72" s="18" t="s">
        <v>97</v>
      </c>
      <c r="P72" s="20" t="s">
        <v>95</v>
      </c>
      <c r="Q72" s="20">
        <v>4.423622063E9</v>
      </c>
      <c r="R72" s="18" t="s">
        <v>98</v>
      </c>
      <c r="S72" s="21" t="s">
        <v>99</v>
      </c>
      <c r="T72" s="22" t="s">
        <v>81</v>
      </c>
      <c r="U72" s="21" t="s">
        <v>100</v>
      </c>
      <c r="V72" s="91">
        <v>1.0</v>
      </c>
      <c r="W72" s="82" t="s">
        <v>83</v>
      </c>
      <c r="X72" s="20" t="s">
        <v>84</v>
      </c>
      <c r="Y72" s="24">
        <v>2.0</v>
      </c>
      <c r="Z72" s="25">
        <v>45992.0</v>
      </c>
      <c r="AA72" s="20">
        <f>DAY(Tabla1[F. INICIO])</f>
        <v>1</v>
      </c>
      <c r="AB72" s="26" t="str">
        <f>TEXT(' En tramite 23-26'!$Z72,"mmmm")</f>
        <v>diciembre</v>
      </c>
      <c r="AC72" s="20">
        <f>YEAR(' En tramite 23-26'!$Z72)</f>
        <v>2025</v>
      </c>
      <c r="AD72" s="20" t="s">
        <v>84</v>
      </c>
      <c r="AE72" s="24">
        <v>2.0</v>
      </c>
      <c r="AF72" s="24">
        <v>45992.0</v>
      </c>
      <c r="AG72" s="20" t="s">
        <v>84</v>
      </c>
      <c r="AH72" s="24">
        <v>2.0</v>
      </c>
      <c r="AI72" s="24">
        <v>45992.0</v>
      </c>
      <c r="AJ72" s="20">
        <f>DAY(' En tramite 23-26'!$AI72)</f>
        <v>1</v>
      </c>
      <c r="AK72" s="20" t="str">
        <f>TEXT(' En tramite 23-26'!$AI72,"mmmm")</f>
        <v>diciembre</v>
      </c>
      <c r="AL72" s="20">
        <f>YEAR(' En tramite 23-26'!$Z72)</f>
        <v>2025</v>
      </c>
      <c r="AM72" s="20" t="s">
        <v>84</v>
      </c>
      <c r="AN72" s="24">
        <v>2.0</v>
      </c>
      <c r="AO72" s="24">
        <v>45992.0</v>
      </c>
      <c r="AP72" s="20" t="s">
        <v>84</v>
      </c>
      <c r="AQ72" s="24">
        <v>2.0</v>
      </c>
      <c r="AR72" s="24">
        <v>46037.0</v>
      </c>
      <c r="AS72" s="24">
        <f>' En tramite 23-26'!$AI72+45</f>
        <v>46037</v>
      </c>
      <c r="AT72" s="20" t="s">
        <v>85</v>
      </c>
      <c r="AU72" s="20" t="s">
        <v>84</v>
      </c>
      <c r="AV72" s="20">
        <v>2.0</v>
      </c>
      <c r="AW72" s="24">
        <v>46099.0</v>
      </c>
      <c r="AX72" s="20" t="s">
        <v>86</v>
      </c>
      <c r="AY72" s="20" t="s">
        <v>84</v>
      </c>
      <c r="AZ72" s="20">
        <v>2.0</v>
      </c>
      <c r="BA72" s="24">
        <v>46096.0</v>
      </c>
      <c r="BB72" s="20" t="s">
        <v>84</v>
      </c>
      <c r="BC72" s="28">
        <v>2.0</v>
      </c>
      <c r="BD72" s="24">
        <v>46099.0</v>
      </c>
      <c r="BE72" s="20">
        <f>DAY(' En tramite 23-26'!$BD72)</f>
        <v>18</v>
      </c>
      <c r="BF72" s="24" t="str">
        <f>TEXT(' En tramite 23-26'!$BD72,"mmmm")</f>
        <v>marzo</v>
      </c>
      <c r="BG72" s="20">
        <f>YEAR(' En tramite 23-26'!$BD72)</f>
        <v>2026</v>
      </c>
      <c r="BH72" s="29">
        <v>1.0</v>
      </c>
      <c r="BI72" s="26" t="s">
        <v>229</v>
      </c>
      <c r="BJ72" s="30" t="s">
        <v>88</v>
      </c>
      <c r="BK72" s="31" t="s">
        <v>89</v>
      </c>
      <c r="BL72" s="32"/>
      <c r="BM72" s="33"/>
    </row>
    <row r="73" ht="16.5" customHeight="1">
      <c r="A73" s="11" t="s">
        <v>652</v>
      </c>
      <c r="B73" s="34" t="s">
        <v>591</v>
      </c>
      <c r="C73" s="13" t="s">
        <v>653</v>
      </c>
      <c r="D73" s="18" t="s">
        <v>654</v>
      </c>
      <c r="E73" s="15" t="s">
        <v>655</v>
      </c>
      <c r="F73" s="16" t="s">
        <v>656</v>
      </c>
      <c r="G73" s="16">
        <v>4.427084962E9</v>
      </c>
      <c r="H73" s="17" t="s">
        <v>657</v>
      </c>
      <c r="I73" s="18" t="s">
        <v>407</v>
      </c>
      <c r="J73" s="18" t="s">
        <v>109</v>
      </c>
      <c r="K73" s="18" t="s">
        <v>74</v>
      </c>
      <c r="L73" s="19" t="s">
        <v>75</v>
      </c>
      <c r="M73" s="14" t="s">
        <v>95</v>
      </c>
      <c r="N73" s="18" t="s">
        <v>96</v>
      </c>
      <c r="O73" s="18" t="s">
        <v>97</v>
      </c>
      <c r="P73" s="20" t="s">
        <v>95</v>
      </c>
      <c r="Q73" s="20">
        <v>4.423622063E9</v>
      </c>
      <c r="R73" s="18" t="s">
        <v>98</v>
      </c>
      <c r="S73" s="21" t="s">
        <v>99</v>
      </c>
      <c r="T73" s="22" t="s">
        <v>81</v>
      </c>
      <c r="U73" s="21" t="s">
        <v>100</v>
      </c>
      <c r="V73" s="91">
        <v>1.0</v>
      </c>
      <c r="W73" s="82" t="s">
        <v>83</v>
      </c>
      <c r="X73" s="20" t="s">
        <v>84</v>
      </c>
      <c r="Y73" s="24">
        <v>2.0</v>
      </c>
      <c r="Z73" s="25">
        <v>45992.0</v>
      </c>
      <c r="AA73" s="20">
        <f>DAY(Tabla1[F. INICIO])</f>
        <v>1</v>
      </c>
      <c r="AB73" s="26" t="str">
        <f>TEXT(' En tramite 23-26'!$Z73,"mmmm")</f>
        <v>diciembre</v>
      </c>
      <c r="AC73" s="20">
        <f>YEAR(' En tramite 23-26'!$Z73)</f>
        <v>2025</v>
      </c>
      <c r="AD73" s="20" t="s">
        <v>84</v>
      </c>
      <c r="AE73" s="24">
        <v>2.0</v>
      </c>
      <c r="AF73" s="24">
        <v>45992.0</v>
      </c>
      <c r="AG73" s="20" t="s">
        <v>84</v>
      </c>
      <c r="AH73" s="24">
        <v>2.0</v>
      </c>
      <c r="AI73" s="24">
        <v>45992.0</v>
      </c>
      <c r="AJ73" s="20">
        <f>DAY(' En tramite 23-26'!$AI73)</f>
        <v>1</v>
      </c>
      <c r="AK73" s="20" t="str">
        <f>TEXT(' En tramite 23-26'!$AI73,"mmmm")</f>
        <v>diciembre</v>
      </c>
      <c r="AL73" s="20">
        <f>YEAR(' En tramite 23-26'!$Z73)</f>
        <v>2025</v>
      </c>
      <c r="AM73" s="20" t="s">
        <v>84</v>
      </c>
      <c r="AN73" s="24">
        <v>2.0</v>
      </c>
      <c r="AO73" s="24">
        <v>45992.0</v>
      </c>
      <c r="AP73" s="20" t="s">
        <v>84</v>
      </c>
      <c r="AQ73" s="24">
        <v>2.0</v>
      </c>
      <c r="AR73" s="24">
        <v>46037.0</v>
      </c>
      <c r="AS73" s="24">
        <f>' En tramite 23-26'!$AI73+45</f>
        <v>46037</v>
      </c>
      <c r="AT73" s="20" t="s">
        <v>85</v>
      </c>
      <c r="AU73" s="20" t="s">
        <v>84</v>
      </c>
      <c r="AV73" s="20">
        <v>2.0</v>
      </c>
      <c r="AW73" s="24">
        <v>46099.0</v>
      </c>
      <c r="AX73" s="20" t="s">
        <v>86</v>
      </c>
      <c r="AY73" s="20" t="s">
        <v>84</v>
      </c>
      <c r="AZ73" s="20">
        <v>2.0</v>
      </c>
      <c r="BA73" s="24">
        <v>46099.0</v>
      </c>
      <c r="BB73" s="20" t="s">
        <v>84</v>
      </c>
      <c r="BC73" s="28">
        <v>2.0</v>
      </c>
      <c r="BD73" s="24">
        <v>46099.0</v>
      </c>
      <c r="BE73" s="20">
        <f>DAY(' En tramite 23-26'!$BD73)</f>
        <v>18</v>
      </c>
      <c r="BF73" s="24" t="str">
        <f>TEXT(' En tramite 23-26'!$BD73,"mmmm")</f>
        <v>marzo</v>
      </c>
      <c r="BG73" s="20">
        <f>YEAR(' En tramite 23-26'!$BD73)</f>
        <v>2026</v>
      </c>
      <c r="BH73" s="29">
        <v>1.0</v>
      </c>
      <c r="BI73" s="26" t="s">
        <v>229</v>
      </c>
      <c r="BJ73" s="30" t="s">
        <v>88</v>
      </c>
      <c r="BK73" s="31" t="s">
        <v>89</v>
      </c>
      <c r="BL73" s="32">
        <v>46238.0</v>
      </c>
      <c r="BM73" s="81">
        <v>2.0</v>
      </c>
    </row>
    <row r="74" ht="16.5" customHeight="1">
      <c r="A74" s="11" t="s">
        <v>658</v>
      </c>
      <c r="B74" s="34" t="s">
        <v>597</v>
      </c>
      <c r="C74" s="13" t="s">
        <v>659</v>
      </c>
      <c r="D74" s="18" t="s">
        <v>660</v>
      </c>
      <c r="E74" s="15" t="s">
        <v>661</v>
      </c>
      <c r="F74" s="16" t="s">
        <v>662</v>
      </c>
      <c r="G74" s="16">
        <v>4.428222297E9</v>
      </c>
      <c r="H74" s="17" t="s">
        <v>663</v>
      </c>
      <c r="I74" s="18" t="s">
        <v>407</v>
      </c>
      <c r="J74" s="18" t="s">
        <v>109</v>
      </c>
      <c r="K74" s="18" t="s">
        <v>74</v>
      </c>
      <c r="L74" s="19" t="s">
        <v>75</v>
      </c>
      <c r="M74" s="14" t="s">
        <v>95</v>
      </c>
      <c r="N74" s="18" t="s">
        <v>96</v>
      </c>
      <c r="O74" s="18" t="s">
        <v>97</v>
      </c>
      <c r="P74" s="20" t="s">
        <v>95</v>
      </c>
      <c r="Q74" s="20">
        <v>4.423622063E9</v>
      </c>
      <c r="R74" s="18" t="s">
        <v>98</v>
      </c>
      <c r="S74" s="21" t="s">
        <v>99</v>
      </c>
      <c r="T74" s="22" t="s">
        <v>81</v>
      </c>
      <c r="U74" s="21" t="s">
        <v>100</v>
      </c>
      <c r="V74" s="91">
        <v>1.0</v>
      </c>
      <c r="W74" s="82" t="s">
        <v>83</v>
      </c>
      <c r="X74" s="20" t="s">
        <v>84</v>
      </c>
      <c r="Y74" s="24">
        <v>2.0</v>
      </c>
      <c r="Z74" s="25">
        <v>45992.0</v>
      </c>
      <c r="AA74" s="20">
        <f>DAY(Tabla1[F. INICIO])</f>
        <v>1</v>
      </c>
      <c r="AB74" s="26" t="str">
        <f>TEXT(' En tramite 23-26'!$Z74,"mmmm")</f>
        <v>diciembre</v>
      </c>
      <c r="AC74" s="20">
        <f>YEAR(' En tramite 23-26'!$Z74)</f>
        <v>2025</v>
      </c>
      <c r="AD74" s="20" t="s">
        <v>84</v>
      </c>
      <c r="AE74" s="24">
        <v>2.0</v>
      </c>
      <c r="AF74" s="24">
        <v>45992.0</v>
      </c>
      <c r="AG74" s="20" t="s">
        <v>84</v>
      </c>
      <c r="AH74" s="24">
        <v>2.0</v>
      </c>
      <c r="AI74" s="24">
        <v>45992.0</v>
      </c>
      <c r="AJ74" s="20">
        <f>DAY(' En tramite 23-26'!$AI74)</f>
        <v>1</v>
      </c>
      <c r="AK74" s="20" t="str">
        <f>TEXT(' En tramite 23-26'!$AI74,"mmmm")</f>
        <v>diciembre</v>
      </c>
      <c r="AL74" s="20">
        <f>YEAR(' En tramite 23-26'!$Z74)</f>
        <v>2025</v>
      </c>
      <c r="AM74" s="20" t="s">
        <v>84</v>
      </c>
      <c r="AN74" s="24">
        <v>2.0</v>
      </c>
      <c r="AO74" s="24">
        <v>45992.0</v>
      </c>
      <c r="AP74" s="20" t="s">
        <v>84</v>
      </c>
      <c r="AQ74" s="24">
        <v>2.0</v>
      </c>
      <c r="AR74" s="24">
        <v>46037.0</v>
      </c>
      <c r="AS74" s="24">
        <f>' En tramite 23-26'!$AI74+45</f>
        <v>46037</v>
      </c>
      <c r="AT74" s="20" t="s">
        <v>85</v>
      </c>
      <c r="AU74" s="20" t="s">
        <v>84</v>
      </c>
      <c r="AV74" s="20">
        <v>2.0</v>
      </c>
      <c r="AW74" s="24">
        <v>46099.0</v>
      </c>
      <c r="AX74" s="20" t="s">
        <v>86</v>
      </c>
      <c r="AY74" s="20" t="s">
        <v>84</v>
      </c>
      <c r="AZ74" s="20">
        <v>2.0</v>
      </c>
      <c r="BA74" s="24">
        <v>46099.0</v>
      </c>
      <c r="BB74" s="20" t="s">
        <v>84</v>
      </c>
      <c r="BC74" s="28">
        <v>2.0</v>
      </c>
      <c r="BD74" s="24">
        <v>46099.0</v>
      </c>
      <c r="BE74" s="20">
        <f>DAY(' En tramite 23-26'!$BD74)</f>
        <v>18</v>
      </c>
      <c r="BF74" s="24" t="str">
        <f>TEXT(' En tramite 23-26'!$BD74,"mmmm")</f>
        <v>marzo</v>
      </c>
      <c r="BG74" s="20">
        <f>YEAR(' En tramite 23-26'!$BD74)</f>
        <v>2026</v>
      </c>
      <c r="BH74" s="29">
        <v>1.0</v>
      </c>
      <c r="BI74" s="37" t="s">
        <v>229</v>
      </c>
      <c r="BJ74" s="30" t="s">
        <v>88</v>
      </c>
      <c r="BK74" s="31" t="s">
        <v>89</v>
      </c>
      <c r="BL74" s="32"/>
      <c r="BM74" s="33"/>
    </row>
    <row r="75" ht="16.5" customHeight="1">
      <c r="A75" s="11" t="s">
        <v>664</v>
      </c>
      <c r="B75" s="34" t="s">
        <v>606</v>
      </c>
      <c r="C75" s="13" t="s">
        <v>665</v>
      </c>
      <c r="D75" s="18" t="s">
        <v>666</v>
      </c>
      <c r="E75" s="15" t="s">
        <v>667</v>
      </c>
      <c r="F75" s="16" t="s">
        <v>668</v>
      </c>
      <c r="G75" s="16">
        <v>4.425958794E9</v>
      </c>
      <c r="H75" s="17" t="s">
        <v>669</v>
      </c>
      <c r="I75" s="18" t="s">
        <v>407</v>
      </c>
      <c r="J75" s="18" t="s">
        <v>109</v>
      </c>
      <c r="K75" s="18" t="s">
        <v>74</v>
      </c>
      <c r="L75" s="19" t="s">
        <v>75</v>
      </c>
      <c r="M75" s="14" t="s">
        <v>95</v>
      </c>
      <c r="N75" s="18" t="s">
        <v>96</v>
      </c>
      <c r="O75" s="18" t="s">
        <v>97</v>
      </c>
      <c r="P75" s="20" t="s">
        <v>95</v>
      </c>
      <c r="Q75" s="20">
        <v>4.423622063E9</v>
      </c>
      <c r="R75" s="18" t="s">
        <v>98</v>
      </c>
      <c r="S75" s="21" t="s">
        <v>99</v>
      </c>
      <c r="T75" s="22" t="s">
        <v>81</v>
      </c>
      <c r="U75" s="21" t="s">
        <v>100</v>
      </c>
      <c r="V75" s="91">
        <v>1.0</v>
      </c>
      <c r="W75" s="82" t="s">
        <v>83</v>
      </c>
      <c r="X75" s="20" t="s">
        <v>84</v>
      </c>
      <c r="Y75" s="24">
        <v>2.0</v>
      </c>
      <c r="Z75" s="25">
        <v>45992.0</v>
      </c>
      <c r="AA75" s="20">
        <f>DAY(Tabla1[F. INICIO])</f>
        <v>1</v>
      </c>
      <c r="AB75" s="26" t="str">
        <f>TEXT(' En tramite 23-26'!$Z75,"mmmm")</f>
        <v>diciembre</v>
      </c>
      <c r="AC75" s="20">
        <f>YEAR(' En tramite 23-26'!$Z75)</f>
        <v>2025</v>
      </c>
      <c r="AD75" s="20" t="s">
        <v>84</v>
      </c>
      <c r="AE75" s="24">
        <v>2.0</v>
      </c>
      <c r="AF75" s="24">
        <v>45992.0</v>
      </c>
      <c r="AG75" s="20" t="s">
        <v>84</v>
      </c>
      <c r="AH75" s="24">
        <v>2.0</v>
      </c>
      <c r="AI75" s="24">
        <v>45992.0</v>
      </c>
      <c r="AJ75" s="20">
        <f>DAY(' En tramite 23-26'!$AI75)</f>
        <v>1</v>
      </c>
      <c r="AK75" s="20" t="str">
        <f>TEXT(' En tramite 23-26'!$AI75,"mmmm")</f>
        <v>diciembre</v>
      </c>
      <c r="AL75" s="20">
        <f>YEAR(' En tramite 23-26'!$Z75)</f>
        <v>2025</v>
      </c>
      <c r="AM75" s="20" t="s">
        <v>84</v>
      </c>
      <c r="AN75" s="24">
        <v>2.0</v>
      </c>
      <c r="AO75" s="24">
        <v>45992.0</v>
      </c>
      <c r="AP75" s="20" t="s">
        <v>84</v>
      </c>
      <c r="AQ75" s="24">
        <v>2.0</v>
      </c>
      <c r="AR75" s="24">
        <v>46037.0</v>
      </c>
      <c r="AS75" s="24">
        <f>' En tramite 23-26'!$AI75+45</f>
        <v>46037</v>
      </c>
      <c r="AT75" s="20" t="s">
        <v>85</v>
      </c>
      <c r="AU75" s="20" t="s">
        <v>84</v>
      </c>
      <c r="AV75" s="20">
        <v>2.0</v>
      </c>
      <c r="AW75" s="24">
        <v>46099.0</v>
      </c>
      <c r="AX75" s="20" t="s">
        <v>86</v>
      </c>
      <c r="AY75" s="20" t="s">
        <v>84</v>
      </c>
      <c r="AZ75" s="20">
        <v>2.0</v>
      </c>
      <c r="BA75" s="24">
        <v>46099.0</v>
      </c>
      <c r="BB75" s="20" t="s">
        <v>84</v>
      </c>
      <c r="BC75" s="28">
        <v>2.0</v>
      </c>
      <c r="BD75" s="24">
        <v>46099.0</v>
      </c>
      <c r="BE75" s="20">
        <f>DAY(' En tramite 23-26'!$BD75)</f>
        <v>18</v>
      </c>
      <c r="BF75" s="24" t="str">
        <f>TEXT(' En tramite 23-26'!$BD75,"mmmm")</f>
        <v>marzo</v>
      </c>
      <c r="BG75" s="20">
        <f>YEAR(' En tramite 23-26'!$BD75)</f>
        <v>2026</v>
      </c>
      <c r="BH75" s="29">
        <v>1.0</v>
      </c>
      <c r="BI75" s="37" t="s">
        <v>229</v>
      </c>
      <c r="BJ75" s="30" t="s">
        <v>88</v>
      </c>
      <c r="BK75" s="31" t="s">
        <v>89</v>
      </c>
      <c r="BL75" s="14"/>
      <c r="BM75" s="81"/>
    </row>
    <row r="76" ht="16.5" customHeight="1">
      <c r="A76" s="11" t="s">
        <v>670</v>
      </c>
      <c r="B76" s="34" t="s">
        <v>612</v>
      </c>
      <c r="C76" s="13" t="s">
        <v>671</v>
      </c>
      <c r="D76" s="18" t="s">
        <v>672</v>
      </c>
      <c r="E76" s="15" t="s">
        <v>673</v>
      </c>
      <c r="F76" s="16" t="s">
        <v>674</v>
      </c>
      <c r="G76" s="16">
        <v>5.578048782E9</v>
      </c>
      <c r="H76" s="17" t="s">
        <v>675</v>
      </c>
      <c r="I76" s="18" t="s">
        <v>407</v>
      </c>
      <c r="J76" s="18" t="s">
        <v>109</v>
      </c>
      <c r="K76" s="18" t="s">
        <v>74</v>
      </c>
      <c r="L76" s="19" t="s">
        <v>75</v>
      </c>
      <c r="M76" s="14" t="s">
        <v>95</v>
      </c>
      <c r="N76" s="18" t="s">
        <v>96</v>
      </c>
      <c r="O76" s="18" t="s">
        <v>97</v>
      </c>
      <c r="P76" s="20" t="s">
        <v>95</v>
      </c>
      <c r="Q76" s="20">
        <v>4.423622063E9</v>
      </c>
      <c r="R76" s="18" t="s">
        <v>98</v>
      </c>
      <c r="S76" s="21" t="s">
        <v>99</v>
      </c>
      <c r="T76" s="22" t="s">
        <v>81</v>
      </c>
      <c r="U76" s="21" t="s">
        <v>100</v>
      </c>
      <c r="V76" s="91">
        <v>1.0</v>
      </c>
      <c r="W76" s="82" t="s">
        <v>83</v>
      </c>
      <c r="X76" s="20" t="s">
        <v>84</v>
      </c>
      <c r="Y76" s="24">
        <v>2.0</v>
      </c>
      <c r="Z76" s="25">
        <v>45992.0</v>
      </c>
      <c r="AA76" s="20">
        <f>DAY(Tabla1[F. INICIO])</f>
        <v>1</v>
      </c>
      <c r="AB76" s="26" t="str">
        <f>TEXT(' En tramite 23-26'!$Z76,"mmmm")</f>
        <v>diciembre</v>
      </c>
      <c r="AC76" s="20">
        <f>YEAR(' En tramite 23-26'!$Z76)</f>
        <v>2025</v>
      </c>
      <c r="AD76" s="20" t="s">
        <v>84</v>
      </c>
      <c r="AE76" s="24">
        <v>2.0</v>
      </c>
      <c r="AF76" s="24">
        <v>45992.0</v>
      </c>
      <c r="AG76" s="20" t="s">
        <v>84</v>
      </c>
      <c r="AH76" s="24">
        <v>2.0</v>
      </c>
      <c r="AI76" s="24">
        <v>45992.0</v>
      </c>
      <c r="AJ76" s="20">
        <f>DAY(' En tramite 23-26'!$AI76)</f>
        <v>1</v>
      </c>
      <c r="AK76" s="20" t="str">
        <f>TEXT(' En tramite 23-26'!$AI76,"mmmm")</f>
        <v>diciembre</v>
      </c>
      <c r="AL76" s="20">
        <f>YEAR(' En tramite 23-26'!$Z76)</f>
        <v>2025</v>
      </c>
      <c r="AM76" s="20" t="s">
        <v>84</v>
      </c>
      <c r="AN76" s="24">
        <v>2.0</v>
      </c>
      <c r="AO76" s="24">
        <v>45992.0</v>
      </c>
      <c r="AP76" s="20" t="s">
        <v>84</v>
      </c>
      <c r="AQ76" s="24">
        <v>2.0</v>
      </c>
      <c r="AR76" s="24">
        <v>46037.0</v>
      </c>
      <c r="AS76" s="24">
        <f>' En tramite 23-26'!$AI76+45</f>
        <v>46037</v>
      </c>
      <c r="AT76" s="20" t="s">
        <v>85</v>
      </c>
      <c r="AU76" s="20" t="s">
        <v>84</v>
      </c>
      <c r="AV76" s="20">
        <v>2.0</v>
      </c>
      <c r="AW76" s="24">
        <v>46099.0</v>
      </c>
      <c r="AX76" s="20" t="s">
        <v>86</v>
      </c>
      <c r="AY76" s="20" t="s">
        <v>84</v>
      </c>
      <c r="AZ76" s="20">
        <v>2.0</v>
      </c>
      <c r="BA76" s="24">
        <v>46099.0</v>
      </c>
      <c r="BB76" s="20" t="s">
        <v>84</v>
      </c>
      <c r="BC76" s="28">
        <v>2.0</v>
      </c>
      <c r="BD76" s="24">
        <v>46099.0</v>
      </c>
      <c r="BE76" s="20">
        <f>DAY(' En tramite 23-26'!$BD76)</f>
        <v>18</v>
      </c>
      <c r="BF76" s="24" t="str">
        <f>TEXT(' En tramite 23-26'!$BD76,"mmmm")</f>
        <v>marzo</v>
      </c>
      <c r="BG76" s="20">
        <f>YEAR(' En tramite 23-26'!$BD76)</f>
        <v>2026</v>
      </c>
      <c r="BH76" s="29">
        <v>1.0</v>
      </c>
      <c r="BI76" s="14" t="s">
        <v>229</v>
      </c>
      <c r="BJ76" s="30" t="s">
        <v>88</v>
      </c>
      <c r="BK76" s="31" t="s">
        <v>89</v>
      </c>
      <c r="BL76" s="14"/>
      <c r="BM76" s="81"/>
    </row>
    <row r="77" ht="16.5" customHeight="1">
      <c r="A77" s="11" t="s">
        <v>676</v>
      </c>
      <c r="B77" s="34" t="s">
        <v>619</v>
      </c>
      <c r="C77" s="13" t="s">
        <v>677</v>
      </c>
      <c r="D77" s="18" t="s">
        <v>678</v>
      </c>
      <c r="E77" s="15" t="s">
        <v>679</v>
      </c>
      <c r="F77" s="16" t="s">
        <v>680</v>
      </c>
      <c r="G77" s="16">
        <v>4.46151557E9</v>
      </c>
      <c r="H77" s="17" t="s">
        <v>681</v>
      </c>
      <c r="I77" s="18" t="s">
        <v>72</v>
      </c>
      <c r="J77" s="18" t="s">
        <v>109</v>
      </c>
      <c r="K77" s="18" t="s">
        <v>74</v>
      </c>
      <c r="L77" s="19" t="s">
        <v>75</v>
      </c>
      <c r="M77" s="14" t="s">
        <v>14</v>
      </c>
      <c r="N77" s="18" t="s">
        <v>682</v>
      </c>
      <c r="O77" s="18" t="s">
        <v>131</v>
      </c>
      <c r="P77" s="20" t="s">
        <v>78</v>
      </c>
      <c r="Q77" s="20">
        <v>4.423189442E9</v>
      </c>
      <c r="R77" s="20" t="s">
        <v>683</v>
      </c>
      <c r="S77" s="35" t="s">
        <v>684</v>
      </c>
      <c r="T77" s="22" t="s">
        <v>81</v>
      </c>
      <c r="U77" s="21" t="s">
        <v>100</v>
      </c>
      <c r="V77" s="100">
        <v>1.0</v>
      </c>
      <c r="W77" s="20" t="s">
        <v>83</v>
      </c>
      <c r="X77" s="20" t="s">
        <v>84</v>
      </c>
      <c r="Y77" s="24">
        <v>2.0</v>
      </c>
      <c r="Z77" s="25">
        <v>46006.0</v>
      </c>
      <c r="AA77" s="20">
        <f>DAY(Tabla1[F. INICIO])</f>
        <v>15</v>
      </c>
      <c r="AB77" s="26" t="str">
        <f>TEXT(' En tramite 23-26'!$Z77,"mmmm")</f>
        <v>diciembre</v>
      </c>
      <c r="AC77" s="20">
        <f>YEAR(' En tramite 23-26'!$Z77)</f>
        <v>2025</v>
      </c>
      <c r="AD77" s="20" t="s">
        <v>84</v>
      </c>
      <c r="AE77" s="24">
        <v>2.0</v>
      </c>
      <c r="AF77" s="24">
        <v>46006.0</v>
      </c>
      <c r="AG77" s="20" t="s">
        <v>84</v>
      </c>
      <c r="AH77" s="24">
        <v>2.0</v>
      </c>
      <c r="AI77" s="24">
        <v>46006.0</v>
      </c>
      <c r="AJ77" s="20">
        <f>DAY(' En tramite 23-26'!$AI77)</f>
        <v>15</v>
      </c>
      <c r="AK77" s="20" t="str">
        <f>TEXT(' En tramite 23-26'!$AI77,"mmmm")</f>
        <v>diciembre</v>
      </c>
      <c r="AL77" s="20">
        <f>YEAR(' En tramite 23-26'!$Z77)</f>
        <v>2025</v>
      </c>
      <c r="AM77" s="20" t="s">
        <v>84</v>
      </c>
      <c r="AN77" s="24">
        <v>2.0</v>
      </c>
      <c r="AO77" s="24">
        <v>46006.0</v>
      </c>
      <c r="AP77" s="20" t="s">
        <v>84</v>
      </c>
      <c r="AQ77" s="24">
        <v>2.0</v>
      </c>
      <c r="AR77" s="24">
        <v>46045.0</v>
      </c>
      <c r="AS77" s="24">
        <f>' En tramite 23-26'!$AI77+45</f>
        <v>46051</v>
      </c>
      <c r="AT77" s="20" t="s">
        <v>85</v>
      </c>
      <c r="AU77" s="20" t="s">
        <v>84</v>
      </c>
      <c r="AV77" s="20">
        <v>2.0</v>
      </c>
      <c r="AW77" s="24">
        <f>' En tramite 23-26'!$AS77+45</f>
        <v>46096</v>
      </c>
      <c r="AX77" s="20" t="s">
        <v>86</v>
      </c>
      <c r="AY77" s="20" t="s">
        <v>84</v>
      </c>
      <c r="AZ77" s="20">
        <v>2.0</v>
      </c>
      <c r="BA77" s="24">
        <v>46096.0</v>
      </c>
      <c r="BB77" s="20" t="s">
        <v>84</v>
      </c>
      <c r="BC77" s="28">
        <v>2.0</v>
      </c>
      <c r="BD77" s="24">
        <v>46096.0</v>
      </c>
      <c r="BE77" s="20">
        <f>DAY(' En tramite 23-26'!$BD77)</f>
        <v>15</v>
      </c>
      <c r="BF77" s="24" t="str">
        <f>TEXT(' En tramite 23-26'!$BD77,"mmmm")</f>
        <v>marzo</v>
      </c>
      <c r="BG77" s="20">
        <f>YEAR(' En tramite 23-26'!$BD77)</f>
        <v>2026</v>
      </c>
      <c r="BH77" s="29">
        <v>1.0</v>
      </c>
      <c r="BI77" s="26" t="s">
        <v>148</v>
      </c>
      <c r="BJ77" s="30" t="s">
        <v>88</v>
      </c>
      <c r="BK77" s="31" t="s">
        <v>89</v>
      </c>
      <c r="BL77" s="14"/>
      <c r="BM77" s="81"/>
    </row>
    <row r="78" ht="16.5" customHeight="1">
      <c r="A78" s="11" t="s">
        <v>685</v>
      </c>
      <c r="B78" s="34"/>
      <c r="C78" s="13"/>
      <c r="D78" s="41" t="s">
        <v>686</v>
      </c>
      <c r="E78" s="15" t="s">
        <v>687</v>
      </c>
      <c r="F78" s="42" t="s">
        <v>688</v>
      </c>
      <c r="G78" s="42">
        <v>4.427804678E9</v>
      </c>
      <c r="H78" s="43" t="s">
        <v>689</v>
      </c>
      <c r="I78" s="41" t="s">
        <v>128</v>
      </c>
      <c r="J78" s="41" t="s">
        <v>109</v>
      </c>
      <c r="K78" s="41" t="s">
        <v>129</v>
      </c>
      <c r="L78" s="44" t="s">
        <v>200</v>
      </c>
      <c r="M78" s="13" t="s">
        <v>14</v>
      </c>
      <c r="N78" s="41" t="s">
        <v>690</v>
      </c>
      <c r="O78" s="41" t="s">
        <v>131</v>
      </c>
      <c r="P78" s="44" t="s">
        <v>78</v>
      </c>
      <c r="Q78" s="44">
        <v>4.42189714E9</v>
      </c>
      <c r="R78" s="44" t="s">
        <v>691</v>
      </c>
      <c r="S78" s="94" t="s">
        <v>692</v>
      </c>
      <c r="T78" s="46" t="s">
        <v>81</v>
      </c>
      <c r="U78" s="47" t="s">
        <v>82</v>
      </c>
      <c r="V78" s="101">
        <v>2.0</v>
      </c>
      <c r="W78" s="102">
        <v>1200.0</v>
      </c>
      <c r="X78" s="44" t="s">
        <v>84</v>
      </c>
      <c r="Y78" s="49">
        <v>2.0</v>
      </c>
      <c r="Z78" s="50">
        <v>46007.0</v>
      </c>
      <c r="AA78" s="44">
        <f>DAY(Tabla1[F. INICIO])</f>
        <v>16</v>
      </c>
      <c r="AB78" s="51" t="str">
        <f>TEXT(' En tramite 23-26'!$Z78,"mmmm")</f>
        <v>diciembre</v>
      </c>
      <c r="AC78" s="44">
        <f>YEAR(' En tramite 23-26'!$Z78)</f>
        <v>2025</v>
      </c>
      <c r="AD78" s="44" t="s">
        <v>84</v>
      </c>
      <c r="AE78" s="49">
        <v>2.0</v>
      </c>
      <c r="AF78" s="49">
        <v>46009.0</v>
      </c>
      <c r="AG78" s="44" t="s">
        <v>220</v>
      </c>
      <c r="AH78" s="49">
        <v>0.0</v>
      </c>
      <c r="AI78" s="49"/>
      <c r="AJ78" s="44">
        <f>DAY(' En tramite 23-26'!$AI78)</f>
        <v>30</v>
      </c>
      <c r="AK78" s="44" t="str">
        <f>TEXT(' En tramite 23-26'!$AI78,"mmmm")</f>
        <v>diciembre</v>
      </c>
      <c r="AL78" s="44">
        <f>YEAR(' En tramite 23-26'!$Z78)</f>
        <v>2025</v>
      </c>
      <c r="AM78" s="44"/>
      <c r="AN78" s="49"/>
      <c r="AO78" s="49"/>
      <c r="AP78" s="44"/>
      <c r="AQ78" s="49"/>
      <c r="AR78" s="49"/>
      <c r="AS78" s="103">
        <f>' En tramite 23-26'!$AI78+45</f>
        <v>45</v>
      </c>
      <c r="AT78" s="44"/>
      <c r="AU78" s="44"/>
      <c r="AV78" s="44"/>
      <c r="AW78" s="49">
        <f>' En tramite 23-26'!$AS78+45</f>
        <v>90</v>
      </c>
      <c r="AX78" s="44"/>
      <c r="AY78" s="44"/>
      <c r="AZ78" s="44"/>
      <c r="BA78" s="49"/>
      <c r="BB78" s="44"/>
      <c r="BC78" s="12"/>
      <c r="BD78" s="49"/>
      <c r="BE78" s="44">
        <f>DAY(' En tramite 23-26'!$BD78)</f>
        <v>30</v>
      </c>
      <c r="BF78" s="49" t="str">
        <f>TEXT(' En tramite 23-26'!$BD78,"mmmm")</f>
        <v>diciembre</v>
      </c>
      <c r="BG78" s="44">
        <f>YEAR(' En tramite 23-26'!$BD78)</f>
        <v>1899</v>
      </c>
      <c r="BH78" s="53"/>
      <c r="BI78" s="13"/>
      <c r="BJ78" s="34"/>
      <c r="BK78" s="54"/>
      <c r="BL78" s="13"/>
      <c r="BM78" s="58"/>
    </row>
    <row r="79" ht="16.5" customHeight="1">
      <c r="A79" s="11" t="s">
        <v>693</v>
      </c>
      <c r="B79" s="34" t="s">
        <v>625</v>
      </c>
      <c r="C79" s="13" t="s">
        <v>694</v>
      </c>
      <c r="D79" s="18" t="s">
        <v>695</v>
      </c>
      <c r="E79" s="15" t="s">
        <v>696</v>
      </c>
      <c r="F79" s="16" t="s">
        <v>697</v>
      </c>
      <c r="G79" s="16">
        <v>4.461041749E9</v>
      </c>
      <c r="H79" s="17" t="s">
        <v>698</v>
      </c>
      <c r="I79" s="18" t="s">
        <v>407</v>
      </c>
      <c r="J79" s="18" t="s">
        <v>109</v>
      </c>
      <c r="K79" s="18" t="s">
        <v>74</v>
      </c>
      <c r="L79" s="19" t="s">
        <v>75</v>
      </c>
      <c r="M79" s="14" t="s">
        <v>95</v>
      </c>
      <c r="N79" s="18" t="s">
        <v>96</v>
      </c>
      <c r="O79" s="18" t="s">
        <v>97</v>
      </c>
      <c r="P79" s="20" t="s">
        <v>95</v>
      </c>
      <c r="Q79" s="20">
        <v>4.423622063E9</v>
      </c>
      <c r="R79" s="18" t="s">
        <v>98</v>
      </c>
      <c r="S79" s="21" t="s">
        <v>99</v>
      </c>
      <c r="T79" s="22" t="s">
        <v>81</v>
      </c>
      <c r="U79" s="21" t="s">
        <v>100</v>
      </c>
      <c r="V79" s="91">
        <v>1.0</v>
      </c>
      <c r="W79" s="82" t="s">
        <v>83</v>
      </c>
      <c r="X79" s="20" t="s">
        <v>84</v>
      </c>
      <c r="Y79" s="24">
        <v>2.0</v>
      </c>
      <c r="Z79" s="25">
        <v>45992.0</v>
      </c>
      <c r="AA79" s="20">
        <f>DAY(Tabla1[F. INICIO])</f>
        <v>1</v>
      </c>
      <c r="AB79" s="26" t="str">
        <f>TEXT(' En tramite 23-26'!$Z79,"mmmm")</f>
        <v>diciembre</v>
      </c>
      <c r="AC79" s="20">
        <f>YEAR(' En tramite 23-26'!$Z79)</f>
        <v>2025</v>
      </c>
      <c r="AD79" s="20" t="s">
        <v>84</v>
      </c>
      <c r="AE79" s="24">
        <v>2.0</v>
      </c>
      <c r="AF79" s="24">
        <v>45992.0</v>
      </c>
      <c r="AG79" s="20" t="s">
        <v>84</v>
      </c>
      <c r="AH79" s="24">
        <v>2.0</v>
      </c>
      <c r="AI79" s="24">
        <v>45992.0</v>
      </c>
      <c r="AJ79" s="20">
        <f>DAY(' En tramite 23-26'!$AI79)</f>
        <v>1</v>
      </c>
      <c r="AK79" s="20" t="str">
        <f>TEXT(' En tramite 23-26'!$AI79,"mmmm")</f>
        <v>diciembre</v>
      </c>
      <c r="AL79" s="20">
        <f>YEAR(' En tramite 23-26'!$Z79)</f>
        <v>2025</v>
      </c>
      <c r="AM79" s="20" t="s">
        <v>84</v>
      </c>
      <c r="AN79" s="24">
        <v>2.0</v>
      </c>
      <c r="AO79" s="24">
        <v>45992.0</v>
      </c>
      <c r="AP79" s="20" t="s">
        <v>84</v>
      </c>
      <c r="AQ79" s="24">
        <v>2.0</v>
      </c>
      <c r="AR79" s="24">
        <v>46037.0</v>
      </c>
      <c r="AS79" s="24">
        <f>' En tramite 23-26'!$AI79+45</f>
        <v>46037</v>
      </c>
      <c r="AT79" s="20" t="s">
        <v>85</v>
      </c>
      <c r="AU79" s="20" t="s">
        <v>84</v>
      </c>
      <c r="AV79" s="20">
        <v>2.0</v>
      </c>
      <c r="AW79" s="24">
        <v>46099.0</v>
      </c>
      <c r="AX79" s="20" t="s">
        <v>86</v>
      </c>
      <c r="AY79" s="20" t="s">
        <v>84</v>
      </c>
      <c r="AZ79" s="20">
        <v>2.0</v>
      </c>
      <c r="BA79" s="24">
        <v>46099.0</v>
      </c>
      <c r="BB79" s="20" t="s">
        <v>84</v>
      </c>
      <c r="BC79" s="28">
        <v>2.0</v>
      </c>
      <c r="BD79" s="24">
        <v>46099.0</v>
      </c>
      <c r="BE79" s="20">
        <f>DAY(' En tramite 23-26'!$BD79)</f>
        <v>18</v>
      </c>
      <c r="BF79" s="24" t="str">
        <f>TEXT(' En tramite 23-26'!$BD79,"mmmm")</f>
        <v>marzo</v>
      </c>
      <c r="BG79" s="20">
        <f>YEAR(' En tramite 23-26'!$BD79)</f>
        <v>2026</v>
      </c>
      <c r="BH79" s="29">
        <v>1.0</v>
      </c>
      <c r="BI79" s="14" t="s">
        <v>229</v>
      </c>
      <c r="BJ79" s="30" t="s">
        <v>88</v>
      </c>
      <c r="BK79" s="31" t="s">
        <v>89</v>
      </c>
      <c r="BL79" s="32"/>
      <c r="BM79" s="33"/>
    </row>
    <row r="80" ht="16.5" customHeight="1">
      <c r="A80" s="11" t="s">
        <v>699</v>
      </c>
      <c r="B80" s="34" t="s">
        <v>634</v>
      </c>
      <c r="C80" s="13" t="s">
        <v>700</v>
      </c>
      <c r="D80" s="18" t="s">
        <v>701</v>
      </c>
      <c r="E80" s="15" t="s">
        <v>702</v>
      </c>
      <c r="F80" s="16" t="s">
        <v>703</v>
      </c>
      <c r="G80" s="16">
        <v>4.461165949E9</v>
      </c>
      <c r="H80" s="17" t="s">
        <v>704</v>
      </c>
      <c r="I80" s="18" t="s">
        <v>407</v>
      </c>
      <c r="J80" s="18" t="s">
        <v>109</v>
      </c>
      <c r="K80" s="18" t="s">
        <v>74</v>
      </c>
      <c r="L80" s="19" t="s">
        <v>75</v>
      </c>
      <c r="M80" s="14" t="s">
        <v>95</v>
      </c>
      <c r="N80" s="18" t="s">
        <v>96</v>
      </c>
      <c r="O80" s="18" t="s">
        <v>97</v>
      </c>
      <c r="P80" s="20" t="s">
        <v>95</v>
      </c>
      <c r="Q80" s="20">
        <v>4.423622063E9</v>
      </c>
      <c r="R80" s="18" t="s">
        <v>98</v>
      </c>
      <c r="S80" s="21" t="s">
        <v>99</v>
      </c>
      <c r="T80" s="22" t="s">
        <v>81</v>
      </c>
      <c r="U80" s="21" t="s">
        <v>100</v>
      </c>
      <c r="V80" s="91">
        <v>1.0</v>
      </c>
      <c r="W80" s="82" t="s">
        <v>83</v>
      </c>
      <c r="X80" s="20" t="s">
        <v>84</v>
      </c>
      <c r="Y80" s="24">
        <v>2.0</v>
      </c>
      <c r="Z80" s="25">
        <v>45992.0</v>
      </c>
      <c r="AA80" s="20">
        <f>DAY(Tabla1[F. INICIO])</f>
        <v>1</v>
      </c>
      <c r="AB80" s="26" t="str">
        <f>TEXT(' En tramite 23-26'!$Z80,"mmmm")</f>
        <v>diciembre</v>
      </c>
      <c r="AC80" s="20">
        <f>YEAR(' En tramite 23-26'!$Z80)</f>
        <v>2025</v>
      </c>
      <c r="AD80" s="20" t="s">
        <v>84</v>
      </c>
      <c r="AE80" s="24">
        <v>2.0</v>
      </c>
      <c r="AF80" s="24">
        <v>45992.0</v>
      </c>
      <c r="AG80" s="20" t="s">
        <v>84</v>
      </c>
      <c r="AH80" s="24">
        <v>2.0</v>
      </c>
      <c r="AI80" s="24">
        <v>45992.0</v>
      </c>
      <c r="AJ80" s="20">
        <f>DAY(' En tramite 23-26'!$AI80)</f>
        <v>1</v>
      </c>
      <c r="AK80" s="20" t="str">
        <f>TEXT(' En tramite 23-26'!$AI80,"mmmm")</f>
        <v>diciembre</v>
      </c>
      <c r="AL80" s="20">
        <f>YEAR(' En tramite 23-26'!$Z80)</f>
        <v>2025</v>
      </c>
      <c r="AM80" s="20" t="s">
        <v>84</v>
      </c>
      <c r="AN80" s="24">
        <v>2.0</v>
      </c>
      <c r="AO80" s="24">
        <v>45992.0</v>
      </c>
      <c r="AP80" s="20" t="s">
        <v>84</v>
      </c>
      <c r="AQ80" s="24">
        <v>2.0</v>
      </c>
      <c r="AR80" s="24">
        <v>46059.0</v>
      </c>
      <c r="AS80" s="24">
        <f>' En tramite 23-26'!$AI80+45</f>
        <v>46037</v>
      </c>
      <c r="AT80" s="20" t="s">
        <v>85</v>
      </c>
      <c r="AU80" s="20" t="s">
        <v>84</v>
      </c>
      <c r="AV80" s="20">
        <v>2.0</v>
      </c>
      <c r="AW80" s="24">
        <v>46099.0</v>
      </c>
      <c r="AX80" s="20" t="s">
        <v>86</v>
      </c>
      <c r="AY80" s="20" t="s">
        <v>84</v>
      </c>
      <c r="AZ80" s="20">
        <v>2.0</v>
      </c>
      <c r="BA80" s="24">
        <v>46160.0</v>
      </c>
      <c r="BB80" s="20" t="s">
        <v>84</v>
      </c>
      <c r="BC80" s="28">
        <v>2.0</v>
      </c>
      <c r="BD80" s="24">
        <v>46099.0</v>
      </c>
      <c r="BE80" s="20">
        <f>DAY(' En tramite 23-26'!$BD80)</f>
        <v>18</v>
      </c>
      <c r="BF80" s="24" t="str">
        <f>TEXT(' En tramite 23-26'!$BD80,"mmmm")</f>
        <v>marzo</v>
      </c>
      <c r="BG80" s="20">
        <f>YEAR(' En tramite 23-26'!$BD80)</f>
        <v>2026</v>
      </c>
      <c r="BH80" s="29">
        <v>1.0</v>
      </c>
      <c r="BI80" s="14" t="s">
        <v>229</v>
      </c>
      <c r="BJ80" s="30" t="s">
        <v>88</v>
      </c>
      <c r="BK80" s="31" t="s">
        <v>89</v>
      </c>
      <c r="BL80" s="14"/>
      <c r="BM80" s="81"/>
    </row>
    <row r="81" ht="16.5" customHeight="1">
      <c r="A81" s="11" t="s">
        <v>705</v>
      </c>
      <c r="B81" s="34" t="s">
        <v>639</v>
      </c>
      <c r="C81" s="13" t="s">
        <v>706</v>
      </c>
      <c r="D81" s="18" t="s">
        <v>707</v>
      </c>
      <c r="E81" s="15" t="s">
        <v>708</v>
      </c>
      <c r="F81" s="16" t="s">
        <v>709</v>
      </c>
      <c r="G81" s="16">
        <v>4.423948436E9</v>
      </c>
      <c r="H81" s="17" t="s">
        <v>710</v>
      </c>
      <c r="I81" s="18" t="s">
        <v>407</v>
      </c>
      <c r="J81" s="18" t="s">
        <v>109</v>
      </c>
      <c r="K81" s="18" t="s">
        <v>74</v>
      </c>
      <c r="L81" s="19" t="s">
        <v>75</v>
      </c>
      <c r="M81" s="14" t="s">
        <v>95</v>
      </c>
      <c r="N81" s="18" t="s">
        <v>96</v>
      </c>
      <c r="O81" s="18" t="s">
        <v>97</v>
      </c>
      <c r="P81" s="20" t="s">
        <v>95</v>
      </c>
      <c r="Q81" s="20">
        <v>4.423622063E9</v>
      </c>
      <c r="R81" s="18" t="s">
        <v>98</v>
      </c>
      <c r="S81" s="21" t="s">
        <v>99</v>
      </c>
      <c r="T81" s="22" t="s">
        <v>81</v>
      </c>
      <c r="U81" s="21" t="s">
        <v>82</v>
      </c>
      <c r="V81" s="91">
        <v>1.0</v>
      </c>
      <c r="W81" s="82" t="s">
        <v>83</v>
      </c>
      <c r="X81" s="20" t="s">
        <v>84</v>
      </c>
      <c r="Y81" s="24">
        <v>2.0</v>
      </c>
      <c r="Z81" s="25">
        <v>45992.0</v>
      </c>
      <c r="AA81" s="20">
        <f>DAY(Tabla1[F. INICIO])</f>
        <v>1</v>
      </c>
      <c r="AB81" s="26" t="str">
        <f>TEXT(' En tramite 23-26'!$Z81,"mmmm")</f>
        <v>diciembre</v>
      </c>
      <c r="AC81" s="20">
        <f>YEAR(' En tramite 23-26'!$Z81)</f>
        <v>2025</v>
      </c>
      <c r="AD81" s="20" t="s">
        <v>84</v>
      </c>
      <c r="AE81" s="24">
        <v>2.0</v>
      </c>
      <c r="AF81" s="24">
        <v>45992.0</v>
      </c>
      <c r="AG81" s="20" t="s">
        <v>84</v>
      </c>
      <c r="AH81" s="24">
        <v>2.0</v>
      </c>
      <c r="AI81" s="24">
        <v>45992.0</v>
      </c>
      <c r="AJ81" s="20">
        <f>DAY(' En tramite 23-26'!$AI81)</f>
        <v>1</v>
      </c>
      <c r="AK81" s="20" t="str">
        <f>TEXT(' En tramite 23-26'!$AI81,"mmmm")</f>
        <v>diciembre</v>
      </c>
      <c r="AL81" s="20">
        <f>YEAR(' En tramite 23-26'!$Z81)</f>
        <v>2025</v>
      </c>
      <c r="AM81" s="20" t="s">
        <v>84</v>
      </c>
      <c r="AN81" s="24">
        <v>2.0</v>
      </c>
      <c r="AO81" s="24">
        <v>45992.0</v>
      </c>
      <c r="AP81" s="20" t="s">
        <v>84</v>
      </c>
      <c r="AQ81" s="24">
        <v>2.0</v>
      </c>
      <c r="AR81" s="24">
        <v>46037.0</v>
      </c>
      <c r="AS81" s="24">
        <f>' En tramite 23-26'!$AI81+45</f>
        <v>46037</v>
      </c>
      <c r="AT81" s="20" t="s">
        <v>85</v>
      </c>
      <c r="AU81" s="20" t="s">
        <v>84</v>
      </c>
      <c r="AV81" s="20">
        <v>2.0</v>
      </c>
      <c r="AW81" s="24">
        <v>46099.0</v>
      </c>
      <c r="AX81" s="20" t="s">
        <v>86</v>
      </c>
      <c r="AY81" s="20" t="s">
        <v>84</v>
      </c>
      <c r="AZ81" s="20">
        <v>2.0</v>
      </c>
      <c r="BA81" s="24">
        <v>46099.0</v>
      </c>
      <c r="BB81" s="20" t="s">
        <v>84</v>
      </c>
      <c r="BC81" s="28">
        <v>2.0</v>
      </c>
      <c r="BD81" s="24">
        <v>46099.0</v>
      </c>
      <c r="BE81" s="20">
        <f>DAY(' En tramite 23-26'!$BD81)</f>
        <v>18</v>
      </c>
      <c r="BF81" s="24" t="str">
        <f>TEXT(' En tramite 23-26'!$BD81,"mmmm")</f>
        <v>marzo</v>
      </c>
      <c r="BG81" s="20">
        <f>YEAR(' En tramite 23-26'!$BD81)</f>
        <v>2026</v>
      </c>
      <c r="BH81" s="29">
        <v>1.0</v>
      </c>
      <c r="BI81" s="14" t="s">
        <v>229</v>
      </c>
      <c r="BJ81" s="30" t="s">
        <v>88</v>
      </c>
      <c r="BK81" s="31" t="s">
        <v>89</v>
      </c>
      <c r="BL81" s="14"/>
      <c r="BM81" s="81"/>
    </row>
    <row r="82" ht="16.5" customHeight="1">
      <c r="A82" s="11" t="s">
        <v>711</v>
      </c>
      <c r="B82" s="34" t="s">
        <v>646</v>
      </c>
      <c r="C82" s="13" t="s">
        <v>712</v>
      </c>
      <c r="D82" s="18" t="s">
        <v>713</v>
      </c>
      <c r="E82" s="15" t="s">
        <v>714</v>
      </c>
      <c r="F82" s="16" t="s">
        <v>715</v>
      </c>
      <c r="G82" s="16">
        <v>4.461194778E9</v>
      </c>
      <c r="H82" s="17" t="s">
        <v>716</v>
      </c>
      <c r="I82" s="18" t="s">
        <v>128</v>
      </c>
      <c r="J82" s="18" t="s">
        <v>109</v>
      </c>
      <c r="K82" s="18" t="s">
        <v>129</v>
      </c>
      <c r="L82" s="19" t="s">
        <v>75</v>
      </c>
      <c r="M82" s="14" t="s">
        <v>14</v>
      </c>
      <c r="N82" s="18" t="s">
        <v>717</v>
      </c>
      <c r="O82" s="18" t="s">
        <v>131</v>
      </c>
      <c r="P82" s="20" t="s">
        <v>78</v>
      </c>
      <c r="Q82" s="20">
        <v>4.422602079E9</v>
      </c>
      <c r="R82" s="20" t="s">
        <v>718</v>
      </c>
      <c r="S82" s="35" t="s">
        <v>719</v>
      </c>
      <c r="T82" s="22" t="s">
        <v>81</v>
      </c>
      <c r="U82" s="21" t="s">
        <v>82</v>
      </c>
      <c r="V82" s="100">
        <v>1.0</v>
      </c>
      <c r="W82" s="20" t="s">
        <v>83</v>
      </c>
      <c r="X82" s="20" t="s">
        <v>84</v>
      </c>
      <c r="Y82" s="24">
        <v>2.0</v>
      </c>
      <c r="Z82" s="25">
        <v>46007.0</v>
      </c>
      <c r="AA82" s="20">
        <f>DAY(Tabla1[F. INICIO])</f>
        <v>16</v>
      </c>
      <c r="AB82" s="26" t="str">
        <f>TEXT(' En tramite 23-26'!$Z82,"mmmm")</f>
        <v>diciembre</v>
      </c>
      <c r="AC82" s="20">
        <f>YEAR(' En tramite 23-26'!$Z82)</f>
        <v>2025</v>
      </c>
      <c r="AD82" s="20" t="s">
        <v>84</v>
      </c>
      <c r="AE82" s="24">
        <v>2.0</v>
      </c>
      <c r="AF82" s="24">
        <v>46008.0</v>
      </c>
      <c r="AG82" s="20" t="s">
        <v>84</v>
      </c>
      <c r="AH82" s="24">
        <v>2.0</v>
      </c>
      <c r="AI82" s="24">
        <v>46008.0</v>
      </c>
      <c r="AJ82" s="20">
        <f>DAY(' En tramite 23-26'!$AI82)</f>
        <v>17</v>
      </c>
      <c r="AK82" s="20" t="str">
        <f>TEXT(' En tramite 23-26'!$AI82,"mmmm")</f>
        <v>diciembre</v>
      </c>
      <c r="AL82" s="20">
        <f>YEAR(' En tramite 23-26'!$Z82)</f>
        <v>2025</v>
      </c>
      <c r="AM82" s="20" t="s">
        <v>84</v>
      </c>
      <c r="AN82" s="24">
        <v>2.0</v>
      </c>
      <c r="AO82" s="24">
        <v>46008.0</v>
      </c>
      <c r="AP82" s="20" t="s">
        <v>84</v>
      </c>
      <c r="AQ82" s="24">
        <v>2.0</v>
      </c>
      <c r="AR82" s="24">
        <v>46048.0</v>
      </c>
      <c r="AS82" s="24">
        <f>' En tramite 23-26'!$AI82+45</f>
        <v>46053</v>
      </c>
      <c r="AT82" s="20" t="s">
        <v>85</v>
      </c>
      <c r="AU82" s="20" t="s">
        <v>84</v>
      </c>
      <c r="AV82" s="20">
        <v>2.0</v>
      </c>
      <c r="AW82" s="24">
        <v>46104.0</v>
      </c>
      <c r="AX82" s="20" t="s">
        <v>86</v>
      </c>
      <c r="AY82" s="20" t="s">
        <v>84</v>
      </c>
      <c r="AZ82" s="20">
        <v>2.0</v>
      </c>
      <c r="BA82" s="24">
        <v>46104.0</v>
      </c>
      <c r="BB82" s="20" t="s">
        <v>84</v>
      </c>
      <c r="BC82" s="28">
        <v>2.0</v>
      </c>
      <c r="BD82" s="24">
        <v>46104.0</v>
      </c>
      <c r="BE82" s="20">
        <f>DAY(' En tramite 23-26'!$BD82)</f>
        <v>23</v>
      </c>
      <c r="BF82" s="24" t="str">
        <f>TEXT(' En tramite 23-26'!$BD82,"mmmm")</f>
        <v>marzo</v>
      </c>
      <c r="BG82" s="20">
        <f>YEAR(' En tramite 23-26'!$BD82)</f>
        <v>2026</v>
      </c>
      <c r="BH82" s="29">
        <v>1.0</v>
      </c>
      <c r="BI82" s="26" t="s">
        <v>720</v>
      </c>
      <c r="BJ82" s="30" t="s">
        <v>88</v>
      </c>
      <c r="BK82" s="31" t="s">
        <v>89</v>
      </c>
      <c r="BL82" s="14"/>
      <c r="BM82" s="81"/>
    </row>
    <row r="83" ht="16.5" customHeight="1">
      <c r="A83" s="11" t="s">
        <v>721</v>
      </c>
      <c r="B83" s="34"/>
      <c r="C83" s="13"/>
      <c r="D83" s="62" t="s">
        <v>722</v>
      </c>
      <c r="E83" s="15" t="s">
        <v>723</v>
      </c>
      <c r="F83" s="63" t="s">
        <v>724</v>
      </c>
      <c r="G83" s="63">
        <v>4.422820287E9</v>
      </c>
      <c r="H83" s="64" t="s">
        <v>725</v>
      </c>
      <c r="I83" s="62" t="s">
        <v>407</v>
      </c>
      <c r="J83" s="62" t="s">
        <v>109</v>
      </c>
      <c r="K83" s="62" t="s">
        <v>74</v>
      </c>
      <c r="L83" s="65" t="s">
        <v>75</v>
      </c>
      <c r="M83" s="66" t="s">
        <v>95</v>
      </c>
      <c r="N83" s="62" t="s">
        <v>726</v>
      </c>
      <c r="O83" s="62" t="s">
        <v>97</v>
      </c>
      <c r="P83" s="67" t="s">
        <v>95</v>
      </c>
      <c r="Q83" s="67">
        <v>4.423622063E9</v>
      </c>
      <c r="R83" s="62" t="s">
        <v>98</v>
      </c>
      <c r="S83" s="70" t="s">
        <v>99</v>
      </c>
      <c r="T83" s="69" t="s">
        <v>81</v>
      </c>
      <c r="U83" s="70" t="s">
        <v>100</v>
      </c>
      <c r="V83" s="104">
        <v>1.0</v>
      </c>
      <c r="W83" s="105" t="s">
        <v>83</v>
      </c>
      <c r="X83" s="106" t="s">
        <v>84</v>
      </c>
      <c r="Y83" s="107">
        <v>2.0</v>
      </c>
      <c r="Z83" s="74">
        <v>45992.0</v>
      </c>
      <c r="AA83" s="106">
        <f>DAY(Tabla1[F. INICIO])</f>
        <v>1</v>
      </c>
      <c r="AB83" s="75" t="str">
        <f>TEXT(' En tramite 23-26'!$Z83,"mmmm")</f>
        <v>diciembre</v>
      </c>
      <c r="AC83" s="106">
        <f>YEAR(' En tramite 23-26'!$Z83)</f>
        <v>2025</v>
      </c>
      <c r="AD83" s="67" t="s">
        <v>84</v>
      </c>
      <c r="AE83" s="73">
        <v>2.0</v>
      </c>
      <c r="AF83" s="73">
        <v>45992.0</v>
      </c>
      <c r="AG83" s="67" t="s">
        <v>84</v>
      </c>
      <c r="AH83" s="73">
        <v>2.0</v>
      </c>
      <c r="AI83" s="73">
        <v>45992.0</v>
      </c>
      <c r="AJ83" s="67">
        <f>DAY(' En tramite 23-26'!$AI83)</f>
        <v>1</v>
      </c>
      <c r="AK83" s="67" t="str">
        <f>TEXT(' En tramite 23-26'!$AI83,"mmmm")</f>
        <v>diciembre</v>
      </c>
      <c r="AL83" s="67">
        <f>YEAR(' En tramite 23-26'!$Z83)</f>
        <v>2025</v>
      </c>
      <c r="AM83" s="67" t="s">
        <v>84</v>
      </c>
      <c r="AN83" s="73">
        <v>2.0</v>
      </c>
      <c r="AO83" s="73">
        <v>45992.0</v>
      </c>
      <c r="AP83" s="67" t="s">
        <v>84</v>
      </c>
      <c r="AQ83" s="73">
        <v>2.0</v>
      </c>
      <c r="AR83" s="73">
        <v>46037.0</v>
      </c>
      <c r="AS83" s="73">
        <f>' En tramite 23-26'!$AI83+45</f>
        <v>46037</v>
      </c>
      <c r="AT83" s="67" t="s">
        <v>85</v>
      </c>
      <c r="AU83" s="67" t="s">
        <v>84</v>
      </c>
      <c r="AV83" s="67">
        <v>2.0</v>
      </c>
      <c r="AW83" s="73">
        <v>46099.0</v>
      </c>
      <c r="AX83" s="67" t="s">
        <v>86</v>
      </c>
      <c r="AY83" s="67" t="s">
        <v>84</v>
      </c>
      <c r="AZ83" s="67">
        <v>2.0</v>
      </c>
      <c r="BA83" s="73">
        <v>46099.0</v>
      </c>
      <c r="BB83" s="67" t="s">
        <v>84</v>
      </c>
      <c r="BC83" s="76">
        <v>2.0</v>
      </c>
      <c r="BD83" s="73">
        <v>46099.0</v>
      </c>
      <c r="BE83" s="67">
        <f>DAY(' En tramite 23-26'!$BD83)</f>
        <v>18</v>
      </c>
      <c r="BF83" s="73" t="str">
        <f>TEXT(' En tramite 23-26'!$BD83,"mmmm")</f>
        <v>marzo</v>
      </c>
      <c r="BG83" s="67">
        <f>YEAR(' En tramite 23-26'!$BD83)</f>
        <v>2026</v>
      </c>
      <c r="BH83" s="77"/>
      <c r="BI83" s="66"/>
      <c r="BJ83" s="78" t="s">
        <v>274</v>
      </c>
      <c r="BK83" s="79" t="s">
        <v>275</v>
      </c>
      <c r="BL83" s="66"/>
      <c r="BM83" s="80"/>
    </row>
    <row r="84" ht="16.5" customHeight="1">
      <c r="A84" s="11" t="s">
        <v>727</v>
      </c>
      <c r="B84" s="34" t="s">
        <v>652</v>
      </c>
      <c r="C84" s="13" t="s">
        <v>728</v>
      </c>
      <c r="D84" s="18" t="s">
        <v>729</v>
      </c>
      <c r="E84" s="15" t="s">
        <v>730</v>
      </c>
      <c r="F84" s="16" t="s">
        <v>731</v>
      </c>
      <c r="G84" s="16">
        <v>4.427202315E9</v>
      </c>
      <c r="H84" s="17" t="s">
        <v>182</v>
      </c>
      <c r="I84" s="18" t="s">
        <v>407</v>
      </c>
      <c r="J84" s="18" t="s">
        <v>109</v>
      </c>
      <c r="K84" s="18" t="s">
        <v>74</v>
      </c>
      <c r="L84" s="19" t="s">
        <v>75</v>
      </c>
      <c r="M84" s="14" t="s">
        <v>95</v>
      </c>
      <c r="N84" s="18" t="s">
        <v>96</v>
      </c>
      <c r="O84" s="18" t="s">
        <v>97</v>
      </c>
      <c r="P84" s="20" t="s">
        <v>95</v>
      </c>
      <c r="Q84" s="20">
        <v>4.423622063E9</v>
      </c>
      <c r="R84" s="18" t="s">
        <v>98</v>
      </c>
      <c r="S84" s="21" t="s">
        <v>99</v>
      </c>
      <c r="T84" s="22" t="s">
        <v>81</v>
      </c>
      <c r="U84" s="21" t="s">
        <v>100</v>
      </c>
      <c r="V84" s="91">
        <v>1.0</v>
      </c>
      <c r="W84" s="82" t="s">
        <v>83</v>
      </c>
      <c r="X84" s="20" t="s">
        <v>84</v>
      </c>
      <c r="Y84" s="24">
        <v>2.0</v>
      </c>
      <c r="Z84" s="32">
        <v>45992.0</v>
      </c>
      <c r="AA84" s="20">
        <f>DAY(Tabla1[F. INICIO])</f>
        <v>1</v>
      </c>
      <c r="AB84" s="14" t="str">
        <f>TEXT(' En tramite 23-26'!$Z84,"mmmm")</f>
        <v>diciembre</v>
      </c>
      <c r="AC84" s="20">
        <f>YEAR(' En tramite 23-26'!$Z84)</f>
        <v>2025</v>
      </c>
      <c r="AD84" s="20" t="s">
        <v>84</v>
      </c>
      <c r="AE84" s="24">
        <v>2.0</v>
      </c>
      <c r="AF84" s="24">
        <v>45992.0</v>
      </c>
      <c r="AG84" s="20" t="s">
        <v>84</v>
      </c>
      <c r="AH84" s="24">
        <v>2.0</v>
      </c>
      <c r="AI84" s="24">
        <v>45992.0</v>
      </c>
      <c r="AJ84" s="20">
        <f>DAY(' En tramite 23-26'!$AI84)</f>
        <v>1</v>
      </c>
      <c r="AK84" s="20" t="str">
        <f>TEXT(' En tramite 23-26'!$AI84,"mmmm")</f>
        <v>diciembre</v>
      </c>
      <c r="AL84" s="20">
        <f>YEAR(' En tramite 23-26'!$Z84)</f>
        <v>2025</v>
      </c>
      <c r="AM84" s="20" t="s">
        <v>84</v>
      </c>
      <c r="AN84" s="24">
        <v>2.0</v>
      </c>
      <c r="AO84" s="24">
        <v>45992.0</v>
      </c>
      <c r="AP84" s="20" t="s">
        <v>84</v>
      </c>
      <c r="AQ84" s="24">
        <v>2.0</v>
      </c>
      <c r="AR84" s="24">
        <v>46059.0</v>
      </c>
      <c r="AS84" s="24">
        <f>' En tramite 23-26'!$AI84+45</f>
        <v>46037</v>
      </c>
      <c r="AT84" s="20" t="s">
        <v>85</v>
      </c>
      <c r="AU84" s="20" t="s">
        <v>84</v>
      </c>
      <c r="AV84" s="20">
        <v>2.0</v>
      </c>
      <c r="AW84" s="24">
        <v>46129.0</v>
      </c>
      <c r="AX84" s="20" t="s">
        <v>86</v>
      </c>
      <c r="AY84" s="20" t="s">
        <v>84</v>
      </c>
      <c r="AZ84" s="20">
        <v>2.0</v>
      </c>
      <c r="BA84" s="24">
        <v>46129.0</v>
      </c>
      <c r="BB84" s="20" t="s">
        <v>84</v>
      </c>
      <c r="BC84" s="28">
        <v>2.0</v>
      </c>
      <c r="BD84" s="24">
        <v>46129.0</v>
      </c>
      <c r="BE84" s="20">
        <f>DAY(' En tramite 23-26'!$BD84)</f>
        <v>17</v>
      </c>
      <c r="BF84" s="24" t="str">
        <f>TEXT(' En tramite 23-26'!$BD84,"mmmm")</f>
        <v>abril</v>
      </c>
      <c r="BG84" s="20">
        <f>YEAR(' En tramite 23-26'!$BD84)</f>
        <v>2026</v>
      </c>
      <c r="BH84" s="29">
        <v>1.0</v>
      </c>
      <c r="BI84" s="26" t="s">
        <v>618</v>
      </c>
      <c r="BJ84" s="30" t="s">
        <v>88</v>
      </c>
      <c r="BK84" s="31" t="s">
        <v>89</v>
      </c>
      <c r="BL84" s="14"/>
      <c r="BM84" s="81"/>
    </row>
    <row r="85" ht="16.5" customHeight="1">
      <c r="A85" s="11" t="s">
        <v>732</v>
      </c>
      <c r="B85" s="34" t="s">
        <v>658</v>
      </c>
      <c r="C85" s="13" t="s">
        <v>733</v>
      </c>
      <c r="D85" s="18" t="s">
        <v>734</v>
      </c>
      <c r="E85" s="15" t="s">
        <v>735</v>
      </c>
      <c r="F85" s="16" t="s">
        <v>736</v>
      </c>
      <c r="G85" s="16">
        <v>4.422373047E9</v>
      </c>
      <c r="H85" s="17" t="s">
        <v>737</v>
      </c>
      <c r="I85" s="18" t="s">
        <v>407</v>
      </c>
      <c r="J85" s="18" t="s">
        <v>109</v>
      </c>
      <c r="K85" s="18" t="s">
        <v>74</v>
      </c>
      <c r="L85" s="19" t="s">
        <v>75</v>
      </c>
      <c r="M85" s="14" t="s">
        <v>95</v>
      </c>
      <c r="N85" s="18" t="s">
        <v>96</v>
      </c>
      <c r="O85" s="18" t="s">
        <v>97</v>
      </c>
      <c r="P85" s="20" t="s">
        <v>95</v>
      </c>
      <c r="Q85" s="20">
        <v>4.423622063E9</v>
      </c>
      <c r="R85" s="18" t="s">
        <v>98</v>
      </c>
      <c r="S85" s="21" t="s">
        <v>99</v>
      </c>
      <c r="T85" s="22" t="s">
        <v>81</v>
      </c>
      <c r="U85" s="21" t="s">
        <v>82</v>
      </c>
      <c r="V85" s="91">
        <v>1.0</v>
      </c>
      <c r="W85" s="82" t="s">
        <v>83</v>
      </c>
      <c r="X85" s="20" t="s">
        <v>84</v>
      </c>
      <c r="Y85" s="24">
        <v>2.0</v>
      </c>
      <c r="Z85" s="32">
        <v>45992.0</v>
      </c>
      <c r="AA85" s="20">
        <f>DAY(Tabla1[F. INICIO])</f>
        <v>1</v>
      </c>
      <c r="AB85" s="14" t="str">
        <f>TEXT(' En tramite 23-26'!$Z85,"mmmm")</f>
        <v>diciembre</v>
      </c>
      <c r="AC85" s="20">
        <f>YEAR(' En tramite 23-26'!$Z85)</f>
        <v>2025</v>
      </c>
      <c r="AD85" s="20" t="s">
        <v>84</v>
      </c>
      <c r="AE85" s="24">
        <v>2.0</v>
      </c>
      <c r="AF85" s="24">
        <v>45992.0</v>
      </c>
      <c r="AG85" s="20" t="s">
        <v>84</v>
      </c>
      <c r="AH85" s="24">
        <v>2.0</v>
      </c>
      <c r="AI85" s="24">
        <v>45992.0</v>
      </c>
      <c r="AJ85" s="20">
        <f>DAY(' En tramite 23-26'!$AI85)</f>
        <v>1</v>
      </c>
      <c r="AK85" s="20" t="str">
        <f>TEXT(' En tramite 23-26'!$AI85,"mmmm")</f>
        <v>diciembre</v>
      </c>
      <c r="AL85" s="20">
        <f>YEAR(' En tramite 23-26'!$Z85)</f>
        <v>2025</v>
      </c>
      <c r="AM85" s="20" t="s">
        <v>84</v>
      </c>
      <c r="AN85" s="24">
        <v>2.0</v>
      </c>
      <c r="AO85" s="24">
        <v>45992.0</v>
      </c>
      <c r="AP85" s="20" t="s">
        <v>84</v>
      </c>
      <c r="AQ85" s="24">
        <v>2.0</v>
      </c>
      <c r="AR85" s="24">
        <v>46037.0</v>
      </c>
      <c r="AS85" s="24">
        <f>' En tramite 23-26'!$AI85+45</f>
        <v>46037</v>
      </c>
      <c r="AT85" s="20" t="s">
        <v>85</v>
      </c>
      <c r="AU85" s="20" t="s">
        <v>84</v>
      </c>
      <c r="AV85" s="20">
        <v>2.0</v>
      </c>
      <c r="AW85" s="24">
        <v>46099.0</v>
      </c>
      <c r="AX85" s="20" t="s">
        <v>86</v>
      </c>
      <c r="AY85" s="20" t="s">
        <v>84</v>
      </c>
      <c r="AZ85" s="20">
        <v>2.0</v>
      </c>
      <c r="BA85" s="24">
        <v>46099.0</v>
      </c>
      <c r="BB85" s="20" t="s">
        <v>84</v>
      </c>
      <c r="BC85" s="28">
        <v>2.0</v>
      </c>
      <c r="BD85" s="24">
        <v>46099.0</v>
      </c>
      <c r="BE85" s="20">
        <f>DAY(' En tramite 23-26'!$BD85)</f>
        <v>18</v>
      </c>
      <c r="BF85" s="24" t="str">
        <f>TEXT(' En tramite 23-26'!$BD85,"mmmm")</f>
        <v>marzo</v>
      </c>
      <c r="BG85" s="20">
        <f>YEAR(' En tramite 23-26'!$BD85)</f>
        <v>2026</v>
      </c>
      <c r="BH85" s="29">
        <v>1.0</v>
      </c>
      <c r="BI85" s="14" t="s">
        <v>439</v>
      </c>
      <c r="BJ85" s="30" t="s">
        <v>88</v>
      </c>
      <c r="BK85" s="31" t="s">
        <v>89</v>
      </c>
      <c r="BL85" s="14"/>
      <c r="BM85" s="81"/>
    </row>
    <row r="86" ht="16.5" customHeight="1">
      <c r="A86" s="11" t="s">
        <v>738</v>
      </c>
      <c r="B86" s="34" t="s">
        <v>664</v>
      </c>
      <c r="C86" s="13" t="s">
        <v>739</v>
      </c>
      <c r="D86" s="18" t="s">
        <v>740</v>
      </c>
      <c r="E86" s="15" t="s">
        <v>741</v>
      </c>
      <c r="F86" s="16" t="s">
        <v>742</v>
      </c>
      <c r="G86" s="16">
        <v>4.42817016E9</v>
      </c>
      <c r="H86" s="17" t="s">
        <v>743</v>
      </c>
      <c r="I86" s="18" t="s">
        <v>345</v>
      </c>
      <c r="J86" s="18" t="s">
        <v>73</v>
      </c>
      <c r="K86" s="18" t="s">
        <v>74</v>
      </c>
      <c r="L86" s="19" t="s">
        <v>75</v>
      </c>
      <c r="M86" s="14" t="s">
        <v>14</v>
      </c>
      <c r="N86" s="14" t="s">
        <v>547</v>
      </c>
      <c r="O86" s="18" t="s">
        <v>131</v>
      </c>
      <c r="P86" s="20" t="s">
        <v>78</v>
      </c>
      <c r="Q86" s="20" t="s">
        <v>83</v>
      </c>
      <c r="R86" s="20" t="s">
        <v>548</v>
      </c>
      <c r="S86" s="35" t="s">
        <v>549</v>
      </c>
      <c r="T86" s="22" t="s">
        <v>81</v>
      </c>
      <c r="U86" s="21" t="s">
        <v>100</v>
      </c>
      <c r="V86" s="91">
        <v>1.0</v>
      </c>
      <c r="W86" s="82" t="s">
        <v>83</v>
      </c>
      <c r="X86" s="20" t="s">
        <v>84</v>
      </c>
      <c r="Y86" s="24">
        <v>2.0</v>
      </c>
      <c r="Z86" s="32">
        <v>46008.0</v>
      </c>
      <c r="AA86" s="20">
        <f>DAY(Tabla1[F. INICIO])</f>
        <v>17</v>
      </c>
      <c r="AB86" s="14" t="str">
        <f>TEXT(' En tramite 23-26'!$Z86,"mmmm")</f>
        <v>diciembre</v>
      </c>
      <c r="AC86" s="20">
        <f>YEAR(' En tramite 23-26'!$Z86)</f>
        <v>2025</v>
      </c>
      <c r="AD86" s="20" t="s">
        <v>84</v>
      </c>
      <c r="AE86" s="24">
        <v>2.0</v>
      </c>
      <c r="AF86" s="24">
        <v>46008.0</v>
      </c>
      <c r="AG86" s="20" t="s">
        <v>84</v>
      </c>
      <c r="AH86" s="24">
        <v>2.0</v>
      </c>
      <c r="AI86" s="24">
        <v>46013.0</v>
      </c>
      <c r="AJ86" s="20">
        <f>DAY(' En tramite 23-26'!$AI86)</f>
        <v>22</v>
      </c>
      <c r="AK86" s="20" t="str">
        <f>TEXT(' En tramite 23-26'!$AI86,"mmmm")</f>
        <v>diciembre</v>
      </c>
      <c r="AL86" s="20">
        <f>YEAR(' En tramite 23-26'!$Z86)</f>
        <v>2025</v>
      </c>
      <c r="AM86" s="20" t="s">
        <v>84</v>
      </c>
      <c r="AN86" s="24">
        <v>2.0</v>
      </c>
      <c r="AO86" s="24">
        <v>46378.0</v>
      </c>
      <c r="AP86" s="20" t="s">
        <v>84</v>
      </c>
      <c r="AQ86" s="24">
        <v>2.0</v>
      </c>
      <c r="AR86" s="24">
        <v>46049.0</v>
      </c>
      <c r="AS86" s="24">
        <f>' En tramite 23-26'!$AI86+45</f>
        <v>46058</v>
      </c>
      <c r="AT86" s="20" t="s">
        <v>85</v>
      </c>
      <c r="AU86" s="20" t="s">
        <v>84</v>
      </c>
      <c r="AV86" s="24">
        <v>2.0</v>
      </c>
      <c r="AW86" s="24">
        <v>46097.0</v>
      </c>
      <c r="AX86" s="20" t="s">
        <v>86</v>
      </c>
      <c r="AY86" s="20" t="s">
        <v>84</v>
      </c>
      <c r="AZ86" s="20">
        <v>2.0</v>
      </c>
      <c r="BA86" s="24">
        <v>46097.0</v>
      </c>
      <c r="BB86" s="20" t="s">
        <v>84</v>
      </c>
      <c r="BC86" s="28">
        <v>2.0</v>
      </c>
      <c r="BD86" s="24">
        <v>46097.0</v>
      </c>
      <c r="BE86" s="20">
        <f>DAY(' En tramite 23-26'!$BD86)</f>
        <v>16</v>
      </c>
      <c r="BF86" s="24" t="str">
        <f>TEXT(' En tramite 23-26'!$BD86,"mmmm")</f>
        <v>marzo</v>
      </c>
      <c r="BG86" s="20">
        <f>YEAR(' En tramite 23-26'!$BD86)</f>
        <v>2026</v>
      </c>
      <c r="BH86" s="29">
        <v>1.0</v>
      </c>
      <c r="BI86" s="26" t="s">
        <v>550</v>
      </c>
      <c r="BJ86" s="30" t="s">
        <v>88</v>
      </c>
      <c r="BK86" s="31" t="s">
        <v>89</v>
      </c>
      <c r="BL86" s="14"/>
      <c r="BM86" s="81"/>
    </row>
    <row r="87" ht="16.5" customHeight="1">
      <c r="A87" s="11" t="s">
        <v>744</v>
      </c>
      <c r="B87" s="34" t="s">
        <v>670</v>
      </c>
      <c r="C87" s="13" t="s">
        <v>745</v>
      </c>
      <c r="D87" s="18" t="s">
        <v>746</v>
      </c>
      <c r="E87" s="15" t="s">
        <v>747</v>
      </c>
      <c r="F87" s="16" t="s">
        <v>748</v>
      </c>
      <c r="G87" s="16">
        <v>4.426614086E9</v>
      </c>
      <c r="H87" s="17" t="s">
        <v>749</v>
      </c>
      <c r="I87" s="18" t="s">
        <v>407</v>
      </c>
      <c r="J87" s="18" t="s">
        <v>109</v>
      </c>
      <c r="K87" s="18" t="s">
        <v>74</v>
      </c>
      <c r="L87" s="19" t="s">
        <v>75</v>
      </c>
      <c r="M87" s="14" t="s">
        <v>95</v>
      </c>
      <c r="N87" s="18" t="s">
        <v>96</v>
      </c>
      <c r="O87" s="18" t="s">
        <v>97</v>
      </c>
      <c r="P87" s="20" t="s">
        <v>95</v>
      </c>
      <c r="Q87" s="20">
        <v>4.423622063E9</v>
      </c>
      <c r="R87" s="18" t="s">
        <v>98</v>
      </c>
      <c r="S87" s="21" t="s">
        <v>99</v>
      </c>
      <c r="T87" s="22" t="s">
        <v>81</v>
      </c>
      <c r="U87" s="21" t="s">
        <v>82</v>
      </c>
      <c r="V87" s="91">
        <v>1.0</v>
      </c>
      <c r="W87" s="82" t="s">
        <v>83</v>
      </c>
      <c r="X87" s="20" t="s">
        <v>84</v>
      </c>
      <c r="Y87" s="24">
        <v>2.0</v>
      </c>
      <c r="Z87" s="32">
        <v>45992.0</v>
      </c>
      <c r="AA87" s="20">
        <f>DAY(Tabla1[F. INICIO])</f>
        <v>1</v>
      </c>
      <c r="AB87" s="14" t="str">
        <f>TEXT(' En tramite 23-26'!$Z87,"mmmm")</f>
        <v>diciembre</v>
      </c>
      <c r="AC87" s="20">
        <f>YEAR(' En tramite 23-26'!$Z87)</f>
        <v>2025</v>
      </c>
      <c r="AD87" s="20" t="s">
        <v>84</v>
      </c>
      <c r="AE87" s="24">
        <v>2.0</v>
      </c>
      <c r="AF87" s="24">
        <v>45992.0</v>
      </c>
      <c r="AG87" s="20" t="s">
        <v>84</v>
      </c>
      <c r="AH87" s="24">
        <v>2.0</v>
      </c>
      <c r="AI87" s="24">
        <v>45992.0</v>
      </c>
      <c r="AJ87" s="20">
        <f>DAY(' En tramite 23-26'!$AI87)</f>
        <v>1</v>
      </c>
      <c r="AK87" s="20" t="str">
        <f>TEXT(' En tramite 23-26'!$AI87,"mmmm")</f>
        <v>diciembre</v>
      </c>
      <c r="AL87" s="20">
        <f>YEAR(' En tramite 23-26'!$Z87)</f>
        <v>2025</v>
      </c>
      <c r="AM87" s="20" t="s">
        <v>84</v>
      </c>
      <c r="AN87" s="24">
        <v>2.0</v>
      </c>
      <c r="AO87" s="24">
        <v>45992.0</v>
      </c>
      <c r="AP87" s="20" t="s">
        <v>84</v>
      </c>
      <c r="AQ87" s="24">
        <v>2.0</v>
      </c>
      <c r="AR87" s="24" t="s">
        <v>750</v>
      </c>
      <c r="AS87" s="24">
        <f>' En tramite 23-26'!$AI87+45</f>
        <v>46037</v>
      </c>
      <c r="AT87" s="20" t="s">
        <v>85</v>
      </c>
      <c r="AU87" s="20" t="s">
        <v>84</v>
      </c>
      <c r="AV87" s="20">
        <v>2.0</v>
      </c>
      <c r="AW87" s="24">
        <v>46099.0</v>
      </c>
      <c r="AX87" s="20" t="s">
        <v>86</v>
      </c>
      <c r="AY87" s="20" t="s">
        <v>84</v>
      </c>
      <c r="AZ87" s="20">
        <v>2.0</v>
      </c>
      <c r="BA87" s="24">
        <v>46099.0</v>
      </c>
      <c r="BB87" s="20" t="s">
        <v>84</v>
      </c>
      <c r="BC87" s="28">
        <v>2.0</v>
      </c>
      <c r="BD87" s="24">
        <v>46099.0</v>
      </c>
      <c r="BE87" s="20">
        <f>DAY(' En tramite 23-26'!$BD87)</f>
        <v>18</v>
      </c>
      <c r="BF87" s="24" t="str">
        <f>TEXT(' En tramite 23-26'!$BD87,"mmmm")</f>
        <v>marzo</v>
      </c>
      <c r="BG87" s="20">
        <f>YEAR(' En tramite 23-26'!$BD87)</f>
        <v>2026</v>
      </c>
      <c r="BH87" s="29">
        <v>1.0</v>
      </c>
      <c r="BI87" s="14" t="s">
        <v>439</v>
      </c>
      <c r="BJ87" s="30" t="s">
        <v>88</v>
      </c>
      <c r="BK87" s="31" t="s">
        <v>89</v>
      </c>
      <c r="BL87" s="32">
        <v>46237.0</v>
      </c>
      <c r="BM87" s="33">
        <v>2.0</v>
      </c>
    </row>
    <row r="88" ht="16.5" customHeight="1">
      <c r="A88" s="11" t="s">
        <v>751</v>
      </c>
      <c r="B88" s="34" t="s">
        <v>676</v>
      </c>
      <c r="C88" s="13" t="s">
        <v>752</v>
      </c>
      <c r="D88" s="18" t="s">
        <v>753</v>
      </c>
      <c r="E88" s="15" t="s">
        <v>754</v>
      </c>
      <c r="F88" s="16" t="s">
        <v>755</v>
      </c>
      <c r="G88" s="16">
        <v>4.421978533E9</v>
      </c>
      <c r="H88" s="17" t="s">
        <v>756</v>
      </c>
      <c r="I88" s="18" t="s">
        <v>407</v>
      </c>
      <c r="J88" s="18" t="s">
        <v>109</v>
      </c>
      <c r="K88" s="18" t="s">
        <v>74</v>
      </c>
      <c r="L88" s="19" t="s">
        <v>75</v>
      </c>
      <c r="M88" s="14" t="s">
        <v>95</v>
      </c>
      <c r="N88" s="18" t="s">
        <v>96</v>
      </c>
      <c r="O88" s="18" t="s">
        <v>97</v>
      </c>
      <c r="P88" s="20" t="s">
        <v>95</v>
      </c>
      <c r="Q88" s="20">
        <v>4.423622063E9</v>
      </c>
      <c r="R88" s="18" t="s">
        <v>98</v>
      </c>
      <c r="S88" s="21" t="s">
        <v>99</v>
      </c>
      <c r="T88" s="22" t="s">
        <v>81</v>
      </c>
      <c r="U88" s="21" t="s">
        <v>82</v>
      </c>
      <c r="V88" s="91">
        <v>1.0</v>
      </c>
      <c r="W88" s="82" t="s">
        <v>83</v>
      </c>
      <c r="X88" s="20" t="s">
        <v>84</v>
      </c>
      <c r="Y88" s="24">
        <v>2.0</v>
      </c>
      <c r="Z88" s="32">
        <v>45992.0</v>
      </c>
      <c r="AA88" s="20">
        <f>DAY(Tabla1[F. INICIO])</f>
        <v>1</v>
      </c>
      <c r="AB88" s="14" t="str">
        <f>TEXT(' En tramite 23-26'!$Z88,"mmmm")</f>
        <v>diciembre</v>
      </c>
      <c r="AC88" s="20">
        <f>YEAR(' En tramite 23-26'!$Z88)</f>
        <v>2025</v>
      </c>
      <c r="AD88" s="20" t="s">
        <v>84</v>
      </c>
      <c r="AE88" s="24">
        <v>2.0</v>
      </c>
      <c r="AF88" s="24">
        <v>45992.0</v>
      </c>
      <c r="AG88" s="20" t="s">
        <v>84</v>
      </c>
      <c r="AH88" s="24">
        <v>2.0</v>
      </c>
      <c r="AI88" s="24">
        <v>45992.0</v>
      </c>
      <c r="AJ88" s="20">
        <f>DAY(' En tramite 23-26'!$AI88)</f>
        <v>1</v>
      </c>
      <c r="AK88" s="20" t="str">
        <f>TEXT(' En tramite 23-26'!$AI88,"mmmm")</f>
        <v>diciembre</v>
      </c>
      <c r="AL88" s="20">
        <f>YEAR(' En tramite 23-26'!$Z88)</f>
        <v>2025</v>
      </c>
      <c r="AM88" s="20" t="s">
        <v>84</v>
      </c>
      <c r="AN88" s="24">
        <v>2.0</v>
      </c>
      <c r="AO88" s="24">
        <v>45992.0</v>
      </c>
      <c r="AP88" s="20" t="s">
        <v>84</v>
      </c>
      <c r="AQ88" s="24">
        <v>2.0</v>
      </c>
      <c r="AR88" s="24">
        <v>46037.0</v>
      </c>
      <c r="AS88" s="24">
        <f>' En tramite 23-26'!$AI88+45</f>
        <v>46037</v>
      </c>
      <c r="AT88" s="20" t="s">
        <v>85</v>
      </c>
      <c r="AU88" s="20" t="s">
        <v>84</v>
      </c>
      <c r="AV88" s="20">
        <v>2.0</v>
      </c>
      <c r="AW88" s="24">
        <v>46099.0</v>
      </c>
      <c r="AX88" s="20" t="s">
        <v>86</v>
      </c>
      <c r="AY88" s="20" t="s">
        <v>84</v>
      </c>
      <c r="AZ88" s="20">
        <v>2.0</v>
      </c>
      <c r="BA88" s="24">
        <v>46099.0</v>
      </c>
      <c r="BB88" s="20" t="s">
        <v>84</v>
      </c>
      <c r="BC88" s="28">
        <v>2.0</v>
      </c>
      <c r="BD88" s="24">
        <v>46099.0</v>
      </c>
      <c r="BE88" s="20">
        <f>DAY(' En tramite 23-26'!$BD88)</f>
        <v>18</v>
      </c>
      <c r="BF88" s="24" t="str">
        <f>TEXT(' En tramite 23-26'!$BD88,"mmmm")</f>
        <v>marzo</v>
      </c>
      <c r="BG88" s="20">
        <f>YEAR(' En tramite 23-26'!$BD88)</f>
        <v>2026</v>
      </c>
      <c r="BH88" s="29">
        <v>1.0</v>
      </c>
      <c r="BI88" s="14" t="s">
        <v>439</v>
      </c>
      <c r="BJ88" s="30" t="s">
        <v>88</v>
      </c>
      <c r="BK88" s="31" t="s">
        <v>89</v>
      </c>
      <c r="BL88" s="14"/>
      <c r="BM88" s="81"/>
    </row>
    <row r="89" ht="16.5" customHeight="1">
      <c r="A89" s="11" t="s">
        <v>757</v>
      </c>
      <c r="B89" s="34" t="s">
        <v>685</v>
      </c>
      <c r="C89" s="13" t="s">
        <v>758</v>
      </c>
      <c r="D89" s="18" t="s">
        <v>759</v>
      </c>
      <c r="E89" s="15" t="s">
        <v>760</v>
      </c>
      <c r="F89" s="16" t="s">
        <v>761</v>
      </c>
      <c r="G89" s="16">
        <v>4.421395809E9</v>
      </c>
      <c r="H89" s="17" t="s">
        <v>762</v>
      </c>
      <c r="I89" s="18" t="s">
        <v>154</v>
      </c>
      <c r="J89" s="18" t="s">
        <v>109</v>
      </c>
      <c r="K89" s="18" t="s">
        <v>155</v>
      </c>
      <c r="L89" s="19" t="s">
        <v>75</v>
      </c>
      <c r="M89" s="14" t="s">
        <v>14</v>
      </c>
      <c r="N89" s="18" t="s">
        <v>763</v>
      </c>
      <c r="O89" s="18" t="s">
        <v>77</v>
      </c>
      <c r="P89" s="20" t="s">
        <v>78</v>
      </c>
      <c r="Q89" s="20">
        <v>4.421075503E9</v>
      </c>
      <c r="R89" s="20" t="s">
        <v>764</v>
      </c>
      <c r="S89" s="35" t="s">
        <v>765</v>
      </c>
      <c r="T89" s="22" t="s">
        <v>81</v>
      </c>
      <c r="U89" s="21" t="s">
        <v>82</v>
      </c>
      <c r="V89" s="91">
        <v>1.0</v>
      </c>
      <c r="W89" s="82" t="s">
        <v>83</v>
      </c>
      <c r="X89" s="20" t="s">
        <v>84</v>
      </c>
      <c r="Y89" s="24">
        <v>2.0</v>
      </c>
      <c r="Z89" s="32">
        <v>46076.0</v>
      </c>
      <c r="AA89" s="20">
        <f>DAY(Tabla1[F. INICIO])</f>
        <v>23</v>
      </c>
      <c r="AB89" s="14" t="str">
        <f>TEXT(' En tramite 23-26'!$Z89,"mmmm")</f>
        <v>febrero</v>
      </c>
      <c r="AC89" s="20">
        <f>YEAR(' En tramite 23-26'!$Z89)</f>
        <v>2026</v>
      </c>
      <c r="AD89" s="20" t="s">
        <v>84</v>
      </c>
      <c r="AE89" s="24">
        <v>2.0</v>
      </c>
      <c r="AF89" s="24">
        <v>46077.0</v>
      </c>
      <c r="AG89" s="20" t="s">
        <v>84</v>
      </c>
      <c r="AH89" s="24">
        <v>2.0</v>
      </c>
      <c r="AI89" s="24">
        <v>46034.0</v>
      </c>
      <c r="AJ89" s="20">
        <f>DAY(' En tramite 23-26'!$AI89)</f>
        <v>12</v>
      </c>
      <c r="AK89" s="20" t="str">
        <f>TEXT(' En tramite 23-26'!$AI89,"mmmm")</f>
        <v>enero</v>
      </c>
      <c r="AL89" s="20">
        <f>YEAR(' En tramite 23-26'!$Z89)</f>
        <v>2026</v>
      </c>
      <c r="AM89" s="20" t="s">
        <v>84</v>
      </c>
      <c r="AN89" s="24">
        <v>2.0</v>
      </c>
      <c r="AO89" s="24">
        <v>46034.0</v>
      </c>
      <c r="AP89" s="20" t="s">
        <v>84</v>
      </c>
      <c r="AQ89" s="24">
        <v>2.0</v>
      </c>
      <c r="AR89" s="24">
        <v>46077.0</v>
      </c>
      <c r="AS89" s="24">
        <f>' En tramite 23-26'!$AI89+45</f>
        <v>46079</v>
      </c>
      <c r="AT89" s="20" t="s">
        <v>85</v>
      </c>
      <c r="AU89" s="20" t="s">
        <v>84</v>
      </c>
      <c r="AV89" s="20">
        <v>2.0</v>
      </c>
      <c r="AW89" s="24">
        <v>46125.0</v>
      </c>
      <c r="AX89" s="20" t="s">
        <v>86</v>
      </c>
      <c r="AY89" s="20" t="s">
        <v>84</v>
      </c>
      <c r="AZ89" s="20">
        <v>2.0</v>
      </c>
      <c r="BA89" s="24">
        <v>46125.0</v>
      </c>
      <c r="BB89" s="20" t="s">
        <v>84</v>
      </c>
      <c r="BC89" s="28">
        <v>2.0</v>
      </c>
      <c r="BD89" s="24">
        <v>46125.0</v>
      </c>
      <c r="BE89" s="20">
        <f>DAY(' En tramite 23-26'!$BD89)</f>
        <v>13</v>
      </c>
      <c r="BF89" s="24" t="str">
        <f>TEXT(' En tramite 23-26'!$BD89,"mmmm")</f>
        <v>abril</v>
      </c>
      <c r="BG89" s="20">
        <f>YEAR(' En tramite 23-26'!$BD89)</f>
        <v>2026</v>
      </c>
      <c r="BH89" s="29">
        <v>1.0</v>
      </c>
      <c r="BI89" s="14" t="s">
        <v>766</v>
      </c>
      <c r="BJ89" s="30" t="s">
        <v>88</v>
      </c>
      <c r="BK89" s="31" t="s">
        <v>89</v>
      </c>
      <c r="BL89" s="14"/>
      <c r="BM89" s="81"/>
    </row>
    <row r="90" ht="16.5" customHeight="1">
      <c r="A90" s="11" t="s">
        <v>767</v>
      </c>
      <c r="B90" s="34" t="s">
        <v>693</v>
      </c>
      <c r="C90" s="13" t="s">
        <v>768</v>
      </c>
      <c r="D90" s="18" t="s">
        <v>769</v>
      </c>
      <c r="E90" s="15" t="s">
        <v>770</v>
      </c>
      <c r="F90" s="16" t="s">
        <v>771</v>
      </c>
      <c r="G90" s="16">
        <v>4.422695428E9</v>
      </c>
      <c r="H90" s="17" t="s">
        <v>772</v>
      </c>
      <c r="I90" s="18" t="s">
        <v>407</v>
      </c>
      <c r="J90" s="18" t="s">
        <v>109</v>
      </c>
      <c r="K90" s="18" t="s">
        <v>74</v>
      </c>
      <c r="L90" s="19" t="s">
        <v>75</v>
      </c>
      <c r="M90" s="14" t="s">
        <v>95</v>
      </c>
      <c r="N90" s="18" t="s">
        <v>96</v>
      </c>
      <c r="O90" s="18" t="s">
        <v>97</v>
      </c>
      <c r="P90" s="20" t="s">
        <v>95</v>
      </c>
      <c r="Q90" s="20">
        <v>4.423622063E9</v>
      </c>
      <c r="R90" s="18" t="s">
        <v>98</v>
      </c>
      <c r="S90" s="21" t="s">
        <v>99</v>
      </c>
      <c r="T90" s="22" t="s">
        <v>81</v>
      </c>
      <c r="U90" s="21" t="s">
        <v>82</v>
      </c>
      <c r="V90" s="91">
        <v>1.0</v>
      </c>
      <c r="W90" s="82" t="s">
        <v>83</v>
      </c>
      <c r="X90" s="20" t="s">
        <v>84</v>
      </c>
      <c r="Y90" s="24">
        <v>2.0</v>
      </c>
      <c r="Z90" s="32">
        <v>45992.0</v>
      </c>
      <c r="AA90" s="20">
        <f>DAY(Tabla1[F. INICIO])</f>
        <v>1</v>
      </c>
      <c r="AB90" s="14" t="str">
        <f>TEXT(' En tramite 23-26'!$Z90,"mmmm")</f>
        <v>diciembre</v>
      </c>
      <c r="AC90" s="20">
        <f>YEAR(' En tramite 23-26'!$Z90)</f>
        <v>2025</v>
      </c>
      <c r="AD90" s="20" t="s">
        <v>84</v>
      </c>
      <c r="AE90" s="24">
        <v>2.0</v>
      </c>
      <c r="AF90" s="24">
        <v>45992.0</v>
      </c>
      <c r="AG90" s="20" t="s">
        <v>84</v>
      </c>
      <c r="AH90" s="24">
        <v>2.0</v>
      </c>
      <c r="AI90" s="24">
        <v>45992.0</v>
      </c>
      <c r="AJ90" s="20">
        <f>DAY(' En tramite 23-26'!$AI90)</f>
        <v>1</v>
      </c>
      <c r="AK90" s="20" t="str">
        <f>TEXT(' En tramite 23-26'!$AI90,"mmmm")</f>
        <v>diciembre</v>
      </c>
      <c r="AL90" s="20">
        <f>YEAR(' En tramite 23-26'!$Z90)</f>
        <v>2025</v>
      </c>
      <c r="AM90" s="20" t="s">
        <v>84</v>
      </c>
      <c r="AN90" s="24">
        <v>2.0</v>
      </c>
      <c r="AO90" s="24">
        <v>45992.0</v>
      </c>
      <c r="AP90" s="20" t="s">
        <v>220</v>
      </c>
      <c r="AQ90" s="24">
        <v>2.0</v>
      </c>
      <c r="AR90" s="24">
        <v>46037.0</v>
      </c>
      <c r="AS90" s="24">
        <f>' En tramite 23-26'!$AI90+45</f>
        <v>46037</v>
      </c>
      <c r="AT90" s="20" t="s">
        <v>85</v>
      </c>
      <c r="AU90" s="20" t="s">
        <v>84</v>
      </c>
      <c r="AV90" s="20">
        <v>2.0</v>
      </c>
      <c r="AW90" s="24">
        <v>46099.0</v>
      </c>
      <c r="AX90" s="20" t="s">
        <v>86</v>
      </c>
      <c r="AY90" s="20" t="s">
        <v>84</v>
      </c>
      <c r="AZ90" s="20">
        <v>2.0</v>
      </c>
      <c r="BA90" s="24">
        <v>46099.0</v>
      </c>
      <c r="BB90" s="20" t="s">
        <v>84</v>
      </c>
      <c r="BC90" s="28">
        <v>2.0</v>
      </c>
      <c r="BD90" s="24">
        <v>46099.0</v>
      </c>
      <c r="BE90" s="20">
        <f>DAY(' En tramite 23-26'!$BD90)</f>
        <v>18</v>
      </c>
      <c r="BF90" s="24" t="str">
        <f>TEXT(' En tramite 23-26'!$BD90,"mmmm")</f>
        <v>marzo</v>
      </c>
      <c r="BG90" s="20">
        <f>YEAR(' En tramite 23-26'!$BD90)</f>
        <v>2026</v>
      </c>
      <c r="BH90" s="29">
        <v>1.0</v>
      </c>
      <c r="BI90" s="14" t="s">
        <v>439</v>
      </c>
      <c r="BJ90" s="30" t="s">
        <v>88</v>
      </c>
      <c r="BK90" s="31" t="s">
        <v>89</v>
      </c>
      <c r="BL90" s="14"/>
      <c r="BM90" s="81"/>
    </row>
    <row r="91" ht="16.5" customHeight="1">
      <c r="A91" s="11" t="s">
        <v>773</v>
      </c>
      <c r="B91" s="34"/>
      <c r="C91" s="13"/>
      <c r="D91" s="62" t="s">
        <v>774</v>
      </c>
      <c r="E91" s="15" t="s">
        <v>775</v>
      </c>
      <c r="F91" s="63" t="s">
        <v>776</v>
      </c>
      <c r="G91" s="63">
        <v>5.654931821E9</v>
      </c>
      <c r="H91" s="64" t="s">
        <v>777</v>
      </c>
      <c r="I91" s="62" t="s">
        <v>407</v>
      </c>
      <c r="J91" s="62" t="s">
        <v>109</v>
      </c>
      <c r="K91" s="62" t="s">
        <v>74</v>
      </c>
      <c r="L91" s="67" t="s">
        <v>200</v>
      </c>
      <c r="M91" s="66" t="s">
        <v>95</v>
      </c>
      <c r="N91" s="62" t="s">
        <v>726</v>
      </c>
      <c r="O91" s="62" t="s">
        <v>97</v>
      </c>
      <c r="P91" s="67" t="s">
        <v>95</v>
      </c>
      <c r="Q91" s="67">
        <v>4.423622063E9</v>
      </c>
      <c r="R91" s="62" t="s">
        <v>98</v>
      </c>
      <c r="S91" s="70" t="s">
        <v>99</v>
      </c>
      <c r="T91" s="69" t="s">
        <v>81</v>
      </c>
      <c r="U91" s="70" t="s">
        <v>100</v>
      </c>
      <c r="V91" s="104">
        <v>1.0</v>
      </c>
      <c r="W91" s="108" t="s">
        <v>83</v>
      </c>
      <c r="X91" s="109" t="s">
        <v>84</v>
      </c>
      <c r="Y91" s="110">
        <v>2.0</v>
      </c>
      <c r="Z91" s="74">
        <v>45992.0</v>
      </c>
      <c r="AA91" s="109">
        <f>DAY(Tabla1[F. INICIO])</f>
        <v>1</v>
      </c>
      <c r="AB91" s="75" t="str">
        <f>TEXT(' En tramite 23-26'!$Z91,"mmmm")</f>
        <v>diciembre</v>
      </c>
      <c r="AC91" s="109">
        <f>YEAR(' En tramite 23-26'!$Z91)</f>
        <v>2025</v>
      </c>
      <c r="AD91" s="67" t="s">
        <v>84</v>
      </c>
      <c r="AE91" s="73">
        <v>2.0</v>
      </c>
      <c r="AF91" s="73">
        <v>45992.0</v>
      </c>
      <c r="AG91" s="67" t="s">
        <v>84</v>
      </c>
      <c r="AH91" s="73">
        <v>2.0</v>
      </c>
      <c r="AI91" s="73">
        <v>45992.0</v>
      </c>
      <c r="AJ91" s="67">
        <f>DAY(' En tramite 23-26'!$AI91)</f>
        <v>1</v>
      </c>
      <c r="AK91" s="67" t="str">
        <f>TEXT(' En tramite 23-26'!$AI91,"mmmm")</f>
        <v>diciembre</v>
      </c>
      <c r="AL91" s="67">
        <f>YEAR(' En tramite 23-26'!$Z91)</f>
        <v>2025</v>
      </c>
      <c r="AM91" s="67" t="s">
        <v>84</v>
      </c>
      <c r="AN91" s="73">
        <v>2.0</v>
      </c>
      <c r="AO91" s="73">
        <v>45992.0</v>
      </c>
      <c r="AP91" s="67" t="s">
        <v>84</v>
      </c>
      <c r="AQ91" s="73">
        <v>2.0</v>
      </c>
      <c r="AR91" s="73">
        <v>46037.0</v>
      </c>
      <c r="AS91" s="73">
        <f>' En tramite 23-26'!$AI91+45</f>
        <v>46037</v>
      </c>
      <c r="AT91" s="67" t="s">
        <v>85</v>
      </c>
      <c r="AU91" s="67" t="s">
        <v>84</v>
      </c>
      <c r="AV91" s="67">
        <v>2.0</v>
      </c>
      <c r="AW91" s="73">
        <v>46129.0</v>
      </c>
      <c r="AX91" s="67" t="s">
        <v>86</v>
      </c>
      <c r="AY91" s="67" t="s">
        <v>84</v>
      </c>
      <c r="AZ91" s="67">
        <v>2.0</v>
      </c>
      <c r="BA91" s="73">
        <v>46129.0</v>
      </c>
      <c r="BB91" s="67" t="s">
        <v>84</v>
      </c>
      <c r="BC91" s="76">
        <v>2.0</v>
      </c>
      <c r="BD91" s="73">
        <v>46129.0</v>
      </c>
      <c r="BE91" s="67">
        <f>DAY(' En tramite 23-26'!$BD91)</f>
        <v>17</v>
      </c>
      <c r="BF91" s="73" t="str">
        <f>TEXT(' En tramite 23-26'!$BD91,"mmmm")</f>
        <v>abril</v>
      </c>
      <c r="BG91" s="67">
        <f>YEAR(' En tramite 23-26'!$BD91)</f>
        <v>2026</v>
      </c>
      <c r="BH91" s="77"/>
      <c r="BI91" s="66"/>
      <c r="BJ91" s="78" t="s">
        <v>274</v>
      </c>
      <c r="BK91" s="79" t="s">
        <v>275</v>
      </c>
      <c r="BL91" s="66"/>
      <c r="BM91" s="80"/>
    </row>
    <row r="92" ht="16.5" customHeight="1">
      <c r="A92" s="11" t="s">
        <v>778</v>
      </c>
      <c r="B92" s="34"/>
      <c r="C92" s="13"/>
      <c r="D92" s="41" t="s">
        <v>779</v>
      </c>
      <c r="E92" s="15" t="s">
        <v>780</v>
      </c>
      <c r="F92" s="42" t="s">
        <v>781</v>
      </c>
      <c r="G92" s="42">
        <v>4.464078908E9</v>
      </c>
      <c r="H92" s="43" t="s">
        <v>782</v>
      </c>
      <c r="I92" s="41" t="s">
        <v>407</v>
      </c>
      <c r="J92" s="41" t="s">
        <v>109</v>
      </c>
      <c r="K92" s="41" t="s">
        <v>74</v>
      </c>
      <c r="L92" s="44" t="s">
        <v>200</v>
      </c>
      <c r="M92" s="13" t="s">
        <v>95</v>
      </c>
      <c r="N92" s="41" t="s">
        <v>726</v>
      </c>
      <c r="O92" s="41" t="s">
        <v>97</v>
      </c>
      <c r="P92" s="44" t="s">
        <v>95</v>
      </c>
      <c r="Q92" s="44">
        <v>4.423622063E9</v>
      </c>
      <c r="R92" s="41" t="s">
        <v>98</v>
      </c>
      <c r="S92" s="47" t="s">
        <v>99</v>
      </c>
      <c r="T92" s="46" t="s">
        <v>81</v>
      </c>
      <c r="U92" s="47" t="s">
        <v>100</v>
      </c>
      <c r="V92" s="101">
        <v>1.0</v>
      </c>
      <c r="W92" s="111" t="s">
        <v>83</v>
      </c>
      <c r="X92" s="44" t="s">
        <v>84</v>
      </c>
      <c r="Y92" s="49">
        <v>2.0</v>
      </c>
      <c r="Z92" s="50">
        <v>45992.0</v>
      </c>
      <c r="AA92" s="44">
        <f>DAY(Tabla1[F. INICIO])</f>
        <v>1</v>
      </c>
      <c r="AB92" s="51" t="str">
        <f>TEXT(' En tramite 23-26'!$Z92,"mmmm")</f>
        <v>diciembre</v>
      </c>
      <c r="AC92" s="44">
        <f>YEAR(' En tramite 23-26'!$Z92)</f>
        <v>2025</v>
      </c>
      <c r="AD92" s="44" t="s">
        <v>84</v>
      </c>
      <c r="AE92" s="49">
        <v>2.0</v>
      </c>
      <c r="AF92" s="49">
        <v>45992.0</v>
      </c>
      <c r="AG92" s="44" t="s">
        <v>84</v>
      </c>
      <c r="AH92" s="49">
        <v>2.0</v>
      </c>
      <c r="AI92" s="49">
        <v>45992.0</v>
      </c>
      <c r="AJ92" s="44">
        <f>DAY(' En tramite 23-26'!$AI92)</f>
        <v>1</v>
      </c>
      <c r="AK92" s="44" t="str">
        <f>TEXT(' En tramite 23-26'!$AI92,"mmmm")</f>
        <v>diciembre</v>
      </c>
      <c r="AL92" s="44">
        <f>YEAR(' En tramite 23-26'!$Z92)</f>
        <v>2025</v>
      </c>
      <c r="AM92" s="44" t="s">
        <v>84</v>
      </c>
      <c r="AN92" s="49">
        <v>2.0</v>
      </c>
      <c r="AO92" s="49">
        <v>45992.0</v>
      </c>
      <c r="AP92" s="44" t="s">
        <v>220</v>
      </c>
      <c r="AQ92" s="49">
        <v>0.0</v>
      </c>
      <c r="AR92" s="49"/>
      <c r="AS92" s="103">
        <f>' En tramite 23-26'!$AI92+45</f>
        <v>46037</v>
      </c>
      <c r="AT92" s="44"/>
      <c r="AU92" s="44"/>
      <c r="AV92" s="44"/>
      <c r="AW92" s="49">
        <f>' En tramite 23-26'!$AS92+45</f>
        <v>46082</v>
      </c>
      <c r="AX92" s="44"/>
      <c r="AY92" s="44"/>
      <c r="AZ92" s="44"/>
      <c r="BA92" s="49"/>
      <c r="BB92" s="44"/>
      <c r="BC92" s="12"/>
      <c r="BD92" s="49"/>
      <c r="BE92" s="44">
        <f>DAY(' En tramite 23-26'!$BD92)</f>
        <v>30</v>
      </c>
      <c r="BF92" s="49" t="str">
        <f>TEXT(' En tramite 23-26'!$BD92,"mmmm")</f>
        <v>diciembre</v>
      </c>
      <c r="BG92" s="44">
        <f>YEAR(' En tramite 23-26'!$BD92)</f>
        <v>1899</v>
      </c>
      <c r="BH92" s="53"/>
      <c r="BI92" s="13"/>
      <c r="BJ92" s="34"/>
      <c r="BK92" s="54"/>
      <c r="BL92" s="13"/>
      <c r="BM92" s="58"/>
    </row>
    <row r="93" ht="16.5" customHeight="1">
      <c r="A93" s="11" t="s">
        <v>783</v>
      </c>
      <c r="B93" s="34"/>
      <c r="C93" s="13"/>
      <c r="D93" s="41" t="s">
        <v>784</v>
      </c>
      <c r="E93" s="15" t="s">
        <v>785</v>
      </c>
      <c r="F93" s="42" t="s">
        <v>786</v>
      </c>
      <c r="G93" s="42">
        <v>4.42871637E9</v>
      </c>
      <c r="H93" s="43" t="s">
        <v>787</v>
      </c>
      <c r="I93" s="41" t="s">
        <v>407</v>
      </c>
      <c r="J93" s="41" t="s">
        <v>109</v>
      </c>
      <c r="K93" s="41" t="s">
        <v>74</v>
      </c>
      <c r="L93" s="44" t="s">
        <v>200</v>
      </c>
      <c r="M93" s="13" t="s">
        <v>95</v>
      </c>
      <c r="N93" s="41" t="s">
        <v>726</v>
      </c>
      <c r="O93" s="41" t="s">
        <v>97</v>
      </c>
      <c r="P93" s="44" t="s">
        <v>95</v>
      </c>
      <c r="Q93" s="44">
        <v>4.423622063E9</v>
      </c>
      <c r="R93" s="41" t="s">
        <v>98</v>
      </c>
      <c r="S93" s="47" t="s">
        <v>99</v>
      </c>
      <c r="T93" s="46" t="s">
        <v>81</v>
      </c>
      <c r="U93" s="47" t="s">
        <v>82</v>
      </c>
      <c r="V93" s="101">
        <v>1.0</v>
      </c>
      <c r="W93" s="111" t="s">
        <v>83</v>
      </c>
      <c r="X93" s="44" t="s">
        <v>84</v>
      </c>
      <c r="Y93" s="49">
        <v>2.0</v>
      </c>
      <c r="Z93" s="50">
        <v>45992.0</v>
      </c>
      <c r="AA93" s="44">
        <f>DAY(Tabla1[F. INICIO])</f>
        <v>1</v>
      </c>
      <c r="AB93" s="51" t="str">
        <f>TEXT(' En tramite 23-26'!$Z93,"mmmm")</f>
        <v>diciembre</v>
      </c>
      <c r="AC93" s="44">
        <f>YEAR(' En tramite 23-26'!$Z93)</f>
        <v>2025</v>
      </c>
      <c r="AD93" s="44" t="s">
        <v>84</v>
      </c>
      <c r="AE93" s="49">
        <v>2.0</v>
      </c>
      <c r="AF93" s="49">
        <v>45992.0</v>
      </c>
      <c r="AG93" s="44" t="s">
        <v>220</v>
      </c>
      <c r="AH93" s="49">
        <v>0.0</v>
      </c>
      <c r="AI93" s="49"/>
      <c r="AJ93" s="44">
        <f>DAY(' En tramite 23-26'!$AI93)</f>
        <v>30</v>
      </c>
      <c r="AK93" s="44" t="str">
        <f>TEXT(' En tramite 23-26'!$AI93,"mmmm")</f>
        <v>diciembre</v>
      </c>
      <c r="AL93" s="44">
        <f>YEAR(' En tramite 23-26'!$Z93)</f>
        <v>2025</v>
      </c>
      <c r="AM93" s="44"/>
      <c r="AN93" s="49"/>
      <c r="AO93" s="49"/>
      <c r="AP93" s="44"/>
      <c r="AQ93" s="49"/>
      <c r="AR93" s="49"/>
      <c r="AS93" s="103">
        <f>' En tramite 23-26'!$AI93+45</f>
        <v>45</v>
      </c>
      <c r="AT93" s="44"/>
      <c r="AU93" s="44"/>
      <c r="AV93" s="44"/>
      <c r="AW93" s="49">
        <f>' En tramite 23-26'!$AS93+45</f>
        <v>90</v>
      </c>
      <c r="AX93" s="44"/>
      <c r="AY93" s="44"/>
      <c r="AZ93" s="44"/>
      <c r="BA93" s="49"/>
      <c r="BB93" s="44"/>
      <c r="BC93" s="12"/>
      <c r="BD93" s="49"/>
      <c r="BE93" s="44">
        <f>DAY(' En tramite 23-26'!$BD93)</f>
        <v>30</v>
      </c>
      <c r="BF93" s="49" t="str">
        <f>TEXT(' En tramite 23-26'!$BD93,"mmmm")</f>
        <v>diciembre</v>
      </c>
      <c r="BG93" s="44">
        <f>YEAR(' En tramite 23-26'!$BD93)</f>
        <v>1899</v>
      </c>
      <c r="BH93" s="53"/>
      <c r="BI93" s="13"/>
      <c r="BJ93" s="34"/>
      <c r="BK93" s="54"/>
      <c r="BL93" s="13"/>
      <c r="BM93" s="58"/>
    </row>
    <row r="94" ht="16.5" customHeight="1">
      <c r="A94" s="11" t="s">
        <v>788</v>
      </c>
      <c r="B94" s="34" t="s">
        <v>699</v>
      </c>
      <c r="C94" s="13" t="s">
        <v>789</v>
      </c>
      <c r="D94" s="18" t="s">
        <v>790</v>
      </c>
      <c r="E94" s="15" t="s">
        <v>791</v>
      </c>
      <c r="F94" s="16" t="s">
        <v>792</v>
      </c>
      <c r="G94" s="16">
        <v>5.586797415E9</v>
      </c>
      <c r="H94" s="17" t="s">
        <v>793</v>
      </c>
      <c r="I94" s="18" t="s">
        <v>407</v>
      </c>
      <c r="J94" s="18" t="s">
        <v>109</v>
      </c>
      <c r="K94" s="18" t="s">
        <v>74</v>
      </c>
      <c r="L94" s="19" t="s">
        <v>75</v>
      </c>
      <c r="M94" s="14" t="s">
        <v>95</v>
      </c>
      <c r="N94" s="18" t="s">
        <v>96</v>
      </c>
      <c r="O94" s="18" t="s">
        <v>97</v>
      </c>
      <c r="P94" s="20" t="s">
        <v>95</v>
      </c>
      <c r="Q94" s="20">
        <v>4.423622063E9</v>
      </c>
      <c r="R94" s="18" t="s">
        <v>98</v>
      </c>
      <c r="S94" s="21" t="s">
        <v>99</v>
      </c>
      <c r="T94" s="22" t="s">
        <v>81</v>
      </c>
      <c r="U94" s="21" t="s">
        <v>82</v>
      </c>
      <c r="V94" s="91">
        <v>1.0</v>
      </c>
      <c r="W94" s="82" t="s">
        <v>83</v>
      </c>
      <c r="X94" s="20" t="s">
        <v>84</v>
      </c>
      <c r="Y94" s="24">
        <v>2.0</v>
      </c>
      <c r="Z94" s="25">
        <v>45992.0</v>
      </c>
      <c r="AA94" s="20">
        <f>DAY(Tabla1[F. INICIO])</f>
        <v>1</v>
      </c>
      <c r="AB94" s="26" t="str">
        <f>TEXT(' En tramite 23-26'!$Z94,"mmmm")</f>
        <v>diciembre</v>
      </c>
      <c r="AC94" s="20">
        <f>YEAR(' En tramite 23-26'!$Z94)</f>
        <v>2025</v>
      </c>
      <c r="AD94" s="20" t="s">
        <v>84</v>
      </c>
      <c r="AE94" s="24">
        <v>2.0</v>
      </c>
      <c r="AF94" s="24">
        <v>45992.0</v>
      </c>
      <c r="AG94" s="20" t="s">
        <v>84</v>
      </c>
      <c r="AH94" s="24">
        <v>2.0</v>
      </c>
      <c r="AI94" s="24">
        <v>45992.0</v>
      </c>
      <c r="AJ94" s="20">
        <f>DAY(' En tramite 23-26'!$AI94)</f>
        <v>1</v>
      </c>
      <c r="AK94" s="20" t="str">
        <f>TEXT(' En tramite 23-26'!$AI94,"mmmm")</f>
        <v>diciembre</v>
      </c>
      <c r="AL94" s="20">
        <f>YEAR(' En tramite 23-26'!$Z94)</f>
        <v>2025</v>
      </c>
      <c r="AM94" s="20" t="s">
        <v>84</v>
      </c>
      <c r="AN94" s="24">
        <v>2.0</v>
      </c>
      <c r="AO94" s="24">
        <v>45992.0</v>
      </c>
      <c r="AP94" s="20" t="s">
        <v>84</v>
      </c>
      <c r="AQ94" s="24">
        <v>2.0</v>
      </c>
      <c r="AR94" s="24">
        <v>46047.0</v>
      </c>
      <c r="AS94" s="24">
        <f>' En tramite 23-26'!$AI94+45</f>
        <v>46037</v>
      </c>
      <c r="AT94" s="20" t="s">
        <v>85</v>
      </c>
      <c r="AU94" s="20" t="s">
        <v>84</v>
      </c>
      <c r="AV94" s="20">
        <v>2.0</v>
      </c>
      <c r="AW94" s="24">
        <f>' En tramite 23-26'!$AS94+45</f>
        <v>46082</v>
      </c>
      <c r="AX94" s="20" t="s">
        <v>86</v>
      </c>
      <c r="AY94" s="20" t="s">
        <v>84</v>
      </c>
      <c r="AZ94" s="20">
        <v>2.0</v>
      </c>
      <c r="BA94" s="24">
        <v>46099.0</v>
      </c>
      <c r="BB94" s="20" t="s">
        <v>84</v>
      </c>
      <c r="BC94" s="28">
        <v>2.0</v>
      </c>
      <c r="BD94" s="24">
        <v>46099.0</v>
      </c>
      <c r="BE94" s="20">
        <f>DAY(' En tramite 23-26'!$BD94)</f>
        <v>18</v>
      </c>
      <c r="BF94" s="24" t="str">
        <f>TEXT(' En tramite 23-26'!$BD94,"mmmm")</f>
        <v>marzo</v>
      </c>
      <c r="BG94" s="20">
        <f>YEAR(' En tramite 23-26'!$BD94)</f>
        <v>2026</v>
      </c>
      <c r="BH94" s="29">
        <v>1.0</v>
      </c>
      <c r="BI94" s="14" t="s">
        <v>439</v>
      </c>
      <c r="BJ94" s="30" t="s">
        <v>88</v>
      </c>
      <c r="BK94" s="31" t="s">
        <v>89</v>
      </c>
      <c r="BL94" s="32">
        <v>46238.0</v>
      </c>
      <c r="BM94" s="33">
        <v>2.0</v>
      </c>
    </row>
    <row r="95" ht="16.5" customHeight="1">
      <c r="A95" s="11" t="s">
        <v>794</v>
      </c>
      <c r="B95" s="34" t="s">
        <v>705</v>
      </c>
      <c r="C95" s="13" t="s">
        <v>795</v>
      </c>
      <c r="D95" s="18" t="s">
        <v>796</v>
      </c>
      <c r="E95" s="15" t="s">
        <v>797</v>
      </c>
      <c r="F95" s="16" t="s">
        <v>798</v>
      </c>
      <c r="G95" s="16">
        <v>4.461273886E9</v>
      </c>
      <c r="H95" s="17" t="s">
        <v>799</v>
      </c>
      <c r="I95" s="18" t="s">
        <v>800</v>
      </c>
      <c r="J95" s="18" t="s">
        <v>73</v>
      </c>
      <c r="K95" s="18" t="s">
        <v>110</v>
      </c>
      <c r="L95" s="19" t="s">
        <v>75</v>
      </c>
      <c r="M95" s="14" t="s">
        <v>14</v>
      </c>
      <c r="N95" s="18" t="s">
        <v>801</v>
      </c>
      <c r="O95" s="18" t="s">
        <v>77</v>
      </c>
      <c r="P95" s="20" t="s">
        <v>78</v>
      </c>
      <c r="Q95" s="20">
        <v>4.422851734E9</v>
      </c>
      <c r="R95" s="20" t="s">
        <v>802</v>
      </c>
      <c r="S95" s="35" t="s">
        <v>803</v>
      </c>
      <c r="T95" s="22" t="s">
        <v>81</v>
      </c>
      <c r="U95" s="21" t="s">
        <v>82</v>
      </c>
      <c r="V95" s="23">
        <v>1.0</v>
      </c>
      <c r="W95" s="82" t="s">
        <v>83</v>
      </c>
      <c r="X95" s="20" t="s">
        <v>84</v>
      </c>
      <c r="Y95" s="24">
        <v>2.0</v>
      </c>
      <c r="Z95" s="25">
        <v>46034.0</v>
      </c>
      <c r="AA95" s="20">
        <f>DAY(Tabla1[F. INICIO])</f>
        <v>12</v>
      </c>
      <c r="AB95" s="26" t="str">
        <f>TEXT(' En tramite 23-26'!$Z95,"mmmm")</f>
        <v>enero</v>
      </c>
      <c r="AC95" s="20">
        <f>YEAR(' En tramite 23-26'!$Z95)</f>
        <v>2026</v>
      </c>
      <c r="AD95" s="20" t="s">
        <v>84</v>
      </c>
      <c r="AE95" s="24">
        <v>2.0</v>
      </c>
      <c r="AF95" s="24">
        <v>46034.0</v>
      </c>
      <c r="AG95" s="20" t="s">
        <v>84</v>
      </c>
      <c r="AH95" s="24">
        <v>2.0</v>
      </c>
      <c r="AI95" s="24">
        <v>46042.0</v>
      </c>
      <c r="AJ95" s="20">
        <f>DAY(' En tramite 23-26'!$AI95)</f>
        <v>20</v>
      </c>
      <c r="AK95" s="20" t="str">
        <f>TEXT(' En tramite 23-26'!$AI95,"mmmm")</f>
        <v>enero</v>
      </c>
      <c r="AL95" s="20">
        <f>YEAR(' En tramite 23-26'!$Z95)</f>
        <v>2026</v>
      </c>
      <c r="AM95" s="20" t="s">
        <v>84</v>
      </c>
      <c r="AN95" s="24">
        <v>2.0</v>
      </c>
      <c r="AO95" s="24">
        <v>46042.0</v>
      </c>
      <c r="AP95" s="20" t="s">
        <v>84</v>
      </c>
      <c r="AQ95" s="24">
        <v>2.0</v>
      </c>
      <c r="AR95" s="24">
        <v>46101.0</v>
      </c>
      <c r="AS95" s="24">
        <f>' En tramite 23-26'!$AI95+45</f>
        <v>46087</v>
      </c>
      <c r="AT95" s="20" t="s">
        <v>85</v>
      </c>
      <c r="AU95" s="20" t="s">
        <v>84</v>
      </c>
      <c r="AV95" s="20">
        <v>2.0</v>
      </c>
      <c r="AW95" s="24">
        <f>' En tramite 23-26'!$AS95+45</f>
        <v>46132</v>
      </c>
      <c r="AX95" s="20" t="s">
        <v>86</v>
      </c>
      <c r="AY95" s="20" t="s">
        <v>84</v>
      </c>
      <c r="AZ95" s="20">
        <v>2.0</v>
      </c>
      <c r="BA95" s="24">
        <v>46132.0</v>
      </c>
      <c r="BB95" s="20" t="s">
        <v>84</v>
      </c>
      <c r="BC95" s="28">
        <v>2.0</v>
      </c>
      <c r="BD95" s="24">
        <v>46132.0</v>
      </c>
      <c r="BE95" s="20">
        <f>DAY(' En tramite 23-26'!$BD95)</f>
        <v>20</v>
      </c>
      <c r="BF95" s="24" t="str">
        <f>TEXT(' En tramite 23-26'!$BD95,"mmmm")</f>
        <v>abril</v>
      </c>
      <c r="BG95" s="20">
        <f>YEAR(' En tramite 23-26'!$BD95)</f>
        <v>2026</v>
      </c>
      <c r="BH95" s="29">
        <v>1.0</v>
      </c>
      <c r="BI95" s="14" t="s">
        <v>540</v>
      </c>
      <c r="BJ95" s="30" t="s">
        <v>88</v>
      </c>
      <c r="BK95" s="31" t="s">
        <v>89</v>
      </c>
      <c r="BL95" s="32"/>
      <c r="BM95" s="33"/>
    </row>
    <row r="96" ht="16.5" customHeight="1">
      <c r="A96" s="11" t="s">
        <v>804</v>
      </c>
      <c r="B96" s="34"/>
      <c r="C96" s="13"/>
      <c r="D96" s="41" t="s">
        <v>805</v>
      </c>
      <c r="E96" s="15" t="s">
        <v>806</v>
      </c>
      <c r="F96" s="42" t="s">
        <v>807</v>
      </c>
      <c r="G96" s="42">
        <v>4.424895084E9</v>
      </c>
      <c r="H96" s="43" t="s">
        <v>808</v>
      </c>
      <c r="I96" s="41" t="s">
        <v>800</v>
      </c>
      <c r="J96" s="41" t="s">
        <v>73</v>
      </c>
      <c r="K96" s="41" t="s">
        <v>110</v>
      </c>
      <c r="L96" s="44" t="s">
        <v>200</v>
      </c>
      <c r="M96" s="13" t="s">
        <v>14</v>
      </c>
      <c r="N96" s="41" t="s">
        <v>809</v>
      </c>
      <c r="O96" s="41" t="s">
        <v>77</v>
      </c>
      <c r="P96" s="44" t="s">
        <v>78</v>
      </c>
      <c r="Q96" s="44">
        <v>4.422851734E9</v>
      </c>
      <c r="R96" s="44" t="s">
        <v>802</v>
      </c>
      <c r="S96" s="45" t="s">
        <v>803</v>
      </c>
      <c r="T96" s="46" t="s">
        <v>81</v>
      </c>
      <c r="U96" s="47" t="s">
        <v>82</v>
      </c>
      <c r="V96" s="48">
        <v>0.0</v>
      </c>
      <c r="W96" s="111"/>
      <c r="X96" s="44" t="s">
        <v>84</v>
      </c>
      <c r="Y96" s="49">
        <v>2.0</v>
      </c>
      <c r="Z96" s="50">
        <v>46034.0</v>
      </c>
      <c r="AA96" s="44">
        <f>DAY(Tabla1[F. INICIO])</f>
        <v>12</v>
      </c>
      <c r="AB96" s="51" t="str">
        <f>TEXT(' En tramite 23-26'!$Z96,"mmmm")</f>
        <v>enero</v>
      </c>
      <c r="AC96" s="44">
        <f>YEAR(' En tramite 23-26'!$Z96)</f>
        <v>2026</v>
      </c>
      <c r="AD96" s="44" t="s">
        <v>84</v>
      </c>
      <c r="AE96" s="49">
        <v>2.0</v>
      </c>
      <c r="AF96" s="49">
        <v>46034.0</v>
      </c>
      <c r="AG96" s="44" t="s">
        <v>220</v>
      </c>
      <c r="AH96" s="44">
        <v>0.0</v>
      </c>
      <c r="AI96" s="44" t="str">
        <f>' En tramite 23-26'!$AI96</f>
        <v>#REF!</v>
      </c>
      <c r="AJ96" s="44" t="str">
        <f>DAY(' En tramite 23-26'!$AI96)</f>
        <v>#REF!</v>
      </c>
      <c r="AK96" s="44" t="str">
        <f>TEXT(' En tramite 23-26'!$AI96,"mmmm")</f>
        <v>#REF!</v>
      </c>
      <c r="AL96" s="44">
        <f>YEAR(' En tramite 23-26'!$Z96)</f>
        <v>2026</v>
      </c>
      <c r="AM96" s="44"/>
      <c r="AN96" s="49"/>
      <c r="AO96" s="44"/>
      <c r="AP96" s="44"/>
      <c r="AQ96" s="49"/>
      <c r="AR96" s="44"/>
      <c r="AS96" s="103" t="str">
        <f>' En tramite 23-26'!$AI96+45</f>
        <v>#REF!</v>
      </c>
      <c r="AT96" s="44"/>
      <c r="AU96" s="44"/>
      <c r="AV96" s="44"/>
      <c r="AW96" s="49" t="str">
        <f>' En tramite 23-26'!$AS96+45</f>
        <v>#REF!</v>
      </c>
      <c r="AX96" s="44"/>
      <c r="AY96" s="44"/>
      <c r="AZ96" s="44"/>
      <c r="BA96" s="44"/>
      <c r="BB96" s="44"/>
      <c r="BC96" s="12"/>
      <c r="BD96" s="44"/>
      <c r="BE96" s="44">
        <f>DAY(' En tramite 23-26'!$BD96)</f>
        <v>30</v>
      </c>
      <c r="BF96" s="49" t="str">
        <f>TEXT(' En tramite 23-26'!$BD96,"mmmm")</f>
        <v>diciembre</v>
      </c>
      <c r="BG96" s="44">
        <f>YEAR(' En tramite 23-26'!$BD96)</f>
        <v>1899</v>
      </c>
      <c r="BH96" s="44"/>
      <c r="BI96" s="112"/>
      <c r="BJ96" s="34"/>
      <c r="BK96" s="54"/>
      <c r="BL96" s="13"/>
      <c r="BM96" s="58"/>
    </row>
    <row r="97" ht="16.5" customHeight="1">
      <c r="A97" s="11" t="s">
        <v>810</v>
      </c>
      <c r="B97" s="34" t="s">
        <v>711</v>
      </c>
      <c r="C97" s="13" t="s">
        <v>811</v>
      </c>
      <c r="D97" s="18" t="s">
        <v>812</v>
      </c>
      <c r="E97" s="15" t="s">
        <v>813</v>
      </c>
      <c r="F97" s="16" t="s">
        <v>814</v>
      </c>
      <c r="G97" s="16">
        <v>4.428495361E9</v>
      </c>
      <c r="H97" s="17" t="s">
        <v>815</v>
      </c>
      <c r="I97" s="18" t="s">
        <v>800</v>
      </c>
      <c r="J97" s="18" t="s">
        <v>73</v>
      </c>
      <c r="K97" s="18" t="s">
        <v>110</v>
      </c>
      <c r="L97" s="19" t="s">
        <v>75</v>
      </c>
      <c r="M97" s="14" t="s">
        <v>14</v>
      </c>
      <c r="N97" s="18" t="s">
        <v>801</v>
      </c>
      <c r="O97" s="18" t="s">
        <v>77</v>
      </c>
      <c r="P97" s="20" t="s">
        <v>78</v>
      </c>
      <c r="Q97" s="20">
        <v>4.422851734E9</v>
      </c>
      <c r="R97" s="20" t="s">
        <v>802</v>
      </c>
      <c r="S97" s="35" t="s">
        <v>803</v>
      </c>
      <c r="T97" s="22" t="s">
        <v>81</v>
      </c>
      <c r="U97" s="21" t="s">
        <v>82</v>
      </c>
      <c r="V97" s="23">
        <v>1.0</v>
      </c>
      <c r="W97" s="82" t="s">
        <v>83</v>
      </c>
      <c r="X97" s="20" t="s">
        <v>84</v>
      </c>
      <c r="Y97" s="24">
        <v>2.0</v>
      </c>
      <c r="Z97" s="25">
        <v>46034.0</v>
      </c>
      <c r="AA97" s="20">
        <f>DAY(Tabla1[F. INICIO])</f>
        <v>12</v>
      </c>
      <c r="AB97" s="26" t="str">
        <f>TEXT(' En tramite 23-26'!$Z97,"mmmm")</f>
        <v>enero</v>
      </c>
      <c r="AC97" s="20">
        <f>YEAR(' En tramite 23-26'!$Z97)</f>
        <v>2026</v>
      </c>
      <c r="AD97" s="20" t="s">
        <v>84</v>
      </c>
      <c r="AE97" s="24">
        <v>2.0</v>
      </c>
      <c r="AF97" s="24">
        <v>46034.0</v>
      </c>
      <c r="AG97" s="20" t="s">
        <v>84</v>
      </c>
      <c r="AH97" s="24">
        <v>2.0</v>
      </c>
      <c r="AI97" s="24">
        <v>46042.0</v>
      </c>
      <c r="AJ97" s="20">
        <f>DAY(' En tramite 23-26'!$AI97)</f>
        <v>20</v>
      </c>
      <c r="AK97" s="20" t="str">
        <f>TEXT(' En tramite 23-26'!$AI97,"mmmm")</f>
        <v>enero</v>
      </c>
      <c r="AL97" s="20">
        <f>YEAR(' En tramite 23-26'!$Z97)</f>
        <v>2026</v>
      </c>
      <c r="AM97" s="20" t="s">
        <v>84</v>
      </c>
      <c r="AN97" s="24">
        <v>2.0</v>
      </c>
      <c r="AO97" s="24">
        <v>44946.0</v>
      </c>
      <c r="AP97" s="20" t="s">
        <v>84</v>
      </c>
      <c r="AQ97" s="24">
        <v>2.0</v>
      </c>
      <c r="AR97" s="24">
        <v>46101.0</v>
      </c>
      <c r="AS97" s="24">
        <f>' En tramite 23-26'!$AI97+45</f>
        <v>46087</v>
      </c>
      <c r="AT97" s="20" t="s">
        <v>85</v>
      </c>
      <c r="AU97" s="20" t="s">
        <v>84</v>
      </c>
      <c r="AV97" s="20">
        <v>2.0</v>
      </c>
      <c r="AW97" s="24">
        <f>' En tramite 23-26'!$AS97+45</f>
        <v>46132</v>
      </c>
      <c r="AX97" s="20" t="s">
        <v>86</v>
      </c>
      <c r="AY97" s="20" t="s">
        <v>84</v>
      </c>
      <c r="AZ97" s="20">
        <v>2.0</v>
      </c>
      <c r="BA97" s="24">
        <v>46132.0</v>
      </c>
      <c r="BB97" s="20" t="s">
        <v>84</v>
      </c>
      <c r="BC97" s="28">
        <v>2.0</v>
      </c>
      <c r="BD97" s="24">
        <v>46132.0</v>
      </c>
      <c r="BE97" s="20">
        <f>DAY(' En tramite 23-26'!$BD97)</f>
        <v>20</v>
      </c>
      <c r="BF97" s="24" t="str">
        <f>TEXT(' En tramite 23-26'!$BD97,"mmmm")</f>
        <v>abril</v>
      </c>
      <c r="BG97" s="20">
        <f>YEAR(' En tramite 23-26'!$BD97)</f>
        <v>2026</v>
      </c>
      <c r="BH97" s="29">
        <v>1.0</v>
      </c>
      <c r="BI97" s="14" t="s">
        <v>540</v>
      </c>
      <c r="BJ97" s="30" t="s">
        <v>88</v>
      </c>
      <c r="BK97" s="31" t="s">
        <v>89</v>
      </c>
      <c r="BL97" s="32"/>
      <c r="BM97" s="33"/>
    </row>
    <row r="98" ht="16.5" customHeight="1">
      <c r="A98" s="11" t="s">
        <v>816</v>
      </c>
      <c r="B98" s="34" t="s">
        <v>721</v>
      </c>
      <c r="C98" s="13" t="s">
        <v>817</v>
      </c>
      <c r="D98" s="18" t="s">
        <v>818</v>
      </c>
      <c r="E98" s="15" t="s">
        <v>819</v>
      </c>
      <c r="F98" s="16" t="s">
        <v>820</v>
      </c>
      <c r="G98" s="16">
        <v>4.428324908E9</v>
      </c>
      <c r="H98" s="17" t="s">
        <v>821</v>
      </c>
      <c r="I98" s="18" t="s">
        <v>822</v>
      </c>
      <c r="J98" s="18" t="s">
        <v>109</v>
      </c>
      <c r="K98" s="18" t="s">
        <v>110</v>
      </c>
      <c r="L98" s="19" t="s">
        <v>75</v>
      </c>
      <c r="M98" s="14" t="s">
        <v>142</v>
      </c>
      <c r="N98" s="18" t="s">
        <v>823</v>
      </c>
      <c r="O98" s="18" t="s">
        <v>97</v>
      </c>
      <c r="P98" s="20" t="s">
        <v>78</v>
      </c>
      <c r="Q98" s="20">
        <v>4.422091316E9</v>
      </c>
      <c r="R98" s="20" t="s">
        <v>824</v>
      </c>
      <c r="S98" s="35" t="s">
        <v>825</v>
      </c>
      <c r="T98" s="22" t="s">
        <v>81</v>
      </c>
      <c r="U98" s="21" t="s">
        <v>82</v>
      </c>
      <c r="V98" s="86">
        <v>3.0</v>
      </c>
      <c r="W98" s="82">
        <v>500.0</v>
      </c>
      <c r="X98" s="20" t="s">
        <v>84</v>
      </c>
      <c r="Y98" s="24">
        <v>2.0</v>
      </c>
      <c r="Z98" s="25">
        <v>46035.0</v>
      </c>
      <c r="AA98" s="20">
        <f>DAY(Tabla1[F. INICIO])</f>
        <v>13</v>
      </c>
      <c r="AB98" s="26" t="str">
        <f>TEXT(' En tramite 23-26'!$Z98,"mmmm")</f>
        <v>enero</v>
      </c>
      <c r="AC98" s="20">
        <f>YEAR(' En tramite 23-26'!$Z98)</f>
        <v>2026</v>
      </c>
      <c r="AD98" s="20" t="s">
        <v>84</v>
      </c>
      <c r="AE98" s="24">
        <v>2.0</v>
      </c>
      <c r="AF98" s="24">
        <v>46035.0</v>
      </c>
      <c r="AG98" s="20" t="s">
        <v>84</v>
      </c>
      <c r="AH98" s="24">
        <v>2.0</v>
      </c>
      <c r="AI98" s="24">
        <v>46041.0</v>
      </c>
      <c r="AJ98" s="20">
        <f>DAY(' En tramite 23-26'!$AI98)</f>
        <v>19</v>
      </c>
      <c r="AK98" s="20" t="str">
        <f>TEXT(' En tramite 23-26'!$AI98,"mmmm")</f>
        <v>enero</v>
      </c>
      <c r="AL98" s="20">
        <f>YEAR(' En tramite 23-26'!$Z98)</f>
        <v>2026</v>
      </c>
      <c r="AM98" s="20" t="s">
        <v>84</v>
      </c>
      <c r="AN98" s="24">
        <v>2.0</v>
      </c>
      <c r="AO98" s="24">
        <v>46041.0</v>
      </c>
      <c r="AP98" s="20" t="s">
        <v>84</v>
      </c>
      <c r="AQ98" s="24">
        <v>2.0</v>
      </c>
      <c r="AR98" s="24">
        <v>46077.0</v>
      </c>
      <c r="AS98" s="24">
        <f>' En tramite 23-26'!$AI98+45</f>
        <v>46086</v>
      </c>
      <c r="AT98" s="20" t="s">
        <v>85</v>
      </c>
      <c r="AU98" s="20" t="s">
        <v>84</v>
      </c>
      <c r="AV98" s="20">
        <v>2.0</v>
      </c>
      <c r="AW98" s="24">
        <v>46132.0</v>
      </c>
      <c r="AX98" s="20" t="s">
        <v>86</v>
      </c>
      <c r="AY98" s="20" t="s">
        <v>84</v>
      </c>
      <c r="AZ98" s="20">
        <v>2.0</v>
      </c>
      <c r="BA98" s="24">
        <v>46132.0</v>
      </c>
      <c r="BB98" s="20" t="s">
        <v>84</v>
      </c>
      <c r="BC98" s="28">
        <v>2.0</v>
      </c>
      <c r="BD98" s="24">
        <v>46132.0</v>
      </c>
      <c r="BE98" s="20">
        <f>DAY(' En tramite 23-26'!$BD98)</f>
        <v>20</v>
      </c>
      <c r="BF98" s="24" t="str">
        <f>TEXT(' En tramite 23-26'!$BD98,"mmmm")</f>
        <v>abril</v>
      </c>
      <c r="BG98" s="20">
        <f>YEAR(' En tramite 23-26'!$BD98)</f>
        <v>2026</v>
      </c>
      <c r="BH98" s="29">
        <v>1.0</v>
      </c>
      <c r="BI98" s="26" t="s">
        <v>826</v>
      </c>
      <c r="BJ98" s="30" t="s">
        <v>88</v>
      </c>
      <c r="BK98" s="31" t="s">
        <v>89</v>
      </c>
      <c r="BL98" s="14"/>
      <c r="BM98" s="81"/>
    </row>
    <row r="99" ht="16.5" customHeight="1">
      <c r="A99" s="11" t="s">
        <v>827</v>
      </c>
      <c r="B99" s="34" t="s">
        <v>727</v>
      </c>
      <c r="C99" s="13" t="s">
        <v>828</v>
      </c>
      <c r="D99" s="18" t="s">
        <v>829</v>
      </c>
      <c r="E99" s="15" t="s">
        <v>830</v>
      </c>
      <c r="F99" s="16" t="s">
        <v>831</v>
      </c>
      <c r="G99" s="16">
        <v>4.421784239E9</v>
      </c>
      <c r="H99" s="17" t="s">
        <v>832</v>
      </c>
      <c r="I99" s="18" t="s">
        <v>822</v>
      </c>
      <c r="J99" s="18" t="s">
        <v>109</v>
      </c>
      <c r="K99" s="18" t="s">
        <v>110</v>
      </c>
      <c r="L99" s="19" t="s">
        <v>75</v>
      </c>
      <c r="M99" s="14" t="s">
        <v>142</v>
      </c>
      <c r="N99" s="18" t="s">
        <v>823</v>
      </c>
      <c r="O99" s="18" t="s">
        <v>97</v>
      </c>
      <c r="P99" s="20" t="s">
        <v>78</v>
      </c>
      <c r="Q99" s="20">
        <v>4.422091316E9</v>
      </c>
      <c r="R99" s="20" t="s">
        <v>824</v>
      </c>
      <c r="S99" s="35" t="s">
        <v>825</v>
      </c>
      <c r="T99" s="22" t="s">
        <v>81</v>
      </c>
      <c r="U99" s="21" t="s">
        <v>82</v>
      </c>
      <c r="V99" s="86">
        <v>1.0</v>
      </c>
      <c r="W99" s="20" t="s">
        <v>83</v>
      </c>
      <c r="X99" s="20" t="s">
        <v>84</v>
      </c>
      <c r="Y99" s="24">
        <v>2.0</v>
      </c>
      <c r="Z99" s="25">
        <v>46035.0</v>
      </c>
      <c r="AA99" s="20">
        <f>DAY(Tabla1[F. INICIO])</f>
        <v>13</v>
      </c>
      <c r="AB99" s="26" t="str">
        <f>TEXT(' En tramite 23-26'!$Z99,"mmmm")</f>
        <v>enero</v>
      </c>
      <c r="AC99" s="20">
        <f>YEAR(' En tramite 23-26'!$Z99)</f>
        <v>2026</v>
      </c>
      <c r="AD99" s="20" t="s">
        <v>84</v>
      </c>
      <c r="AE99" s="24">
        <v>2.0</v>
      </c>
      <c r="AF99" s="24">
        <v>46035.0</v>
      </c>
      <c r="AG99" s="20" t="s">
        <v>84</v>
      </c>
      <c r="AH99" s="24">
        <v>2.0</v>
      </c>
      <c r="AI99" s="24">
        <v>46041.0</v>
      </c>
      <c r="AJ99" s="20">
        <f>DAY(' En tramite 23-26'!$AI99)</f>
        <v>19</v>
      </c>
      <c r="AK99" s="20" t="str">
        <f>TEXT(' En tramite 23-26'!$AI99,"mmmm")</f>
        <v>enero</v>
      </c>
      <c r="AL99" s="20">
        <f>YEAR(' En tramite 23-26'!$Z99)</f>
        <v>2026</v>
      </c>
      <c r="AM99" s="20" t="s">
        <v>84</v>
      </c>
      <c r="AN99" s="24">
        <v>2.0</v>
      </c>
      <c r="AO99" s="24">
        <v>46072.0</v>
      </c>
      <c r="AP99" s="20" t="s">
        <v>84</v>
      </c>
      <c r="AQ99" s="24">
        <v>2.0</v>
      </c>
      <c r="AR99" s="24">
        <v>46077.0</v>
      </c>
      <c r="AS99" s="24">
        <f>' En tramite 23-26'!$AI99+45</f>
        <v>46086</v>
      </c>
      <c r="AT99" s="20" t="s">
        <v>85</v>
      </c>
      <c r="AU99" s="20" t="s">
        <v>84</v>
      </c>
      <c r="AV99" s="20">
        <v>2.0</v>
      </c>
      <c r="AW99" s="24">
        <v>46134.0</v>
      </c>
      <c r="AX99" s="20" t="s">
        <v>86</v>
      </c>
      <c r="AY99" s="20" t="s">
        <v>84</v>
      </c>
      <c r="AZ99" s="20">
        <v>2.0</v>
      </c>
      <c r="BA99" s="24">
        <v>46132.0</v>
      </c>
      <c r="BB99" s="20" t="s">
        <v>84</v>
      </c>
      <c r="BC99" s="28">
        <v>2.0</v>
      </c>
      <c r="BD99" s="24">
        <v>46132.0</v>
      </c>
      <c r="BE99" s="20">
        <f>DAY(' En tramite 23-26'!$BD99)</f>
        <v>20</v>
      </c>
      <c r="BF99" s="24" t="str">
        <f>TEXT(' En tramite 23-26'!$BD99,"mmmm")</f>
        <v>abril</v>
      </c>
      <c r="BG99" s="20">
        <f>YEAR(' En tramite 23-26'!$BD99)</f>
        <v>2026</v>
      </c>
      <c r="BH99" s="29">
        <v>1.0</v>
      </c>
      <c r="BI99" s="26" t="s">
        <v>826</v>
      </c>
      <c r="BJ99" s="30" t="s">
        <v>88</v>
      </c>
      <c r="BK99" s="31" t="s">
        <v>89</v>
      </c>
      <c r="BL99" s="14"/>
      <c r="BM99" s="81"/>
    </row>
    <row r="100" ht="16.5" customHeight="1">
      <c r="A100" s="11" t="s">
        <v>833</v>
      </c>
      <c r="B100" s="34" t="s">
        <v>732</v>
      </c>
      <c r="C100" s="13" t="s">
        <v>834</v>
      </c>
      <c r="D100" s="18" t="s">
        <v>835</v>
      </c>
      <c r="E100" s="15" t="s">
        <v>836</v>
      </c>
      <c r="F100" s="16" t="s">
        <v>837</v>
      </c>
      <c r="G100" s="16">
        <v>4.425857425E9</v>
      </c>
      <c r="H100" s="17" t="s">
        <v>838</v>
      </c>
      <c r="I100" s="18" t="s">
        <v>839</v>
      </c>
      <c r="J100" s="18" t="s">
        <v>109</v>
      </c>
      <c r="K100" s="18" t="s">
        <v>129</v>
      </c>
      <c r="L100" s="19" t="s">
        <v>75</v>
      </c>
      <c r="M100" s="14" t="s">
        <v>14</v>
      </c>
      <c r="N100" s="18" t="s">
        <v>840</v>
      </c>
      <c r="O100" s="18" t="s">
        <v>131</v>
      </c>
      <c r="P100" s="20" t="s">
        <v>78</v>
      </c>
      <c r="Q100" s="20">
        <v>4.461399768E9</v>
      </c>
      <c r="R100" s="20" t="s">
        <v>841</v>
      </c>
      <c r="S100" s="35" t="s">
        <v>842</v>
      </c>
      <c r="T100" s="22" t="s">
        <v>81</v>
      </c>
      <c r="U100" s="21" t="s">
        <v>82</v>
      </c>
      <c r="V100" s="86">
        <v>1.0</v>
      </c>
      <c r="W100" s="20" t="s">
        <v>83</v>
      </c>
      <c r="X100" s="20" t="s">
        <v>84</v>
      </c>
      <c r="Y100" s="24">
        <v>2.0</v>
      </c>
      <c r="Z100" s="25">
        <v>46038.0</v>
      </c>
      <c r="AA100" s="20">
        <f>DAY(Tabla1[F. INICIO])</f>
        <v>16</v>
      </c>
      <c r="AB100" s="26" t="str">
        <f>TEXT(' En tramite 23-26'!$Z100,"mmmm")</f>
        <v>enero</v>
      </c>
      <c r="AC100" s="20">
        <f>YEAR(' En tramite 23-26'!$Z100)</f>
        <v>2026</v>
      </c>
      <c r="AD100" s="20" t="s">
        <v>84</v>
      </c>
      <c r="AE100" s="24">
        <v>2.0</v>
      </c>
      <c r="AF100" s="24">
        <v>46038.0</v>
      </c>
      <c r="AG100" s="20" t="s">
        <v>84</v>
      </c>
      <c r="AH100" s="24">
        <v>2.0</v>
      </c>
      <c r="AI100" s="24">
        <v>46042.0</v>
      </c>
      <c r="AJ100" s="20">
        <f>DAY(' En tramite 23-26'!$AI100)</f>
        <v>20</v>
      </c>
      <c r="AK100" s="20" t="str">
        <f>TEXT(' En tramite 23-26'!$AI100,"mmmm")</f>
        <v>enero</v>
      </c>
      <c r="AL100" s="20">
        <f>YEAR(' En tramite 23-26'!$Z100)</f>
        <v>2026</v>
      </c>
      <c r="AM100" s="20" t="s">
        <v>84</v>
      </c>
      <c r="AN100" s="24">
        <v>2.0</v>
      </c>
      <c r="AO100" s="24">
        <v>46042.0</v>
      </c>
      <c r="AP100" s="20" t="s">
        <v>84</v>
      </c>
      <c r="AQ100" s="24">
        <v>2.0</v>
      </c>
      <c r="AR100" s="24">
        <v>46090.0</v>
      </c>
      <c r="AS100" s="24">
        <f>' En tramite 23-26'!$AI100+45</f>
        <v>46087</v>
      </c>
      <c r="AT100" s="20" t="s">
        <v>85</v>
      </c>
      <c r="AU100" s="20" t="s">
        <v>84</v>
      </c>
      <c r="AV100" s="20">
        <v>2.0</v>
      </c>
      <c r="AW100" s="24">
        <v>46148.0</v>
      </c>
      <c r="AX100" s="20" t="s">
        <v>86</v>
      </c>
      <c r="AY100" s="20" t="s">
        <v>84</v>
      </c>
      <c r="AZ100" s="20">
        <v>2.0</v>
      </c>
      <c r="BA100" s="24">
        <v>46148.0</v>
      </c>
      <c r="BB100" s="20" t="s">
        <v>84</v>
      </c>
      <c r="BC100" s="28">
        <v>2.0</v>
      </c>
      <c r="BD100" s="24">
        <v>46148.0</v>
      </c>
      <c r="BE100" s="20">
        <f>DAY(' En tramite 23-26'!$BD100)</f>
        <v>6</v>
      </c>
      <c r="BF100" s="24" t="str">
        <f>TEXT(' En tramite 23-26'!$BD100,"mmmm")</f>
        <v>mayo</v>
      </c>
      <c r="BG100" s="20">
        <f>YEAR(' En tramite 23-26'!$BD100)</f>
        <v>2026</v>
      </c>
      <c r="BH100" s="29">
        <v>1.0</v>
      </c>
      <c r="BI100" s="26" t="s">
        <v>843</v>
      </c>
      <c r="BJ100" s="30" t="s">
        <v>88</v>
      </c>
      <c r="BK100" s="31" t="s">
        <v>89</v>
      </c>
      <c r="BL100" s="14"/>
      <c r="BM100" s="81"/>
    </row>
    <row r="101" ht="16.5" customHeight="1">
      <c r="A101" s="11" t="s">
        <v>844</v>
      </c>
      <c r="B101" s="34"/>
      <c r="C101" s="13"/>
      <c r="D101" s="62" t="s">
        <v>845</v>
      </c>
      <c r="E101" s="15" t="s">
        <v>846</v>
      </c>
      <c r="F101" s="63" t="s">
        <v>847</v>
      </c>
      <c r="G101" s="63">
        <v>4.42104833E9</v>
      </c>
      <c r="H101" s="64" t="s">
        <v>848</v>
      </c>
      <c r="I101" s="62" t="s">
        <v>822</v>
      </c>
      <c r="J101" s="62" t="s">
        <v>109</v>
      </c>
      <c r="K101" s="62" t="s">
        <v>110</v>
      </c>
      <c r="L101" s="65" t="s">
        <v>75</v>
      </c>
      <c r="M101" s="66" t="s">
        <v>14</v>
      </c>
      <c r="N101" s="62" t="s">
        <v>849</v>
      </c>
      <c r="O101" s="62" t="s">
        <v>131</v>
      </c>
      <c r="P101" s="67" t="s">
        <v>78</v>
      </c>
      <c r="Q101" s="67">
        <v>4.424405127E9</v>
      </c>
      <c r="R101" s="67" t="s">
        <v>850</v>
      </c>
      <c r="S101" s="68" t="s">
        <v>851</v>
      </c>
      <c r="T101" s="69" t="s">
        <v>81</v>
      </c>
      <c r="U101" s="70" t="s">
        <v>82</v>
      </c>
      <c r="V101" s="98">
        <v>0.0</v>
      </c>
      <c r="W101" s="67"/>
      <c r="X101" s="67" t="s">
        <v>84</v>
      </c>
      <c r="Y101" s="73">
        <v>2.0</v>
      </c>
      <c r="Z101" s="74">
        <v>46041.0</v>
      </c>
      <c r="AA101" s="67">
        <f>DAY(Tabla1[F. INICIO])</f>
        <v>19</v>
      </c>
      <c r="AB101" s="75" t="str">
        <f>TEXT(' En tramite 23-26'!$Z101,"mmmm")</f>
        <v>enero</v>
      </c>
      <c r="AC101" s="67">
        <f>YEAR(' En tramite 23-26'!$Z101)</f>
        <v>2026</v>
      </c>
      <c r="AD101" s="67" t="s">
        <v>84</v>
      </c>
      <c r="AE101" s="73">
        <v>2.0</v>
      </c>
      <c r="AF101" s="73">
        <v>46042.0</v>
      </c>
      <c r="AG101" s="67" t="s">
        <v>84</v>
      </c>
      <c r="AH101" s="73">
        <v>2.0</v>
      </c>
      <c r="AI101" s="73">
        <v>46042.0</v>
      </c>
      <c r="AJ101" s="67">
        <f>DAY(' En tramite 23-26'!$AI101)</f>
        <v>20</v>
      </c>
      <c r="AK101" s="67" t="str">
        <f>TEXT(' En tramite 23-26'!$AI101,"mmmm")</f>
        <v>enero</v>
      </c>
      <c r="AL101" s="67">
        <f>YEAR(' En tramite 23-26'!$Z101)</f>
        <v>2026</v>
      </c>
      <c r="AM101" s="67" t="s">
        <v>84</v>
      </c>
      <c r="AN101" s="73">
        <v>2.0</v>
      </c>
      <c r="AO101" s="73">
        <v>46043.0</v>
      </c>
      <c r="AP101" s="67" t="s">
        <v>84</v>
      </c>
      <c r="AQ101" s="73">
        <v>1.0</v>
      </c>
      <c r="AR101" s="73">
        <v>46130.0</v>
      </c>
      <c r="AS101" s="73">
        <f>' En tramite 23-26'!$AI101+45</f>
        <v>46087</v>
      </c>
      <c r="AT101" s="67" t="s">
        <v>85</v>
      </c>
      <c r="AU101" s="67" t="s">
        <v>84</v>
      </c>
      <c r="AV101" s="67">
        <v>2.0</v>
      </c>
      <c r="AW101" s="73">
        <v>46143.0</v>
      </c>
      <c r="AX101" s="67" t="s">
        <v>86</v>
      </c>
      <c r="AY101" s="67" t="s">
        <v>84</v>
      </c>
      <c r="AZ101" s="67">
        <v>2.0</v>
      </c>
      <c r="BA101" s="73">
        <v>46143.0</v>
      </c>
      <c r="BB101" s="67" t="s">
        <v>84</v>
      </c>
      <c r="BC101" s="76">
        <v>2.0</v>
      </c>
      <c r="BD101" s="73">
        <v>46143.0</v>
      </c>
      <c r="BE101" s="67">
        <f>DAY(' En tramite 23-26'!$BD101)</f>
        <v>1</v>
      </c>
      <c r="BF101" s="73" t="str">
        <f>TEXT(' En tramite 23-26'!$BD101,"mmmm")</f>
        <v>mayo</v>
      </c>
      <c r="BG101" s="67">
        <f>YEAR(' En tramite 23-26'!$BD101)</f>
        <v>2026</v>
      </c>
      <c r="BH101" s="77"/>
      <c r="BI101" s="75"/>
      <c r="BJ101" s="78" t="s">
        <v>274</v>
      </c>
      <c r="BK101" s="79" t="s">
        <v>275</v>
      </c>
      <c r="BL101" s="66"/>
      <c r="BM101" s="80"/>
    </row>
    <row r="102" ht="16.5" customHeight="1">
      <c r="A102" s="11" t="s">
        <v>852</v>
      </c>
      <c r="B102" s="34"/>
      <c r="C102" s="13"/>
      <c r="D102" s="62" t="s">
        <v>853</v>
      </c>
      <c r="E102" s="15" t="s">
        <v>854</v>
      </c>
      <c r="F102" s="63" t="s">
        <v>855</v>
      </c>
      <c r="G102" s="63">
        <v>4.426023974E9</v>
      </c>
      <c r="H102" s="64" t="s">
        <v>856</v>
      </c>
      <c r="I102" s="62" t="s">
        <v>857</v>
      </c>
      <c r="J102" s="62" t="s">
        <v>73</v>
      </c>
      <c r="K102" s="62" t="s">
        <v>155</v>
      </c>
      <c r="L102" s="65" t="s">
        <v>75</v>
      </c>
      <c r="M102" s="66" t="s">
        <v>14</v>
      </c>
      <c r="N102" s="62" t="s">
        <v>858</v>
      </c>
      <c r="O102" s="62" t="s">
        <v>131</v>
      </c>
      <c r="P102" s="67" t="s">
        <v>78</v>
      </c>
      <c r="Q102" s="67">
        <v>4.425953252E9</v>
      </c>
      <c r="R102" s="67" t="s">
        <v>859</v>
      </c>
      <c r="S102" s="68" t="s">
        <v>860</v>
      </c>
      <c r="T102" s="69" t="s">
        <v>81</v>
      </c>
      <c r="U102" s="70" t="s">
        <v>82</v>
      </c>
      <c r="V102" s="98">
        <v>2.0</v>
      </c>
      <c r="W102" s="113">
        <v>2400.0</v>
      </c>
      <c r="X102" s="67" t="s">
        <v>84</v>
      </c>
      <c r="Y102" s="73">
        <v>2.0</v>
      </c>
      <c r="Z102" s="74">
        <v>46042.0</v>
      </c>
      <c r="AA102" s="67">
        <f>DAY(Tabla1[F. INICIO])</f>
        <v>20</v>
      </c>
      <c r="AB102" s="75" t="str">
        <f>TEXT(' En tramite 23-26'!$Z102,"mmmm")</f>
        <v>enero</v>
      </c>
      <c r="AC102" s="67">
        <f>YEAR(' En tramite 23-26'!$Z102)</f>
        <v>2026</v>
      </c>
      <c r="AD102" s="67" t="s">
        <v>84</v>
      </c>
      <c r="AE102" s="73">
        <v>2.0</v>
      </c>
      <c r="AF102" s="73">
        <v>46042.0</v>
      </c>
      <c r="AG102" s="67" t="s">
        <v>84</v>
      </c>
      <c r="AH102" s="73">
        <v>2.0</v>
      </c>
      <c r="AI102" s="73">
        <v>46048.0</v>
      </c>
      <c r="AJ102" s="67">
        <f>DAY(' En tramite 23-26'!$AI102)</f>
        <v>26</v>
      </c>
      <c r="AK102" s="67" t="str">
        <f>TEXT(' En tramite 23-26'!$AI102,"mmmm")</f>
        <v>enero</v>
      </c>
      <c r="AL102" s="67">
        <f>YEAR(' En tramite 23-26'!$Z102)</f>
        <v>2026</v>
      </c>
      <c r="AM102" s="67" t="s">
        <v>84</v>
      </c>
      <c r="AN102" s="73">
        <v>2.0</v>
      </c>
      <c r="AO102" s="73">
        <v>46048.0</v>
      </c>
      <c r="AP102" s="67" t="s">
        <v>84</v>
      </c>
      <c r="AQ102" s="73">
        <v>2.0</v>
      </c>
      <c r="AR102" s="73">
        <v>46107.0</v>
      </c>
      <c r="AS102" s="73">
        <f>' En tramite 23-26'!$AI102+45</f>
        <v>46093</v>
      </c>
      <c r="AT102" s="67" t="s">
        <v>85</v>
      </c>
      <c r="AU102" s="67" t="s">
        <v>84</v>
      </c>
      <c r="AV102" s="67">
        <v>2.0</v>
      </c>
      <c r="AW102" s="73">
        <f>' En tramite 23-26'!$AS102+45</f>
        <v>46138</v>
      </c>
      <c r="AX102" s="67" t="s">
        <v>86</v>
      </c>
      <c r="AY102" s="67" t="s">
        <v>84</v>
      </c>
      <c r="AZ102" s="67">
        <v>2.0</v>
      </c>
      <c r="BA102" s="73">
        <v>46138.0</v>
      </c>
      <c r="BB102" s="67"/>
      <c r="BC102" s="76"/>
      <c r="BD102" s="73"/>
      <c r="BE102" s="67">
        <f>DAY(' En tramite 23-26'!$BD102)</f>
        <v>30</v>
      </c>
      <c r="BF102" s="73" t="str">
        <f>TEXT(' En tramite 23-26'!$BD102,"mmmm")</f>
        <v>diciembre</v>
      </c>
      <c r="BG102" s="67">
        <f>YEAR(' En tramite 23-26'!$BD102)</f>
        <v>1899</v>
      </c>
      <c r="BH102" s="77"/>
      <c r="BI102" s="78"/>
      <c r="BJ102" s="78" t="s">
        <v>274</v>
      </c>
      <c r="BK102" s="79" t="s">
        <v>275</v>
      </c>
      <c r="BL102" s="66"/>
      <c r="BM102" s="80"/>
    </row>
    <row r="103" ht="16.5" customHeight="1">
      <c r="A103" s="11" t="s">
        <v>861</v>
      </c>
      <c r="B103" s="34" t="s">
        <v>738</v>
      </c>
      <c r="C103" s="13" t="s">
        <v>862</v>
      </c>
      <c r="D103" s="18" t="s">
        <v>863</v>
      </c>
      <c r="E103" s="15" t="s">
        <v>864</v>
      </c>
      <c r="F103" s="16" t="s">
        <v>865</v>
      </c>
      <c r="G103" s="16">
        <v>5.615965348E9</v>
      </c>
      <c r="H103" s="17" t="s">
        <v>866</v>
      </c>
      <c r="I103" s="18" t="s">
        <v>867</v>
      </c>
      <c r="J103" s="18" t="s">
        <v>73</v>
      </c>
      <c r="K103" s="18" t="s">
        <v>141</v>
      </c>
      <c r="L103" s="19" t="s">
        <v>75</v>
      </c>
      <c r="M103" s="14" t="s">
        <v>14</v>
      </c>
      <c r="N103" s="18" t="s">
        <v>868</v>
      </c>
      <c r="O103" s="18" t="s">
        <v>97</v>
      </c>
      <c r="P103" s="20" t="s">
        <v>78</v>
      </c>
      <c r="Q103" s="20">
        <v>4.423032822E9</v>
      </c>
      <c r="R103" s="20" t="s">
        <v>869</v>
      </c>
      <c r="S103" s="35" t="s">
        <v>870</v>
      </c>
      <c r="T103" s="22" t="s">
        <v>81</v>
      </c>
      <c r="U103" s="21" t="s">
        <v>82</v>
      </c>
      <c r="V103" s="86">
        <v>1.0</v>
      </c>
      <c r="W103" s="20" t="s">
        <v>83</v>
      </c>
      <c r="X103" s="20" t="s">
        <v>84</v>
      </c>
      <c r="Y103" s="24">
        <v>2.0</v>
      </c>
      <c r="Z103" s="25">
        <v>46043.0</v>
      </c>
      <c r="AA103" s="20">
        <f>DAY(Tabla1[F. INICIO])</f>
        <v>21</v>
      </c>
      <c r="AB103" s="26" t="str">
        <f>TEXT(' En tramite 23-26'!$Z103,"mmmm")</f>
        <v>enero</v>
      </c>
      <c r="AC103" s="20">
        <f>YEAR(' En tramite 23-26'!$Z103)</f>
        <v>2026</v>
      </c>
      <c r="AD103" s="20" t="s">
        <v>84</v>
      </c>
      <c r="AE103" s="24">
        <v>2.0</v>
      </c>
      <c r="AF103" s="24">
        <v>46043.0</v>
      </c>
      <c r="AG103" s="20" t="s">
        <v>84</v>
      </c>
      <c r="AH103" s="24">
        <v>2.0</v>
      </c>
      <c r="AI103" s="24">
        <v>46048.0</v>
      </c>
      <c r="AJ103" s="20">
        <f>DAY(' En tramite 23-26'!$AI103)</f>
        <v>26</v>
      </c>
      <c r="AK103" s="20" t="str">
        <f>TEXT(' En tramite 23-26'!$AI103,"mmmm")</f>
        <v>enero</v>
      </c>
      <c r="AL103" s="20">
        <f>YEAR(' En tramite 23-26'!$Z103)</f>
        <v>2026</v>
      </c>
      <c r="AM103" s="20" t="s">
        <v>84</v>
      </c>
      <c r="AN103" s="24">
        <v>2.0</v>
      </c>
      <c r="AO103" s="24">
        <v>46048.0</v>
      </c>
      <c r="AP103" s="20" t="s">
        <v>84</v>
      </c>
      <c r="AQ103" s="24">
        <v>2.0</v>
      </c>
      <c r="AR103" s="24">
        <v>46093.0</v>
      </c>
      <c r="AS103" s="24">
        <f>' En tramite 23-26'!$AI103+45</f>
        <v>46093</v>
      </c>
      <c r="AT103" s="20" t="s">
        <v>85</v>
      </c>
      <c r="AU103" s="20" t="s">
        <v>84</v>
      </c>
      <c r="AV103" s="20">
        <v>2.0</v>
      </c>
      <c r="AW103" s="24">
        <v>46139.0</v>
      </c>
      <c r="AX103" s="20" t="s">
        <v>86</v>
      </c>
      <c r="AY103" s="20" t="s">
        <v>84</v>
      </c>
      <c r="AZ103" s="20">
        <v>2.0</v>
      </c>
      <c r="BA103" s="24">
        <v>46139.0</v>
      </c>
      <c r="BB103" s="20" t="s">
        <v>84</v>
      </c>
      <c r="BC103" s="28">
        <v>2.0</v>
      </c>
      <c r="BD103" s="24">
        <v>46139.0</v>
      </c>
      <c r="BE103" s="20">
        <f>DAY(' En tramite 23-26'!$BD103)</f>
        <v>27</v>
      </c>
      <c r="BF103" s="24" t="str">
        <f>TEXT(' En tramite 23-26'!$BD103,"mmmm")</f>
        <v>abril</v>
      </c>
      <c r="BG103" s="20">
        <f>YEAR(' En tramite 23-26'!$BD103)</f>
        <v>2026</v>
      </c>
      <c r="BH103" s="29">
        <v>1.0</v>
      </c>
      <c r="BI103" s="14" t="s">
        <v>766</v>
      </c>
      <c r="BJ103" s="30" t="s">
        <v>88</v>
      </c>
      <c r="BK103" s="31" t="s">
        <v>89</v>
      </c>
      <c r="BL103" s="14"/>
      <c r="BM103" s="81"/>
    </row>
    <row r="104" ht="16.5" customHeight="1">
      <c r="A104" s="114"/>
      <c r="B104" s="34"/>
      <c r="C104" s="13"/>
      <c r="D104" s="115" t="s">
        <v>871</v>
      </c>
      <c r="E104" s="15" t="s">
        <v>872</v>
      </c>
      <c r="F104" s="116"/>
      <c r="G104" s="116"/>
      <c r="H104" s="117"/>
      <c r="I104" s="115"/>
      <c r="J104" s="115"/>
      <c r="K104" s="115"/>
      <c r="L104" s="118"/>
      <c r="M104" s="119"/>
      <c r="N104" s="115"/>
      <c r="O104" s="115"/>
      <c r="P104" s="119"/>
      <c r="Q104" s="118"/>
      <c r="R104" s="118"/>
      <c r="S104" s="120"/>
      <c r="T104" s="120"/>
      <c r="U104" s="121"/>
      <c r="V104" s="122"/>
      <c r="W104" s="118"/>
      <c r="X104" s="118"/>
      <c r="Y104" s="123"/>
      <c r="Z104" s="124"/>
      <c r="AA104" s="118"/>
      <c r="AB104" s="125"/>
      <c r="AC104" s="118"/>
      <c r="AD104" s="118"/>
      <c r="AE104" s="123"/>
      <c r="AF104" s="123"/>
      <c r="AG104" s="118"/>
      <c r="AH104" s="123"/>
      <c r="AI104" s="123"/>
      <c r="AJ104" s="118"/>
      <c r="AK104" s="118"/>
      <c r="AL104" s="118"/>
      <c r="AM104" s="118"/>
      <c r="AN104" s="123"/>
      <c r="AO104" s="123"/>
      <c r="AP104" s="118"/>
      <c r="AQ104" s="123"/>
      <c r="AR104" s="123"/>
      <c r="AS104" s="123"/>
      <c r="AT104" s="118"/>
      <c r="AU104" s="118"/>
      <c r="AV104" s="118"/>
      <c r="AW104" s="123"/>
      <c r="AX104" s="118"/>
      <c r="AY104" s="118"/>
      <c r="AZ104" s="118"/>
      <c r="BA104" s="123"/>
      <c r="BB104" s="118"/>
      <c r="BC104" s="126"/>
      <c r="BD104" s="123"/>
      <c r="BE104" s="118"/>
      <c r="BF104" s="123"/>
      <c r="BG104" s="118"/>
      <c r="BH104" s="127"/>
      <c r="BI104" s="125"/>
      <c r="BJ104" s="128"/>
      <c r="BK104" s="129"/>
      <c r="BL104" s="119"/>
      <c r="BM104" s="130"/>
    </row>
    <row r="105" ht="16.5" customHeight="1">
      <c r="A105" s="28" t="s">
        <v>873</v>
      </c>
      <c r="B105" s="34" t="s">
        <v>744</v>
      </c>
      <c r="C105" s="13" t="s">
        <v>874</v>
      </c>
      <c r="D105" s="18" t="s">
        <v>875</v>
      </c>
      <c r="E105" s="15" t="s">
        <v>876</v>
      </c>
      <c r="F105" s="16" t="s">
        <v>877</v>
      </c>
      <c r="G105" s="16">
        <v>4.421241848E9</v>
      </c>
      <c r="H105" s="17" t="s">
        <v>878</v>
      </c>
      <c r="I105" s="18" t="s">
        <v>867</v>
      </c>
      <c r="J105" s="18" t="s">
        <v>73</v>
      </c>
      <c r="K105" s="18" t="s">
        <v>141</v>
      </c>
      <c r="L105" s="19" t="s">
        <v>75</v>
      </c>
      <c r="M105" s="14" t="s">
        <v>142</v>
      </c>
      <c r="N105" s="18" t="s">
        <v>201</v>
      </c>
      <c r="O105" s="18" t="s">
        <v>97</v>
      </c>
      <c r="P105" s="20" t="s">
        <v>78</v>
      </c>
      <c r="Q105" s="20">
        <v>4.4220961E9</v>
      </c>
      <c r="R105" s="20" t="s">
        <v>202</v>
      </c>
      <c r="S105" s="35" t="s">
        <v>879</v>
      </c>
      <c r="T105" s="22" t="s">
        <v>81</v>
      </c>
      <c r="U105" s="21" t="s">
        <v>100</v>
      </c>
      <c r="V105" s="86">
        <v>1.0</v>
      </c>
      <c r="W105" s="20" t="s">
        <v>83</v>
      </c>
      <c r="X105" s="20" t="s">
        <v>84</v>
      </c>
      <c r="Y105" s="24">
        <v>2.0</v>
      </c>
      <c r="Z105" s="25">
        <v>46034.0</v>
      </c>
      <c r="AA105" s="20">
        <f>DAY(Tabla1[F. INICIO])</f>
        <v>12</v>
      </c>
      <c r="AB105" s="26" t="str">
        <f>TEXT(' En tramite 23-26'!$Z105,"mmmm")</f>
        <v>enero</v>
      </c>
      <c r="AC105" s="20">
        <f>YEAR(' En tramite 23-26'!$Z105)</f>
        <v>2026</v>
      </c>
      <c r="AD105" s="20" t="s">
        <v>84</v>
      </c>
      <c r="AE105" s="24">
        <v>2.0</v>
      </c>
      <c r="AF105" s="24">
        <v>46034.0</v>
      </c>
      <c r="AG105" s="20" t="s">
        <v>84</v>
      </c>
      <c r="AH105" s="24">
        <v>2.0</v>
      </c>
      <c r="AI105" s="24">
        <v>46034.0</v>
      </c>
      <c r="AJ105" s="20">
        <f>DAY(' En tramite 23-26'!$AI105)</f>
        <v>12</v>
      </c>
      <c r="AK105" s="20" t="str">
        <f>TEXT(' En tramite 23-26'!$AI105,"mmmm")</f>
        <v>enero</v>
      </c>
      <c r="AL105" s="20">
        <f>YEAR(' En tramite 23-26'!$Z105)</f>
        <v>2026</v>
      </c>
      <c r="AM105" s="20" t="s">
        <v>84</v>
      </c>
      <c r="AN105" s="24">
        <v>2.0</v>
      </c>
      <c r="AO105" s="24">
        <v>46034.0</v>
      </c>
      <c r="AP105" s="20" t="s">
        <v>84</v>
      </c>
      <c r="AQ105" s="24">
        <v>2.0</v>
      </c>
      <c r="AR105" s="24">
        <v>46098.0</v>
      </c>
      <c r="AS105" s="24">
        <f>' En tramite 23-26'!$AI105+45</f>
        <v>46079</v>
      </c>
      <c r="AT105" s="20" t="s">
        <v>85</v>
      </c>
      <c r="AU105" s="20" t="s">
        <v>84</v>
      </c>
      <c r="AV105" s="20">
        <v>2.0</v>
      </c>
      <c r="AW105" s="24">
        <v>46134.0</v>
      </c>
      <c r="AX105" s="20" t="s">
        <v>86</v>
      </c>
      <c r="AY105" s="20" t="s">
        <v>84</v>
      </c>
      <c r="AZ105" s="20">
        <v>2.0</v>
      </c>
      <c r="BA105" s="24">
        <v>46134.0</v>
      </c>
      <c r="BB105" s="20" t="s">
        <v>84</v>
      </c>
      <c r="BC105" s="28">
        <v>2.0</v>
      </c>
      <c r="BD105" s="24">
        <v>46134.0</v>
      </c>
      <c r="BE105" s="20">
        <f>DAY(' En tramite 23-26'!$BD105)</f>
        <v>22</v>
      </c>
      <c r="BF105" s="24" t="str">
        <f>TEXT(' En tramite 23-26'!$BD105,"mmmm")</f>
        <v>abril</v>
      </c>
      <c r="BG105" s="20">
        <f>YEAR(' En tramite 23-26'!$BD105)</f>
        <v>2026</v>
      </c>
      <c r="BH105" s="29">
        <v>1.0</v>
      </c>
      <c r="BI105" s="26" t="s">
        <v>880</v>
      </c>
      <c r="BJ105" s="30" t="s">
        <v>88</v>
      </c>
      <c r="BK105" s="31" t="s">
        <v>89</v>
      </c>
      <c r="BL105" s="32">
        <v>46212.0</v>
      </c>
      <c r="BM105" s="33">
        <v>2.0</v>
      </c>
    </row>
    <row r="106" ht="16.5" customHeight="1">
      <c r="A106" s="28" t="s">
        <v>881</v>
      </c>
      <c r="B106" s="34" t="s">
        <v>751</v>
      </c>
      <c r="C106" s="13" t="s">
        <v>882</v>
      </c>
      <c r="D106" s="18" t="s">
        <v>883</v>
      </c>
      <c r="E106" s="15" t="s">
        <v>884</v>
      </c>
      <c r="F106" s="16" t="s">
        <v>885</v>
      </c>
      <c r="G106" s="16">
        <v>4.461054159E9</v>
      </c>
      <c r="H106" s="17" t="s">
        <v>886</v>
      </c>
      <c r="I106" s="18" t="s">
        <v>822</v>
      </c>
      <c r="J106" s="18" t="s">
        <v>109</v>
      </c>
      <c r="K106" s="18" t="s">
        <v>110</v>
      </c>
      <c r="L106" s="19" t="s">
        <v>75</v>
      </c>
      <c r="M106" s="14" t="s">
        <v>14</v>
      </c>
      <c r="N106" s="18" t="s">
        <v>887</v>
      </c>
      <c r="O106" s="18" t="s">
        <v>77</v>
      </c>
      <c r="P106" s="20" t="s">
        <v>78</v>
      </c>
      <c r="Q106" s="20">
        <v>9.621258002E9</v>
      </c>
      <c r="R106" s="20" t="s">
        <v>888</v>
      </c>
      <c r="S106" s="35" t="s">
        <v>889</v>
      </c>
      <c r="T106" s="22" t="s">
        <v>81</v>
      </c>
      <c r="U106" s="21" t="s">
        <v>82</v>
      </c>
      <c r="V106" s="86">
        <v>1.0</v>
      </c>
      <c r="W106" s="20" t="s">
        <v>83</v>
      </c>
      <c r="X106" s="20" t="s">
        <v>84</v>
      </c>
      <c r="Y106" s="24">
        <v>2.0</v>
      </c>
      <c r="Z106" s="25">
        <v>46049.0</v>
      </c>
      <c r="AA106" s="20">
        <f>DAY(Tabla1[F. INICIO])</f>
        <v>27</v>
      </c>
      <c r="AB106" s="26" t="str">
        <f>TEXT(' En tramite 23-26'!$Z106,"mmmm")</f>
        <v>enero</v>
      </c>
      <c r="AC106" s="20">
        <f>YEAR(' En tramite 23-26'!$Z106)</f>
        <v>2026</v>
      </c>
      <c r="AD106" s="20" t="s">
        <v>84</v>
      </c>
      <c r="AE106" s="24">
        <v>2.0</v>
      </c>
      <c r="AF106" s="24">
        <v>46049.0</v>
      </c>
      <c r="AG106" s="20" t="s">
        <v>84</v>
      </c>
      <c r="AH106" s="24">
        <v>2.0</v>
      </c>
      <c r="AI106" s="24">
        <v>46054.0</v>
      </c>
      <c r="AJ106" s="20">
        <f>DAY(' En tramite 23-26'!$AI106)</f>
        <v>1</v>
      </c>
      <c r="AK106" s="20" t="str">
        <f>TEXT(' En tramite 23-26'!$AI106,"mmmm")</f>
        <v>febrero</v>
      </c>
      <c r="AL106" s="20">
        <f>YEAR(' En tramite 23-26'!$Z106)</f>
        <v>2026</v>
      </c>
      <c r="AM106" s="20" t="s">
        <v>84</v>
      </c>
      <c r="AN106" s="24">
        <v>2.0</v>
      </c>
      <c r="AO106" s="24">
        <v>45689.0</v>
      </c>
      <c r="AP106" s="20" t="s">
        <v>84</v>
      </c>
      <c r="AQ106" s="24">
        <v>2.0</v>
      </c>
      <c r="AR106" s="24" t="s">
        <v>890</v>
      </c>
      <c r="AS106" s="24">
        <f>' En tramite 23-26'!$AI106+45</f>
        <v>46099</v>
      </c>
      <c r="AT106" s="20" t="s">
        <v>85</v>
      </c>
      <c r="AU106" s="20" t="s">
        <v>84</v>
      </c>
      <c r="AV106" s="20">
        <v>2.0</v>
      </c>
      <c r="AW106" s="24">
        <v>46132.0</v>
      </c>
      <c r="AX106" s="20" t="s">
        <v>86</v>
      </c>
      <c r="AY106" s="20" t="s">
        <v>84</v>
      </c>
      <c r="AZ106" s="20">
        <v>2.0</v>
      </c>
      <c r="BA106" s="24">
        <v>46146.0</v>
      </c>
      <c r="BB106" s="20" t="s">
        <v>84</v>
      </c>
      <c r="BC106" s="28">
        <v>2.0</v>
      </c>
      <c r="BD106" s="24">
        <v>46146.0</v>
      </c>
      <c r="BE106" s="20">
        <f>DAY(' En tramite 23-26'!$BD106)</f>
        <v>4</v>
      </c>
      <c r="BF106" s="24" t="str">
        <f>TEXT(' En tramite 23-26'!$BD106,"mmmm")</f>
        <v>mayo</v>
      </c>
      <c r="BG106" s="20">
        <f>YEAR(' En tramite 23-26'!$BD106)</f>
        <v>2026</v>
      </c>
      <c r="BH106" s="29">
        <v>1.0</v>
      </c>
      <c r="BI106" s="26" t="s">
        <v>242</v>
      </c>
      <c r="BJ106" s="30" t="s">
        <v>88</v>
      </c>
      <c r="BK106" s="31" t="s">
        <v>89</v>
      </c>
      <c r="BL106" s="14"/>
      <c r="BM106" s="81"/>
    </row>
    <row r="107" ht="16.5" customHeight="1">
      <c r="A107" s="28" t="s">
        <v>891</v>
      </c>
      <c r="B107" s="34" t="s">
        <v>757</v>
      </c>
      <c r="C107" s="13" t="s">
        <v>892</v>
      </c>
      <c r="D107" s="18" t="s">
        <v>893</v>
      </c>
      <c r="E107" s="15" t="s">
        <v>894</v>
      </c>
      <c r="F107" s="16" t="s">
        <v>895</v>
      </c>
      <c r="G107" s="16">
        <v>4.428217899E9</v>
      </c>
      <c r="H107" s="17" t="s">
        <v>896</v>
      </c>
      <c r="I107" s="18" t="s">
        <v>897</v>
      </c>
      <c r="J107" s="18" t="s">
        <v>109</v>
      </c>
      <c r="K107" s="18" t="s">
        <v>74</v>
      </c>
      <c r="L107" s="19" t="s">
        <v>75</v>
      </c>
      <c r="M107" s="14" t="s">
        <v>14</v>
      </c>
      <c r="N107" s="18" t="s">
        <v>898</v>
      </c>
      <c r="O107" s="18" t="s">
        <v>131</v>
      </c>
      <c r="P107" s="20" t="s">
        <v>78</v>
      </c>
      <c r="Q107" s="20">
        <v>4.422259144E9</v>
      </c>
      <c r="R107" s="20" t="s">
        <v>899</v>
      </c>
      <c r="S107" s="35" t="s">
        <v>549</v>
      </c>
      <c r="T107" s="22" t="s">
        <v>81</v>
      </c>
      <c r="U107" s="21" t="s">
        <v>100</v>
      </c>
      <c r="V107" s="86">
        <v>1.0</v>
      </c>
      <c r="W107" s="20" t="s">
        <v>83</v>
      </c>
      <c r="X107" s="20" t="s">
        <v>84</v>
      </c>
      <c r="Y107" s="24">
        <v>2.0</v>
      </c>
      <c r="Z107" s="25">
        <v>46049.0</v>
      </c>
      <c r="AA107" s="20">
        <f>DAY(Tabla1[F. INICIO])</f>
        <v>27</v>
      </c>
      <c r="AB107" s="26" t="str">
        <f>TEXT(' En tramite 23-26'!$Z107,"mmmm")</f>
        <v>enero</v>
      </c>
      <c r="AC107" s="20">
        <f>YEAR(' En tramite 23-26'!$Z107)</f>
        <v>2026</v>
      </c>
      <c r="AD107" s="20" t="s">
        <v>84</v>
      </c>
      <c r="AE107" s="24">
        <v>2.0</v>
      </c>
      <c r="AF107" s="24">
        <v>46050.0</v>
      </c>
      <c r="AG107" s="20" t="s">
        <v>84</v>
      </c>
      <c r="AH107" s="24">
        <v>2.0</v>
      </c>
      <c r="AI107" s="24">
        <v>46050.0</v>
      </c>
      <c r="AJ107" s="20">
        <f>DAY(' En tramite 23-26'!$AI107)</f>
        <v>28</v>
      </c>
      <c r="AK107" s="20" t="str">
        <f>TEXT(' En tramite 23-26'!$AI107,"mmmm")</f>
        <v>enero</v>
      </c>
      <c r="AL107" s="20">
        <f>YEAR(' En tramite 23-26'!$Z107)</f>
        <v>2026</v>
      </c>
      <c r="AM107" s="20" t="s">
        <v>84</v>
      </c>
      <c r="AN107" s="24">
        <v>2.0</v>
      </c>
      <c r="AO107" s="24">
        <v>46050.0</v>
      </c>
      <c r="AP107" s="20" t="s">
        <v>84</v>
      </c>
      <c r="AQ107" s="24">
        <v>2.0</v>
      </c>
      <c r="AR107" s="24">
        <v>46099.0</v>
      </c>
      <c r="AS107" s="24">
        <f>' En tramite 23-26'!$AI107+45</f>
        <v>46095</v>
      </c>
      <c r="AT107" s="20" t="s">
        <v>85</v>
      </c>
      <c r="AU107" s="20" t="s">
        <v>84</v>
      </c>
      <c r="AV107" s="24">
        <v>2.0</v>
      </c>
      <c r="AW107" s="24">
        <v>46134.0</v>
      </c>
      <c r="AX107" s="20" t="s">
        <v>86</v>
      </c>
      <c r="AY107" s="20" t="s">
        <v>84</v>
      </c>
      <c r="AZ107" s="20">
        <v>2.0</v>
      </c>
      <c r="BA107" s="24">
        <v>46134.0</v>
      </c>
      <c r="BB107" s="20" t="s">
        <v>84</v>
      </c>
      <c r="BC107" s="28">
        <v>2.0</v>
      </c>
      <c r="BD107" s="24">
        <v>46134.0</v>
      </c>
      <c r="BE107" s="20">
        <f>DAY(' En tramite 23-26'!$BD107)</f>
        <v>22</v>
      </c>
      <c r="BF107" s="24" t="str">
        <f>TEXT(' En tramite 23-26'!$BD107,"mmmm")</f>
        <v>abril</v>
      </c>
      <c r="BG107" s="20">
        <f>YEAR(' En tramite 23-26'!$BD107)</f>
        <v>2026</v>
      </c>
      <c r="BH107" s="29">
        <v>1.0</v>
      </c>
      <c r="BI107" s="26" t="s">
        <v>575</v>
      </c>
      <c r="BJ107" s="30" t="s">
        <v>88</v>
      </c>
      <c r="BK107" s="31" t="s">
        <v>89</v>
      </c>
      <c r="BL107" s="14"/>
      <c r="BM107" s="81"/>
    </row>
    <row r="108" ht="16.5" customHeight="1">
      <c r="A108" s="28" t="s">
        <v>900</v>
      </c>
      <c r="B108" s="34"/>
      <c r="C108" s="13"/>
      <c r="D108" s="41" t="s">
        <v>901</v>
      </c>
      <c r="E108" s="15" t="s">
        <v>902</v>
      </c>
      <c r="F108" s="42" t="s">
        <v>903</v>
      </c>
      <c r="G108" s="42">
        <v>4.463150604E9</v>
      </c>
      <c r="H108" s="43" t="s">
        <v>904</v>
      </c>
      <c r="I108" s="41" t="s">
        <v>897</v>
      </c>
      <c r="J108" s="41" t="s">
        <v>109</v>
      </c>
      <c r="K108" s="41" t="s">
        <v>74</v>
      </c>
      <c r="L108" s="44" t="s">
        <v>200</v>
      </c>
      <c r="M108" s="13" t="s">
        <v>14</v>
      </c>
      <c r="N108" s="41" t="s">
        <v>898</v>
      </c>
      <c r="O108" s="41" t="s">
        <v>131</v>
      </c>
      <c r="P108" s="44" t="s">
        <v>78</v>
      </c>
      <c r="Q108" s="44">
        <v>4.422259144E9</v>
      </c>
      <c r="R108" s="44" t="s">
        <v>899</v>
      </c>
      <c r="S108" s="45" t="s">
        <v>549</v>
      </c>
      <c r="T108" s="46" t="s">
        <v>81</v>
      </c>
      <c r="U108" s="47" t="s">
        <v>100</v>
      </c>
      <c r="V108" s="95">
        <v>0.0</v>
      </c>
      <c r="W108" s="44"/>
      <c r="X108" s="44" t="s">
        <v>84</v>
      </c>
      <c r="Y108" s="49">
        <v>2.0</v>
      </c>
      <c r="Z108" s="50">
        <v>46049.0</v>
      </c>
      <c r="AA108" s="44">
        <f>DAY(Tabla1[F. INICIO])</f>
        <v>27</v>
      </c>
      <c r="AB108" s="51" t="str">
        <f>TEXT(' En tramite 23-26'!$Z108,"mmmm")</f>
        <v>enero</v>
      </c>
      <c r="AC108" s="44">
        <f>YEAR(' En tramite 23-26'!$Z108)</f>
        <v>2026</v>
      </c>
      <c r="AD108" s="44" t="s">
        <v>84</v>
      </c>
      <c r="AE108" s="49">
        <v>2.0</v>
      </c>
      <c r="AF108" s="49">
        <v>46050.0</v>
      </c>
      <c r="AG108" s="44" t="s">
        <v>220</v>
      </c>
      <c r="AH108" s="49">
        <v>0.0</v>
      </c>
      <c r="AI108" s="49"/>
      <c r="AJ108" s="44"/>
      <c r="AK108" s="44"/>
      <c r="AL108" s="44"/>
      <c r="AM108" s="44"/>
      <c r="AN108" s="49"/>
      <c r="AO108" s="49"/>
      <c r="AP108" s="44"/>
      <c r="AQ108" s="49"/>
      <c r="AR108" s="49"/>
      <c r="AS108" s="103">
        <f>' En tramite 23-26'!$AI108+45</f>
        <v>45</v>
      </c>
      <c r="AT108" s="44"/>
      <c r="AU108" s="44"/>
      <c r="AV108" s="44"/>
      <c r="AW108" s="49">
        <f>' En tramite 23-26'!$AS108+45</f>
        <v>90</v>
      </c>
      <c r="AX108" s="44"/>
      <c r="AY108" s="44"/>
      <c r="AZ108" s="44"/>
      <c r="BA108" s="49"/>
      <c r="BB108" s="44"/>
      <c r="BC108" s="12"/>
      <c r="BD108" s="49"/>
      <c r="BE108" s="44">
        <f>DAY(' En tramite 23-26'!$BD108)</f>
        <v>30</v>
      </c>
      <c r="BF108" s="49" t="str">
        <f>TEXT(' En tramite 23-26'!$BD108,"mmmm")</f>
        <v>diciembre</v>
      </c>
      <c r="BG108" s="44">
        <f>YEAR(' En tramite 23-26'!$BD108)</f>
        <v>1899</v>
      </c>
      <c r="BH108" s="53"/>
      <c r="BI108" s="13"/>
      <c r="BJ108" s="34"/>
      <c r="BK108" s="54"/>
      <c r="BL108" s="13"/>
      <c r="BM108" s="58"/>
    </row>
    <row r="109" ht="16.5" customHeight="1">
      <c r="A109" s="28" t="s">
        <v>905</v>
      </c>
      <c r="B109" s="34" t="s">
        <v>767</v>
      </c>
      <c r="C109" s="13" t="s">
        <v>906</v>
      </c>
      <c r="D109" s="18" t="s">
        <v>907</v>
      </c>
      <c r="E109" s="15" t="s">
        <v>908</v>
      </c>
      <c r="F109" s="16" t="s">
        <v>909</v>
      </c>
      <c r="G109" s="16">
        <v>4.461360407E9</v>
      </c>
      <c r="H109" s="17" t="s">
        <v>910</v>
      </c>
      <c r="I109" s="18" t="s">
        <v>822</v>
      </c>
      <c r="J109" s="18" t="s">
        <v>109</v>
      </c>
      <c r="K109" s="18" t="s">
        <v>110</v>
      </c>
      <c r="L109" s="19" t="s">
        <v>75</v>
      </c>
      <c r="M109" s="14" t="s">
        <v>14</v>
      </c>
      <c r="N109" s="18" t="s">
        <v>911</v>
      </c>
      <c r="O109" s="18"/>
      <c r="P109" s="20" t="s">
        <v>78</v>
      </c>
      <c r="Q109" s="20">
        <v>4.42497241E9</v>
      </c>
      <c r="R109" s="20" t="s">
        <v>912</v>
      </c>
      <c r="S109" s="35" t="s">
        <v>913</v>
      </c>
      <c r="T109" s="22" t="s">
        <v>81</v>
      </c>
      <c r="U109" s="21" t="s">
        <v>82</v>
      </c>
      <c r="V109" s="86">
        <v>1.0</v>
      </c>
      <c r="W109" s="20" t="s">
        <v>83</v>
      </c>
      <c r="X109" s="20" t="s">
        <v>84</v>
      </c>
      <c r="Y109" s="24">
        <v>2.0</v>
      </c>
      <c r="Z109" s="25">
        <v>46049.0</v>
      </c>
      <c r="AA109" s="20">
        <f>DAY(Tabla1[F. INICIO])</f>
        <v>27</v>
      </c>
      <c r="AB109" s="26" t="str">
        <f>TEXT(' En tramite 23-26'!$Z109,"mmmm")</f>
        <v>enero</v>
      </c>
      <c r="AC109" s="20">
        <f>YEAR(' En tramite 23-26'!$Z109)</f>
        <v>2026</v>
      </c>
      <c r="AD109" s="20" t="s">
        <v>84</v>
      </c>
      <c r="AE109" s="24">
        <v>2.0</v>
      </c>
      <c r="AF109" s="24" t="s">
        <v>914</v>
      </c>
      <c r="AG109" s="20" t="s">
        <v>84</v>
      </c>
      <c r="AH109" s="24">
        <v>2.0</v>
      </c>
      <c r="AI109" s="24">
        <v>46064.0</v>
      </c>
      <c r="AJ109" s="20">
        <f>DAY(' En tramite 23-26'!$AI109)</f>
        <v>11</v>
      </c>
      <c r="AK109" s="20" t="str">
        <f>TEXT(' En tramite 23-26'!$AI109,"mmmm")</f>
        <v>febrero</v>
      </c>
      <c r="AL109" s="20">
        <f>YEAR(' En tramite 23-26'!$Z109)</f>
        <v>2026</v>
      </c>
      <c r="AM109" s="20" t="s">
        <v>84</v>
      </c>
      <c r="AN109" s="24">
        <v>2.0</v>
      </c>
      <c r="AO109" s="24">
        <v>46064.0</v>
      </c>
      <c r="AP109" s="20" t="s">
        <v>84</v>
      </c>
      <c r="AQ109" s="24">
        <v>2.0</v>
      </c>
      <c r="AR109" s="24">
        <v>46101.0</v>
      </c>
      <c r="AS109" s="24">
        <f>' En tramite 23-26'!$AI109+45</f>
        <v>46109</v>
      </c>
      <c r="AT109" s="20" t="s">
        <v>85</v>
      </c>
      <c r="AU109" s="20" t="s">
        <v>84</v>
      </c>
      <c r="AV109" s="20">
        <v>2.0</v>
      </c>
      <c r="AW109" s="24">
        <v>46150.0</v>
      </c>
      <c r="AX109" s="20" t="s">
        <v>86</v>
      </c>
      <c r="AY109" s="20" t="s">
        <v>84</v>
      </c>
      <c r="AZ109" s="20">
        <v>2.0</v>
      </c>
      <c r="BA109" s="24">
        <v>46150.0</v>
      </c>
      <c r="BB109" s="20" t="s">
        <v>84</v>
      </c>
      <c r="BC109" s="28">
        <v>2.0</v>
      </c>
      <c r="BD109" s="24">
        <v>46150.0</v>
      </c>
      <c r="BE109" s="20">
        <f>DAY(' En tramite 23-26'!$BD109)</f>
        <v>8</v>
      </c>
      <c r="BF109" s="24" t="str">
        <f>TEXT(' En tramite 23-26'!$BD109,"mmmm")</f>
        <v>mayo</v>
      </c>
      <c r="BG109" s="20">
        <f>YEAR(' En tramite 23-26'!$BD109)</f>
        <v>2026</v>
      </c>
      <c r="BH109" s="29">
        <v>1.0</v>
      </c>
      <c r="BI109" s="26" t="s">
        <v>915</v>
      </c>
      <c r="BJ109" s="30" t="s">
        <v>88</v>
      </c>
      <c r="BK109" s="31" t="s">
        <v>89</v>
      </c>
      <c r="BL109" s="14"/>
      <c r="BM109" s="81"/>
    </row>
    <row r="110" ht="16.5" customHeight="1">
      <c r="A110" s="28" t="s">
        <v>916</v>
      </c>
      <c r="B110" s="34"/>
      <c r="C110" s="13"/>
      <c r="D110" s="41" t="s">
        <v>917</v>
      </c>
      <c r="E110" s="15" t="s">
        <v>918</v>
      </c>
      <c r="F110" s="42" t="s">
        <v>919</v>
      </c>
      <c r="G110" s="42">
        <v>4.425724887E9</v>
      </c>
      <c r="H110" s="43" t="s">
        <v>920</v>
      </c>
      <c r="I110" s="41" t="s">
        <v>867</v>
      </c>
      <c r="J110" s="41" t="s">
        <v>73</v>
      </c>
      <c r="K110" s="41" t="s">
        <v>141</v>
      </c>
      <c r="L110" s="44" t="s">
        <v>200</v>
      </c>
      <c r="M110" s="13" t="s">
        <v>142</v>
      </c>
      <c r="N110" s="41" t="s">
        <v>921</v>
      </c>
      <c r="O110" s="41" t="s">
        <v>97</v>
      </c>
      <c r="P110" s="44" t="s">
        <v>78</v>
      </c>
      <c r="Q110" s="44">
        <v>4.4225196E9</v>
      </c>
      <c r="R110" s="44" t="s">
        <v>922</v>
      </c>
      <c r="S110" s="45" t="s">
        <v>923</v>
      </c>
      <c r="T110" s="46" t="s">
        <v>81</v>
      </c>
      <c r="U110" s="47" t="s">
        <v>82</v>
      </c>
      <c r="V110" s="95">
        <v>0.0</v>
      </c>
      <c r="W110" s="44"/>
      <c r="X110" s="44" t="s">
        <v>84</v>
      </c>
      <c r="Y110" s="49">
        <v>2.0</v>
      </c>
      <c r="Z110" s="50">
        <v>46052.0</v>
      </c>
      <c r="AA110" s="44">
        <f>DAY(Tabla1[F. INICIO])</f>
        <v>30</v>
      </c>
      <c r="AB110" s="51" t="str">
        <f>TEXT(' En tramite 23-26'!$Z110,"mmmm")</f>
        <v>enero</v>
      </c>
      <c r="AC110" s="44">
        <f>YEAR(' En tramite 23-26'!$Z110)</f>
        <v>2026</v>
      </c>
      <c r="AD110" s="44" t="s">
        <v>84</v>
      </c>
      <c r="AE110" s="49">
        <v>2.0</v>
      </c>
      <c r="AF110" s="49">
        <v>46052.0</v>
      </c>
      <c r="AG110" s="49" t="s">
        <v>220</v>
      </c>
      <c r="AH110" s="49">
        <v>2.0</v>
      </c>
      <c r="AI110" s="49">
        <v>46101.0</v>
      </c>
      <c r="AJ110" s="44">
        <f>DAY(' En tramite 23-26'!$AI110)</f>
        <v>20</v>
      </c>
      <c r="AK110" s="44" t="str">
        <f>TEXT(' En tramite 23-26'!$AI110,"mmmm")</f>
        <v>marzo</v>
      </c>
      <c r="AL110" s="44">
        <f>YEAR(' En tramite 23-26'!$Z110)</f>
        <v>2026</v>
      </c>
      <c r="AM110" s="44"/>
      <c r="AN110" s="49"/>
      <c r="AO110" s="49"/>
      <c r="AP110" s="44"/>
      <c r="AQ110" s="49"/>
      <c r="AR110" s="49"/>
      <c r="AS110" s="103">
        <f>' En tramite 23-26'!$AI110+45</f>
        <v>46146</v>
      </c>
      <c r="AT110" s="44"/>
      <c r="AU110" s="44"/>
      <c r="AV110" s="44"/>
      <c r="AW110" s="49">
        <f>' En tramite 23-26'!$AS110+45</f>
        <v>46191</v>
      </c>
      <c r="AX110" s="44"/>
      <c r="AY110" s="44"/>
      <c r="AZ110" s="44"/>
      <c r="BA110" s="49"/>
      <c r="BB110" s="44"/>
      <c r="BC110" s="12"/>
      <c r="BD110" s="49"/>
      <c r="BE110" s="44">
        <f>DAY(' En tramite 23-26'!$BD110)</f>
        <v>30</v>
      </c>
      <c r="BF110" s="49" t="str">
        <f>TEXT(' En tramite 23-26'!$BD110,"mmmm")</f>
        <v>diciembre</v>
      </c>
      <c r="BG110" s="44">
        <f>YEAR(' En tramite 23-26'!$BD110)</f>
        <v>1899</v>
      </c>
      <c r="BH110" s="53"/>
      <c r="BI110" s="13"/>
      <c r="BJ110" s="34"/>
      <c r="BK110" s="54"/>
      <c r="BL110" s="13"/>
      <c r="BM110" s="58"/>
    </row>
    <row r="111" ht="16.5" customHeight="1">
      <c r="A111" s="28" t="s">
        <v>924</v>
      </c>
      <c r="B111" s="34"/>
      <c r="C111" s="13"/>
      <c r="D111" s="41" t="s">
        <v>925</v>
      </c>
      <c r="E111" s="15" t="s">
        <v>926</v>
      </c>
      <c r="F111" s="42" t="s">
        <v>927</v>
      </c>
      <c r="G111" s="42">
        <v>4.427896139E9</v>
      </c>
      <c r="H111" s="43" t="s">
        <v>928</v>
      </c>
      <c r="I111" s="41" t="s">
        <v>867</v>
      </c>
      <c r="J111" s="41" t="s">
        <v>73</v>
      </c>
      <c r="K111" s="41" t="s">
        <v>141</v>
      </c>
      <c r="L111" s="44" t="s">
        <v>200</v>
      </c>
      <c r="M111" s="13" t="s">
        <v>142</v>
      </c>
      <c r="N111" s="41" t="s">
        <v>929</v>
      </c>
      <c r="O111" s="41" t="s">
        <v>97</v>
      </c>
      <c r="P111" s="44" t="s">
        <v>78</v>
      </c>
      <c r="Q111" s="44">
        <v>4.42455185E9</v>
      </c>
      <c r="R111" s="41" t="s">
        <v>930</v>
      </c>
      <c r="S111" s="45" t="s">
        <v>931</v>
      </c>
      <c r="T111" s="46" t="s">
        <v>81</v>
      </c>
      <c r="U111" s="47" t="s">
        <v>100</v>
      </c>
      <c r="V111" s="95">
        <v>0.0</v>
      </c>
      <c r="W111" s="44"/>
      <c r="X111" s="44" t="s">
        <v>84</v>
      </c>
      <c r="Y111" s="49">
        <v>2.0</v>
      </c>
      <c r="Z111" s="50">
        <v>46045.0</v>
      </c>
      <c r="AA111" s="44">
        <f>DAY(Tabla1[F. INICIO])</f>
        <v>23</v>
      </c>
      <c r="AB111" s="51" t="str">
        <f>TEXT(' En tramite 23-26'!$Z111,"mmmm")</f>
        <v>enero</v>
      </c>
      <c r="AC111" s="44">
        <f>YEAR(' En tramite 23-26'!$Z111)</f>
        <v>2026</v>
      </c>
      <c r="AD111" s="44" t="s">
        <v>84</v>
      </c>
      <c r="AE111" s="49">
        <v>2.0</v>
      </c>
      <c r="AF111" s="49">
        <v>46045.0</v>
      </c>
      <c r="AG111" s="49" t="s">
        <v>220</v>
      </c>
      <c r="AH111" s="49">
        <v>0.0</v>
      </c>
      <c r="AI111" s="49"/>
      <c r="AJ111" s="44"/>
      <c r="AK111" s="44"/>
      <c r="AL111" s="44"/>
      <c r="AM111" s="44"/>
      <c r="AN111" s="49"/>
      <c r="AO111" s="49"/>
      <c r="AP111" s="44"/>
      <c r="AQ111" s="49"/>
      <c r="AR111" s="49"/>
      <c r="AS111" s="103">
        <f>' En tramite 23-26'!$AI111+45</f>
        <v>45</v>
      </c>
      <c r="AT111" s="44"/>
      <c r="AU111" s="44"/>
      <c r="AV111" s="44"/>
      <c r="AW111" s="49">
        <f>' En tramite 23-26'!$AS111+45</f>
        <v>90</v>
      </c>
      <c r="AX111" s="44"/>
      <c r="AY111" s="44"/>
      <c r="AZ111" s="44"/>
      <c r="BA111" s="49"/>
      <c r="BB111" s="44"/>
      <c r="BC111" s="12"/>
      <c r="BD111" s="49"/>
      <c r="BE111" s="44">
        <f>DAY(' En tramite 23-26'!$BD111)</f>
        <v>30</v>
      </c>
      <c r="BF111" s="49" t="str">
        <f>TEXT(' En tramite 23-26'!$BD111,"mmmm")</f>
        <v>diciembre</v>
      </c>
      <c r="BG111" s="44">
        <f>YEAR(' En tramite 23-26'!$BD111)</f>
        <v>1899</v>
      </c>
      <c r="BH111" s="53"/>
      <c r="BI111" s="13"/>
      <c r="BJ111" s="34"/>
      <c r="BK111" s="54"/>
      <c r="BL111" s="13"/>
      <c r="BM111" s="58"/>
    </row>
    <row r="112" ht="16.5" customHeight="1">
      <c r="A112" s="28" t="s">
        <v>932</v>
      </c>
      <c r="B112" s="34"/>
      <c r="C112" s="13"/>
      <c r="D112" s="62" t="s">
        <v>933</v>
      </c>
      <c r="E112" s="15" t="s">
        <v>934</v>
      </c>
      <c r="F112" s="63" t="s">
        <v>935</v>
      </c>
      <c r="G112" s="63">
        <v>7.207263648E9</v>
      </c>
      <c r="H112" s="64" t="s">
        <v>936</v>
      </c>
      <c r="I112" s="62" t="s">
        <v>867</v>
      </c>
      <c r="J112" s="62" t="s">
        <v>73</v>
      </c>
      <c r="K112" s="62" t="s">
        <v>141</v>
      </c>
      <c r="L112" s="65" t="s">
        <v>75</v>
      </c>
      <c r="M112" s="66" t="s">
        <v>142</v>
      </c>
      <c r="N112" s="62" t="s">
        <v>929</v>
      </c>
      <c r="O112" s="62" t="s">
        <v>97</v>
      </c>
      <c r="P112" s="67" t="s">
        <v>78</v>
      </c>
      <c r="Q112" s="67">
        <v>4.42455185E9</v>
      </c>
      <c r="R112" s="62" t="s">
        <v>930</v>
      </c>
      <c r="S112" s="68" t="s">
        <v>931</v>
      </c>
      <c r="T112" s="69" t="s">
        <v>81</v>
      </c>
      <c r="U112" s="70" t="s">
        <v>100</v>
      </c>
      <c r="V112" s="98">
        <v>0.0</v>
      </c>
      <c r="W112" s="67"/>
      <c r="X112" s="67" t="s">
        <v>84</v>
      </c>
      <c r="Y112" s="73">
        <v>2.0</v>
      </c>
      <c r="Z112" s="74">
        <v>46045.0</v>
      </c>
      <c r="AA112" s="67">
        <f>DAY(Tabla1[F. INICIO])</f>
        <v>23</v>
      </c>
      <c r="AB112" s="75" t="str">
        <f>TEXT(' En tramite 23-26'!$Z112,"mmmm")</f>
        <v>enero</v>
      </c>
      <c r="AC112" s="67">
        <f>YEAR(' En tramite 23-26'!$Z112)</f>
        <v>2026</v>
      </c>
      <c r="AD112" s="67" t="s">
        <v>84</v>
      </c>
      <c r="AE112" s="73">
        <v>2.0</v>
      </c>
      <c r="AF112" s="73">
        <v>46045.0</v>
      </c>
      <c r="AG112" s="73" t="s">
        <v>220</v>
      </c>
      <c r="AH112" s="73">
        <v>2.0</v>
      </c>
      <c r="AI112" s="73">
        <v>46069.0</v>
      </c>
      <c r="AJ112" s="67"/>
      <c r="AK112" s="67"/>
      <c r="AL112" s="67"/>
      <c r="AM112" s="67" t="s">
        <v>84</v>
      </c>
      <c r="AN112" s="73">
        <v>2.0</v>
      </c>
      <c r="AO112" s="73">
        <v>46069.0</v>
      </c>
      <c r="AP112" s="67"/>
      <c r="AQ112" s="73"/>
      <c r="AR112" s="73"/>
      <c r="AS112" s="73">
        <f>' En tramite 23-26'!$AI112+45</f>
        <v>46114</v>
      </c>
      <c r="AT112" s="67" t="s">
        <v>85</v>
      </c>
      <c r="AU112" s="67" t="s">
        <v>84</v>
      </c>
      <c r="AV112" s="67">
        <v>2.0</v>
      </c>
      <c r="AW112" s="73">
        <v>46163.0</v>
      </c>
      <c r="AX112" s="67" t="s">
        <v>86</v>
      </c>
      <c r="AY112" s="67" t="s">
        <v>84</v>
      </c>
      <c r="AZ112" s="67">
        <v>2.0</v>
      </c>
      <c r="BA112" s="73"/>
      <c r="BB112" s="67" t="s">
        <v>84</v>
      </c>
      <c r="BC112" s="76">
        <v>2.0</v>
      </c>
      <c r="BD112" s="73">
        <v>46161.0</v>
      </c>
      <c r="BE112" s="67">
        <f>DAY(' En tramite 23-26'!$BD112)</f>
        <v>19</v>
      </c>
      <c r="BF112" s="73" t="str">
        <f>TEXT(' En tramite 23-26'!$BD112,"mmmm")</f>
        <v>mayo</v>
      </c>
      <c r="BG112" s="67">
        <f>YEAR(' En tramite 23-26'!$BD112)</f>
        <v>2026</v>
      </c>
      <c r="BH112" s="77"/>
      <c r="BI112" s="66"/>
      <c r="BJ112" s="78" t="s">
        <v>274</v>
      </c>
      <c r="BK112" s="79" t="s">
        <v>275</v>
      </c>
      <c r="BL112" s="66"/>
      <c r="BM112" s="80"/>
    </row>
    <row r="113" ht="16.5" customHeight="1">
      <c r="A113" s="28" t="s">
        <v>937</v>
      </c>
      <c r="B113" s="34"/>
      <c r="C113" s="13"/>
      <c r="D113" s="115" t="s">
        <v>938</v>
      </c>
      <c r="E113" s="15" t="s">
        <v>939</v>
      </c>
      <c r="F113" s="116" t="s">
        <v>940</v>
      </c>
      <c r="G113" s="116">
        <v>4.462383981E9</v>
      </c>
      <c r="H113" s="131" t="s">
        <v>941</v>
      </c>
      <c r="I113" s="115" t="s">
        <v>897</v>
      </c>
      <c r="J113" s="115" t="s">
        <v>73</v>
      </c>
      <c r="K113" s="115" t="s">
        <v>74</v>
      </c>
      <c r="L113" s="118" t="s">
        <v>200</v>
      </c>
      <c r="M113" s="119" t="s">
        <v>14</v>
      </c>
      <c r="N113" s="115" t="s">
        <v>942</v>
      </c>
      <c r="O113" s="115" t="s">
        <v>77</v>
      </c>
      <c r="P113" s="118" t="s">
        <v>78</v>
      </c>
      <c r="Q113" s="118">
        <v>4.422281192E9</v>
      </c>
      <c r="R113" s="118" t="s">
        <v>943</v>
      </c>
      <c r="S113" s="120" t="s">
        <v>944</v>
      </c>
      <c r="T113" s="132" t="s">
        <v>81</v>
      </c>
      <c r="U113" s="121" t="s">
        <v>100</v>
      </c>
      <c r="V113" s="122">
        <v>0.0</v>
      </c>
      <c r="W113" s="118"/>
      <c r="X113" s="118" t="s">
        <v>84</v>
      </c>
      <c r="Y113" s="123">
        <v>2.0</v>
      </c>
      <c r="Z113" s="124">
        <v>46050.0</v>
      </c>
      <c r="AA113" s="118">
        <f>DAY(Tabla1[F. INICIO])</f>
        <v>28</v>
      </c>
      <c r="AB113" s="125" t="str">
        <f>TEXT(' En tramite 23-26'!$Z113,"mmmm")</f>
        <v>enero</v>
      </c>
      <c r="AC113" s="118">
        <f>YEAR(' En tramite 23-26'!$Z113)</f>
        <v>2026</v>
      </c>
      <c r="AD113" s="118" t="s">
        <v>84</v>
      </c>
      <c r="AE113" s="123">
        <v>2.0</v>
      </c>
      <c r="AF113" s="123">
        <v>46050.0</v>
      </c>
      <c r="AG113" s="118" t="s">
        <v>84</v>
      </c>
      <c r="AH113" s="123">
        <v>2.0</v>
      </c>
      <c r="AI113" s="123">
        <v>46050.0</v>
      </c>
      <c r="AJ113" s="118">
        <f>DAY(' En tramite 23-26'!$AI113)</f>
        <v>28</v>
      </c>
      <c r="AK113" s="118" t="str">
        <f>TEXT(' En tramite 23-26'!$AI113,"mmmm")</f>
        <v>enero</v>
      </c>
      <c r="AL113" s="118">
        <f>YEAR(' En tramite 23-26'!$Z113)</f>
        <v>2026</v>
      </c>
      <c r="AM113" s="118" t="s">
        <v>84</v>
      </c>
      <c r="AN113" s="123">
        <v>2.0</v>
      </c>
      <c r="AO113" s="123">
        <v>46050.0</v>
      </c>
      <c r="AP113" s="118"/>
      <c r="AQ113" s="123"/>
      <c r="AR113" s="123"/>
      <c r="AS113" s="123">
        <f>' En tramite 23-26'!$AI113+45</f>
        <v>46095</v>
      </c>
      <c r="AT113" s="118"/>
      <c r="AU113" s="118"/>
      <c r="AV113" s="118"/>
      <c r="AW113" s="123">
        <f>' En tramite 23-26'!$AS113+45</f>
        <v>46140</v>
      </c>
      <c r="AX113" s="118"/>
      <c r="AY113" s="118"/>
      <c r="AZ113" s="118"/>
      <c r="BA113" s="123"/>
      <c r="BB113" s="118"/>
      <c r="BC113" s="126"/>
      <c r="BD113" s="123"/>
      <c r="BE113" s="118">
        <f>DAY(' En tramite 23-26'!$BD113)</f>
        <v>30</v>
      </c>
      <c r="BF113" s="123" t="str">
        <f>TEXT(' En tramite 23-26'!$BD113,"mmmm")</f>
        <v>diciembre</v>
      </c>
      <c r="BG113" s="118">
        <f>YEAR(' En tramite 23-26'!$BD113)</f>
        <v>1899</v>
      </c>
      <c r="BH113" s="127"/>
      <c r="BI113" s="119"/>
      <c r="BJ113" s="128" t="s">
        <v>945</v>
      </c>
      <c r="BK113" s="129"/>
      <c r="BL113" s="119"/>
      <c r="BM113" s="130"/>
    </row>
    <row r="114" ht="16.5" customHeight="1">
      <c r="A114" s="28" t="s">
        <v>946</v>
      </c>
      <c r="B114" s="34" t="s">
        <v>773</v>
      </c>
      <c r="C114" s="13" t="s">
        <v>947</v>
      </c>
      <c r="D114" s="18" t="s">
        <v>948</v>
      </c>
      <c r="E114" s="15" t="s">
        <v>949</v>
      </c>
      <c r="F114" s="16" t="s">
        <v>950</v>
      </c>
      <c r="G114" s="16">
        <v>4.425713764E9</v>
      </c>
      <c r="H114" s="17" t="s">
        <v>951</v>
      </c>
      <c r="I114" s="18" t="s">
        <v>952</v>
      </c>
      <c r="J114" s="18" t="s">
        <v>109</v>
      </c>
      <c r="K114" s="18" t="s">
        <v>141</v>
      </c>
      <c r="L114" s="19" t="s">
        <v>75</v>
      </c>
      <c r="M114" s="14" t="s">
        <v>142</v>
      </c>
      <c r="N114" s="18" t="s">
        <v>953</v>
      </c>
      <c r="O114" s="18" t="s">
        <v>97</v>
      </c>
      <c r="P114" s="20" t="s">
        <v>78</v>
      </c>
      <c r="Q114" s="20">
        <v>4.4223884E9</v>
      </c>
      <c r="R114" s="20" t="s">
        <v>954</v>
      </c>
      <c r="S114" s="35" t="s">
        <v>955</v>
      </c>
      <c r="T114" s="22" t="s">
        <v>81</v>
      </c>
      <c r="U114" s="21" t="s">
        <v>100</v>
      </c>
      <c r="V114" s="86">
        <v>1.0</v>
      </c>
      <c r="W114" s="20" t="s">
        <v>83</v>
      </c>
      <c r="X114" s="20" t="s">
        <v>84</v>
      </c>
      <c r="Y114" s="24">
        <v>2.0</v>
      </c>
      <c r="Z114" s="25">
        <v>46072.0</v>
      </c>
      <c r="AA114" s="20">
        <f>DAY(Tabla1[F. INICIO])</f>
        <v>19</v>
      </c>
      <c r="AB114" s="26" t="str">
        <f>TEXT(' En tramite 23-26'!$Z114,"mmmm")</f>
        <v>febrero</v>
      </c>
      <c r="AC114" s="20">
        <f>YEAR(' En tramite 23-26'!$Z114)</f>
        <v>2026</v>
      </c>
      <c r="AD114" s="20" t="s">
        <v>84</v>
      </c>
      <c r="AE114" s="24">
        <v>2.0</v>
      </c>
      <c r="AF114" s="24">
        <v>46076.0</v>
      </c>
      <c r="AG114" s="20" t="s">
        <v>84</v>
      </c>
      <c r="AH114" s="24">
        <v>2.0</v>
      </c>
      <c r="AI114" s="24">
        <v>46076.0</v>
      </c>
      <c r="AJ114" s="20">
        <f>DAY(' En tramite 23-26'!$AI114)</f>
        <v>23</v>
      </c>
      <c r="AK114" s="20" t="str">
        <f>TEXT(' En tramite 23-26'!$AI114,"mmmm")</f>
        <v>febrero</v>
      </c>
      <c r="AL114" s="20">
        <f>YEAR(' En tramite 23-26'!$Z114)</f>
        <v>2026</v>
      </c>
      <c r="AM114" s="20" t="s">
        <v>84</v>
      </c>
      <c r="AN114" s="24">
        <v>2.0</v>
      </c>
      <c r="AO114" s="24">
        <v>46076.0</v>
      </c>
      <c r="AP114" s="20" t="s">
        <v>84</v>
      </c>
      <c r="AQ114" s="24">
        <v>2.0</v>
      </c>
      <c r="AR114" s="24">
        <v>46115.0</v>
      </c>
      <c r="AS114" s="24">
        <f>' En tramite 23-26'!$AI114+45</f>
        <v>46121</v>
      </c>
      <c r="AT114" s="20" t="s">
        <v>85</v>
      </c>
      <c r="AU114" s="20" t="s">
        <v>84</v>
      </c>
      <c r="AV114" s="20">
        <v>2.0</v>
      </c>
      <c r="AW114" s="24">
        <v>46164.0</v>
      </c>
      <c r="AX114" s="20" t="s">
        <v>86</v>
      </c>
      <c r="AY114" s="20" t="s">
        <v>84</v>
      </c>
      <c r="AZ114" s="20">
        <v>2.0</v>
      </c>
      <c r="BA114" s="24">
        <v>46164.0</v>
      </c>
      <c r="BB114" s="20" t="s">
        <v>84</v>
      </c>
      <c r="BC114" s="28">
        <v>2.0</v>
      </c>
      <c r="BD114" s="24">
        <v>46164.0</v>
      </c>
      <c r="BE114" s="20">
        <f>DAY(' En tramite 23-26'!$BD114)</f>
        <v>22</v>
      </c>
      <c r="BF114" s="24" t="str">
        <f>TEXT(' En tramite 23-26'!$BD114,"mmmm")</f>
        <v>mayo</v>
      </c>
      <c r="BG114" s="20">
        <f>YEAR(' En tramite 23-26'!$BD114)</f>
        <v>2026</v>
      </c>
      <c r="BH114" s="29">
        <v>1.0</v>
      </c>
      <c r="BI114" s="26" t="s">
        <v>956</v>
      </c>
      <c r="BJ114" s="30" t="s">
        <v>88</v>
      </c>
      <c r="BK114" s="31" t="s">
        <v>89</v>
      </c>
      <c r="BL114" s="14"/>
      <c r="BM114" s="81"/>
    </row>
    <row r="115" ht="16.5" customHeight="1">
      <c r="A115" s="28" t="s">
        <v>957</v>
      </c>
      <c r="B115" s="34"/>
      <c r="C115" s="13"/>
      <c r="D115" s="62" t="s">
        <v>958</v>
      </c>
      <c r="E115" s="15" t="s">
        <v>959</v>
      </c>
      <c r="F115" s="63" t="s">
        <v>960</v>
      </c>
      <c r="G115" s="63">
        <v>4.424478842E9</v>
      </c>
      <c r="H115" s="64" t="s">
        <v>961</v>
      </c>
      <c r="I115" s="62" t="s">
        <v>822</v>
      </c>
      <c r="J115" s="62" t="s">
        <v>109</v>
      </c>
      <c r="K115" s="62" t="s">
        <v>110</v>
      </c>
      <c r="L115" s="67" t="s">
        <v>200</v>
      </c>
      <c r="M115" s="66" t="s">
        <v>111</v>
      </c>
      <c r="N115" s="62" t="s">
        <v>219</v>
      </c>
      <c r="O115" s="62" t="s">
        <v>97</v>
      </c>
      <c r="P115" s="67" t="s">
        <v>962</v>
      </c>
      <c r="Q115" s="67">
        <v>4.421477241E9</v>
      </c>
      <c r="R115" s="62" t="s">
        <v>98</v>
      </c>
      <c r="S115" s="68" t="s">
        <v>114</v>
      </c>
      <c r="T115" s="69" t="s">
        <v>81</v>
      </c>
      <c r="U115" s="70" t="s">
        <v>100</v>
      </c>
      <c r="V115" s="98">
        <v>1.0</v>
      </c>
      <c r="W115" s="113" t="s">
        <v>83</v>
      </c>
      <c r="X115" s="67" t="s">
        <v>84</v>
      </c>
      <c r="Y115" s="73">
        <v>2.0</v>
      </c>
      <c r="Z115" s="74">
        <v>46070.0</v>
      </c>
      <c r="AA115" s="67">
        <f>DAY(Tabla1[F. INICIO])</f>
        <v>17</v>
      </c>
      <c r="AB115" s="75" t="str">
        <f>TEXT(' En tramite 23-26'!$Z115,"mmmm")</f>
        <v>febrero</v>
      </c>
      <c r="AC115" s="67">
        <f>YEAR(' En tramite 23-26'!$Z115)</f>
        <v>2026</v>
      </c>
      <c r="AD115" s="67" t="s">
        <v>84</v>
      </c>
      <c r="AE115" s="73">
        <v>2.0</v>
      </c>
      <c r="AF115" s="73">
        <v>46070.0</v>
      </c>
      <c r="AG115" s="67" t="s">
        <v>84</v>
      </c>
      <c r="AH115" s="73">
        <v>2.0</v>
      </c>
      <c r="AI115" s="73">
        <v>46070.0</v>
      </c>
      <c r="AJ115" s="67">
        <f>DAY(' En tramite 23-26'!$AI115)</f>
        <v>17</v>
      </c>
      <c r="AK115" s="67" t="str">
        <f>TEXT(' En tramite 23-26'!$AI115,"mmmm")</f>
        <v>febrero</v>
      </c>
      <c r="AL115" s="67">
        <f>YEAR(' En tramite 23-26'!$Z115)</f>
        <v>2026</v>
      </c>
      <c r="AM115" s="67" t="s">
        <v>84</v>
      </c>
      <c r="AN115" s="73">
        <v>2.0</v>
      </c>
      <c r="AO115" s="73">
        <v>46070.0</v>
      </c>
      <c r="AP115" s="67" t="s">
        <v>84</v>
      </c>
      <c r="AQ115" s="73">
        <v>2.0</v>
      </c>
      <c r="AR115" s="73">
        <v>46114.0</v>
      </c>
      <c r="AS115" s="73">
        <f>' En tramite 23-26'!$AI115+45</f>
        <v>46115</v>
      </c>
      <c r="AT115" s="67" t="s">
        <v>85</v>
      </c>
      <c r="AU115" s="67" t="s">
        <v>84</v>
      </c>
      <c r="AV115" s="67">
        <v>2.0</v>
      </c>
      <c r="AW115" s="73">
        <f>' En tramite 23-26'!$AS115+45</f>
        <v>46160</v>
      </c>
      <c r="AX115" s="67" t="s">
        <v>86</v>
      </c>
      <c r="AY115" s="67" t="s">
        <v>84</v>
      </c>
      <c r="AZ115" s="67">
        <v>2.0</v>
      </c>
      <c r="BA115" s="73">
        <v>46160.0</v>
      </c>
      <c r="BB115" s="67" t="s">
        <v>84</v>
      </c>
      <c r="BC115" s="76">
        <v>2.0</v>
      </c>
      <c r="BD115" s="73">
        <v>46160.0</v>
      </c>
      <c r="BE115" s="67">
        <f>DAY(' En tramite 23-26'!$BD115)</f>
        <v>18</v>
      </c>
      <c r="BF115" s="73" t="str">
        <f>TEXT(' En tramite 23-26'!$BD115,"mmmm")</f>
        <v>mayo</v>
      </c>
      <c r="BG115" s="67">
        <f>YEAR(' En tramite 23-26'!$BD115)</f>
        <v>2026</v>
      </c>
      <c r="BH115" s="77"/>
      <c r="BI115" s="78"/>
      <c r="BJ115" s="67" t="s">
        <v>274</v>
      </c>
      <c r="BK115" s="79" t="s">
        <v>275</v>
      </c>
      <c r="BL115" s="66"/>
      <c r="BM115" s="80"/>
    </row>
    <row r="116" ht="16.5" customHeight="1">
      <c r="A116" s="28" t="s">
        <v>963</v>
      </c>
      <c r="B116" s="34"/>
      <c r="C116" s="13"/>
      <c r="D116" s="41" t="s">
        <v>964</v>
      </c>
      <c r="E116" s="15" t="s">
        <v>965</v>
      </c>
      <c r="F116" s="42" t="s">
        <v>966</v>
      </c>
      <c r="G116" s="42">
        <v>4.423796816E9</v>
      </c>
      <c r="H116" s="43" t="s">
        <v>967</v>
      </c>
      <c r="I116" s="41" t="s">
        <v>822</v>
      </c>
      <c r="J116" s="41" t="s">
        <v>109</v>
      </c>
      <c r="K116" s="41" t="s">
        <v>110</v>
      </c>
      <c r="L116" s="44" t="s">
        <v>200</v>
      </c>
      <c r="M116" s="13" t="s">
        <v>111</v>
      </c>
      <c r="N116" s="41" t="s">
        <v>219</v>
      </c>
      <c r="O116" s="41" t="s">
        <v>97</v>
      </c>
      <c r="P116" s="44" t="s">
        <v>962</v>
      </c>
      <c r="Q116" s="44">
        <v>4.421477241E9</v>
      </c>
      <c r="R116" s="41" t="s">
        <v>98</v>
      </c>
      <c r="S116" s="45" t="s">
        <v>114</v>
      </c>
      <c r="T116" s="46" t="s">
        <v>81</v>
      </c>
      <c r="U116" s="47" t="s">
        <v>82</v>
      </c>
      <c r="V116" s="95">
        <v>1.0</v>
      </c>
      <c r="W116" s="111" t="s">
        <v>83</v>
      </c>
      <c r="X116" s="44" t="s">
        <v>84</v>
      </c>
      <c r="Y116" s="49">
        <v>2.0</v>
      </c>
      <c r="Z116" s="50">
        <v>46070.0</v>
      </c>
      <c r="AA116" s="44">
        <f>DAY(Tabla1[F. INICIO])</f>
        <v>17</v>
      </c>
      <c r="AB116" s="51" t="str">
        <f>TEXT(' En tramite 23-26'!$Z116,"mmmm")</f>
        <v>febrero</v>
      </c>
      <c r="AC116" s="44">
        <f>YEAR(' En tramite 23-26'!$Z116)</f>
        <v>2026</v>
      </c>
      <c r="AD116" s="44" t="s">
        <v>84</v>
      </c>
      <c r="AE116" s="49">
        <v>2.0</v>
      </c>
      <c r="AF116" s="49">
        <v>46070.0</v>
      </c>
      <c r="AG116" s="44" t="s">
        <v>220</v>
      </c>
      <c r="AH116" s="44">
        <v>0.0</v>
      </c>
      <c r="AI116" s="44"/>
      <c r="AJ116" s="44">
        <f>DAY(' En tramite 23-26'!$AI116)</f>
        <v>30</v>
      </c>
      <c r="AK116" s="44" t="str">
        <f>TEXT(' En tramite 23-26'!$AI116,"mmmm")</f>
        <v>diciembre</v>
      </c>
      <c r="AL116" s="44">
        <f>YEAR(' En tramite 23-26'!$Z116)</f>
        <v>2026</v>
      </c>
      <c r="AM116" s="44"/>
      <c r="AN116" s="49"/>
      <c r="AO116" s="44"/>
      <c r="AP116" s="44"/>
      <c r="AQ116" s="49"/>
      <c r="AR116" s="44"/>
      <c r="AS116" s="103">
        <f>' En tramite 23-26'!$AI116+45</f>
        <v>45</v>
      </c>
      <c r="AT116" s="44"/>
      <c r="AU116" s="44"/>
      <c r="AV116" s="44"/>
      <c r="AW116" s="49">
        <f>' En tramite 23-26'!$AS116+45</f>
        <v>90</v>
      </c>
      <c r="AX116" s="44"/>
      <c r="AY116" s="44"/>
      <c r="AZ116" s="44"/>
      <c r="BA116" s="44"/>
      <c r="BB116" s="44"/>
      <c r="BC116" s="12"/>
      <c r="BD116" s="44"/>
      <c r="BE116" s="44">
        <f>DAY(' En tramite 23-26'!$BD116)</f>
        <v>30</v>
      </c>
      <c r="BF116" s="49" t="str">
        <f>TEXT(' En tramite 23-26'!$BD116,"mmmm")</f>
        <v>diciembre</v>
      </c>
      <c r="BG116" s="44">
        <f>YEAR(' En tramite 23-26'!$BD116)</f>
        <v>1899</v>
      </c>
      <c r="BH116" s="44"/>
      <c r="BI116" s="34"/>
      <c r="BJ116" s="34"/>
      <c r="BK116" s="54"/>
      <c r="BL116" s="13"/>
      <c r="BM116" s="58"/>
    </row>
    <row r="117" ht="16.5" customHeight="1">
      <c r="A117" s="28" t="s">
        <v>968</v>
      </c>
      <c r="B117" s="34"/>
      <c r="C117" s="13"/>
      <c r="D117" s="62" t="s">
        <v>969</v>
      </c>
      <c r="E117" s="15" t="s">
        <v>970</v>
      </c>
      <c r="F117" s="63" t="s">
        <v>971</v>
      </c>
      <c r="G117" s="63">
        <v>4.427788587E9</v>
      </c>
      <c r="H117" s="64" t="s">
        <v>972</v>
      </c>
      <c r="I117" s="62" t="s">
        <v>822</v>
      </c>
      <c r="J117" s="62" t="s">
        <v>109</v>
      </c>
      <c r="K117" s="62" t="s">
        <v>110</v>
      </c>
      <c r="L117" s="67" t="s">
        <v>200</v>
      </c>
      <c r="M117" s="66" t="s">
        <v>111</v>
      </c>
      <c r="N117" s="62" t="s">
        <v>219</v>
      </c>
      <c r="O117" s="62" t="s">
        <v>97</v>
      </c>
      <c r="P117" s="67" t="s">
        <v>962</v>
      </c>
      <c r="Q117" s="67">
        <v>4.421477241E9</v>
      </c>
      <c r="R117" s="62" t="s">
        <v>98</v>
      </c>
      <c r="S117" s="68" t="s">
        <v>114</v>
      </c>
      <c r="T117" s="69" t="s">
        <v>81</v>
      </c>
      <c r="U117" s="70" t="s">
        <v>100</v>
      </c>
      <c r="V117" s="98">
        <v>1.0</v>
      </c>
      <c r="W117" s="113" t="s">
        <v>83</v>
      </c>
      <c r="X117" s="67" t="s">
        <v>84</v>
      </c>
      <c r="Y117" s="73">
        <v>2.0</v>
      </c>
      <c r="Z117" s="74">
        <v>46070.0</v>
      </c>
      <c r="AA117" s="67">
        <f>DAY(Tabla1[F. INICIO])</f>
        <v>17</v>
      </c>
      <c r="AB117" s="75" t="str">
        <f>TEXT(' En tramite 23-26'!$Z117,"mmmm")</f>
        <v>febrero</v>
      </c>
      <c r="AC117" s="67">
        <f>YEAR(' En tramite 23-26'!$Z117)</f>
        <v>2026</v>
      </c>
      <c r="AD117" s="67" t="s">
        <v>84</v>
      </c>
      <c r="AE117" s="73">
        <v>2.0</v>
      </c>
      <c r="AF117" s="73">
        <v>46070.0</v>
      </c>
      <c r="AG117" s="67" t="s">
        <v>84</v>
      </c>
      <c r="AH117" s="73">
        <v>2.0</v>
      </c>
      <c r="AI117" s="73">
        <v>46070.0</v>
      </c>
      <c r="AJ117" s="67">
        <f>DAY(' En tramite 23-26'!$AI117)</f>
        <v>17</v>
      </c>
      <c r="AK117" s="67" t="str">
        <f>TEXT(' En tramite 23-26'!$AI117,"mmmm")</f>
        <v>febrero</v>
      </c>
      <c r="AL117" s="67">
        <f>YEAR(' En tramite 23-26'!$Z117)</f>
        <v>2026</v>
      </c>
      <c r="AM117" s="67" t="s">
        <v>84</v>
      </c>
      <c r="AN117" s="73">
        <v>2.0</v>
      </c>
      <c r="AO117" s="73">
        <v>46070.0</v>
      </c>
      <c r="AP117" s="67" t="s">
        <v>84</v>
      </c>
      <c r="AQ117" s="73">
        <v>2.0</v>
      </c>
      <c r="AR117" s="73">
        <v>46114.0</v>
      </c>
      <c r="AS117" s="73">
        <f>' En tramite 23-26'!$AI117+45</f>
        <v>46115</v>
      </c>
      <c r="AT117" s="67" t="s">
        <v>85</v>
      </c>
      <c r="AU117" s="67" t="s">
        <v>84</v>
      </c>
      <c r="AV117" s="67">
        <v>2.0</v>
      </c>
      <c r="AW117" s="73">
        <f>' En tramite 23-26'!$AS117+45</f>
        <v>46160</v>
      </c>
      <c r="AX117" s="67" t="s">
        <v>86</v>
      </c>
      <c r="AY117" s="67" t="s">
        <v>84</v>
      </c>
      <c r="AZ117" s="67">
        <v>2.0</v>
      </c>
      <c r="BA117" s="73">
        <v>46160.0</v>
      </c>
      <c r="BB117" s="67" t="s">
        <v>84</v>
      </c>
      <c r="BC117" s="76">
        <v>2.0</v>
      </c>
      <c r="BD117" s="73">
        <v>46160.0</v>
      </c>
      <c r="BE117" s="67">
        <f>DAY(' En tramite 23-26'!$BD117)</f>
        <v>18</v>
      </c>
      <c r="BF117" s="73" t="str">
        <f>TEXT(' En tramite 23-26'!$BD117,"mmmm")</f>
        <v>mayo</v>
      </c>
      <c r="BG117" s="67">
        <f>YEAR(' En tramite 23-26'!$BD117)</f>
        <v>2026</v>
      </c>
      <c r="BH117" s="77"/>
      <c r="BI117" s="66"/>
      <c r="BJ117" s="67" t="s">
        <v>274</v>
      </c>
      <c r="BK117" s="79" t="s">
        <v>275</v>
      </c>
      <c r="BL117" s="66"/>
      <c r="BM117" s="80"/>
    </row>
    <row r="118" ht="16.5" customHeight="1">
      <c r="A118" s="28" t="s">
        <v>973</v>
      </c>
      <c r="B118" s="34"/>
      <c r="C118" s="13"/>
      <c r="D118" s="62" t="s">
        <v>974</v>
      </c>
      <c r="E118" s="15" t="s">
        <v>975</v>
      </c>
      <c r="F118" s="63" t="s">
        <v>976</v>
      </c>
      <c r="G118" s="63">
        <v>4.421410474E9</v>
      </c>
      <c r="H118" s="64" t="s">
        <v>977</v>
      </c>
      <c r="I118" s="62" t="s">
        <v>822</v>
      </c>
      <c r="J118" s="62" t="s">
        <v>109</v>
      </c>
      <c r="K118" s="62" t="s">
        <v>110</v>
      </c>
      <c r="L118" s="67" t="s">
        <v>200</v>
      </c>
      <c r="M118" s="66" t="s">
        <v>111</v>
      </c>
      <c r="N118" s="62" t="s">
        <v>219</v>
      </c>
      <c r="O118" s="62" t="s">
        <v>97</v>
      </c>
      <c r="P118" s="67" t="s">
        <v>962</v>
      </c>
      <c r="Q118" s="67">
        <v>4.421477241E9</v>
      </c>
      <c r="R118" s="62" t="s">
        <v>98</v>
      </c>
      <c r="S118" s="68" t="s">
        <v>114</v>
      </c>
      <c r="T118" s="69" t="s">
        <v>81</v>
      </c>
      <c r="U118" s="70" t="s">
        <v>100</v>
      </c>
      <c r="V118" s="98">
        <v>1.0</v>
      </c>
      <c r="W118" s="113" t="s">
        <v>83</v>
      </c>
      <c r="X118" s="67" t="s">
        <v>84</v>
      </c>
      <c r="Y118" s="73">
        <v>2.0</v>
      </c>
      <c r="Z118" s="74">
        <v>46070.0</v>
      </c>
      <c r="AA118" s="67">
        <f>DAY(Tabla1[F. INICIO])</f>
        <v>17</v>
      </c>
      <c r="AB118" s="75" t="str">
        <f>TEXT(' En tramite 23-26'!$Z118,"mmmm")</f>
        <v>febrero</v>
      </c>
      <c r="AC118" s="67">
        <f>YEAR(' En tramite 23-26'!$Z118)</f>
        <v>2026</v>
      </c>
      <c r="AD118" s="67" t="s">
        <v>84</v>
      </c>
      <c r="AE118" s="73">
        <v>2.0</v>
      </c>
      <c r="AF118" s="73">
        <v>46070.0</v>
      </c>
      <c r="AG118" s="67" t="s">
        <v>84</v>
      </c>
      <c r="AH118" s="73">
        <v>2.0</v>
      </c>
      <c r="AI118" s="73">
        <v>46070.0</v>
      </c>
      <c r="AJ118" s="67">
        <f>DAY(' En tramite 23-26'!$AI118)</f>
        <v>17</v>
      </c>
      <c r="AK118" s="67" t="str">
        <f>TEXT(' En tramite 23-26'!$AI118,"mmmm")</f>
        <v>febrero</v>
      </c>
      <c r="AL118" s="67">
        <f>YEAR(' En tramite 23-26'!$Z118)</f>
        <v>2026</v>
      </c>
      <c r="AM118" s="67" t="s">
        <v>84</v>
      </c>
      <c r="AN118" s="73">
        <v>2.0</v>
      </c>
      <c r="AO118" s="73">
        <v>46070.0</v>
      </c>
      <c r="AP118" s="67" t="s">
        <v>84</v>
      </c>
      <c r="AQ118" s="73">
        <v>2.0</v>
      </c>
      <c r="AR118" s="73">
        <v>46114.0</v>
      </c>
      <c r="AS118" s="73">
        <f>' En tramite 23-26'!$AI118+45</f>
        <v>46115</v>
      </c>
      <c r="AT118" s="67" t="s">
        <v>85</v>
      </c>
      <c r="AU118" s="67" t="s">
        <v>84</v>
      </c>
      <c r="AV118" s="67">
        <v>2.0</v>
      </c>
      <c r="AW118" s="73">
        <f>' En tramite 23-26'!$AS118+45</f>
        <v>46160</v>
      </c>
      <c r="AX118" s="67" t="s">
        <v>86</v>
      </c>
      <c r="AY118" s="67" t="s">
        <v>84</v>
      </c>
      <c r="AZ118" s="67">
        <v>2.0</v>
      </c>
      <c r="BA118" s="73" t="s">
        <v>978</v>
      </c>
      <c r="BB118" s="67" t="s">
        <v>84</v>
      </c>
      <c r="BC118" s="76">
        <v>2.0</v>
      </c>
      <c r="BD118" s="73">
        <v>46160.0</v>
      </c>
      <c r="BE118" s="67">
        <f>DAY(' En tramite 23-26'!$BD118)</f>
        <v>18</v>
      </c>
      <c r="BF118" s="73" t="str">
        <f>TEXT(' En tramite 23-26'!$BD118,"mmmm")</f>
        <v>mayo</v>
      </c>
      <c r="BG118" s="67">
        <f>YEAR(' En tramite 23-26'!$BD118)</f>
        <v>2026</v>
      </c>
      <c r="BH118" s="77"/>
      <c r="BI118" s="66"/>
      <c r="BJ118" s="67" t="s">
        <v>274</v>
      </c>
      <c r="BK118" s="79" t="s">
        <v>275</v>
      </c>
      <c r="BL118" s="66"/>
      <c r="BM118" s="80"/>
    </row>
    <row r="119" ht="16.5" customHeight="1">
      <c r="A119" s="28" t="s">
        <v>979</v>
      </c>
      <c r="B119" s="34" t="s">
        <v>778</v>
      </c>
      <c r="C119" s="13" t="s">
        <v>980</v>
      </c>
      <c r="D119" s="18" t="s">
        <v>981</v>
      </c>
      <c r="E119" s="15" t="s">
        <v>982</v>
      </c>
      <c r="F119" s="16" t="s">
        <v>983</v>
      </c>
      <c r="G119" s="16">
        <v>4.423824121E9</v>
      </c>
      <c r="H119" s="17" t="s">
        <v>984</v>
      </c>
      <c r="I119" s="18" t="s">
        <v>985</v>
      </c>
      <c r="J119" s="18" t="s">
        <v>73</v>
      </c>
      <c r="K119" s="18" t="s">
        <v>74</v>
      </c>
      <c r="L119" s="19" t="s">
        <v>75</v>
      </c>
      <c r="M119" s="14" t="s">
        <v>142</v>
      </c>
      <c r="N119" s="18" t="s">
        <v>463</v>
      </c>
      <c r="O119" s="18" t="s">
        <v>211</v>
      </c>
      <c r="P119" s="20" t="s">
        <v>78</v>
      </c>
      <c r="Q119" s="20">
        <v>4.42238606E9</v>
      </c>
      <c r="R119" s="18" t="s">
        <v>464</v>
      </c>
      <c r="S119" s="35" t="s">
        <v>465</v>
      </c>
      <c r="T119" s="22" t="s">
        <v>81</v>
      </c>
      <c r="U119" s="21" t="s">
        <v>100</v>
      </c>
      <c r="V119" s="86">
        <v>1.0</v>
      </c>
      <c r="W119" s="82" t="s">
        <v>83</v>
      </c>
      <c r="X119" s="20" t="s">
        <v>84</v>
      </c>
      <c r="Y119" s="24">
        <v>2.0</v>
      </c>
      <c r="Z119" s="25">
        <v>46070.0</v>
      </c>
      <c r="AA119" s="20">
        <f>DAY(Tabla1[F. INICIO])</f>
        <v>17</v>
      </c>
      <c r="AB119" s="26" t="str">
        <f>TEXT(' En tramite 23-26'!$Z119,"mmmm")</f>
        <v>febrero</v>
      </c>
      <c r="AC119" s="20">
        <f>YEAR(' En tramite 23-26'!$Z119)</f>
        <v>2026</v>
      </c>
      <c r="AD119" s="20" t="s">
        <v>84</v>
      </c>
      <c r="AE119" s="24">
        <v>2.0</v>
      </c>
      <c r="AF119" s="24">
        <v>46070.0</v>
      </c>
      <c r="AG119" s="20" t="s">
        <v>220</v>
      </c>
      <c r="AH119" s="24">
        <v>2.0</v>
      </c>
      <c r="AI119" s="24">
        <v>46077.0</v>
      </c>
      <c r="AJ119" s="20">
        <f>DAY(' En tramite 23-26'!$AI119)</f>
        <v>24</v>
      </c>
      <c r="AK119" s="20" t="str">
        <f>TEXT(' En tramite 23-26'!$AI119,"mmmm")</f>
        <v>febrero</v>
      </c>
      <c r="AL119" s="20">
        <f>YEAR(' En tramite 23-26'!$Z119)</f>
        <v>2026</v>
      </c>
      <c r="AM119" s="20" t="s">
        <v>84</v>
      </c>
      <c r="AN119" s="24">
        <v>2.0</v>
      </c>
      <c r="AO119" s="24">
        <v>46077.0</v>
      </c>
      <c r="AP119" s="20" t="s">
        <v>84</v>
      </c>
      <c r="AQ119" s="24">
        <v>2.0</v>
      </c>
      <c r="AR119" s="24">
        <v>46115.0</v>
      </c>
      <c r="AS119" s="24">
        <f>' En tramite 23-26'!$AI119+45</f>
        <v>46122</v>
      </c>
      <c r="AT119" s="20" t="s">
        <v>85</v>
      </c>
      <c r="AU119" s="20" t="s">
        <v>84</v>
      </c>
      <c r="AV119" s="20">
        <v>2.0</v>
      </c>
      <c r="AW119" s="24">
        <f>' En tramite 23-26'!$AS119+45</f>
        <v>46167</v>
      </c>
      <c r="AX119" s="20" t="s">
        <v>86</v>
      </c>
      <c r="AY119" s="20" t="s">
        <v>84</v>
      </c>
      <c r="AZ119" s="20">
        <v>2.0</v>
      </c>
      <c r="BA119" s="24">
        <v>46078.0</v>
      </c>
      <c r="BB119" s="20" t="s">
        <v>84</v>
      </c>
      <c r="BC119" s="28">
        <v>2.0</v>
      </c>
      <c r="BD119" s="24">
        <v>46167.0</v>
      </c>
      <c r="BE119" s="20">
        <f>DAY(' En tramite 23-26'!$BD119)</f>
        <v>25</v>
      </c>
      <c r="BF119" s="24" t="str">
        <f>TEXT(' En tramite 23-26'!$BD119,"mmmm")</f>
        <v>mayo</v>
      </c>
      <c r="BG119" s="20">
        <f>YEAR(' En tramite 23-26'!$BD119)</f>
        <v>2026</v>
      </c>
      <c r="BH119" s="29">
        <v>1.0</v>
      </c>
      <c r="BI119" s="26" t="s">
        <v>986</v>
      </c>
      <c r="BJ119" s="30" t="s">
        <v>88</v>
      </c>
      <c r="BK119" s="31" t="s">
        <v>89</v>
      </c>
      <c r="BL119" s="14"/>
      <c r="BM119" s="81"/>
    </row>
    <row r="120" ht="16.5" customHeight="1">
      <c r="A120" s="28" t="s">
        <v>987</v>
      </c>
      <c r="B120" s="34" t="s">
        <v>783</v>
      </c>
      <c r="C120" s="13" t="s">
        <v>988</v>
      </c>
      <c r="D120" s="18" t="s">
        <v>989</v>
      </c>
      <c r="E120" s="15" t="s">
        <v>990</v>
      </c>
      <c r="F120" s="16" t="s">
        <v>991</v>
      </c>
      <c r="G120" s="16">
        <v>4.428729999E9</v>
      </c>
      <c r="H120" s="17" t="s">
        <v>992</v>
      </c>
      <c r="I120" s="18" t="s">
        <v>993</v>
      </c>
      <c r="J120" s="18" t="s">
        <v>109</v>
      </c>
      <c r="K120" s="18" t="s">
        <v>155</v>
      </c>
      <c r="L120" s="19" t="s">
        <v>75</v>
      </c>
      <c r="M120" s="14" t="s">
        <v>14</v>
      </c>
      <c r="N120" s="18" t="s">
        <v>994</v>
      </c>
      <c r="O120" s="18" t="s">
        <v>211</v>
      </c>
      <c r="P120" s="20" t="s">
        <v>78</v>
      </c>
      <c r="Q120" s="20">
        <v>5.5366668314E10</v>
      </c>
      <c r="R120" s="20" t="s">
        <v>995</v>
      </c>
      <c r="S120" s="35" t="s">
        <v>996</v>
      </c>
      <c r="T120" s="22" t="s">
        <v>81</v>
      </c>
      <c r="U120" s="21" t="s">
        <v>82</v>
      </c>
      <c r="V120" s="86">
        <v>1.0</v>
      </c>
      <c r="W120" s="20" t="s">
        <v>83</v>
      </c>
      <c r="X120" s="20" t="s">
        <v>84</v>
      </c>
      <c r="Y120" s="24">
        <v>2.0</v>
      </c>
      <c r="Z120" s="25">
        <v>46069.0</v>
      </c>
      <c r="AA120" s="20">
        <f>DAY(Tabla1[F. INICIO])</f>
        <v>16</v>
      </c>
      <c r="AB120" s="26" t="str">
        <f>TEXT(' En tramite 23-26'!$Z120,"mmmm")</f>
        <v>febrero</v>
      </c>
      <c r="AC120" s="20">
        <f>YEAR(' En tramite 23-26'!$Z120)</f>
        <v>2026</v>
      </c>
      <c r="AD120" s="20" t="s">
        <v>84</v>
      </c>
      <c r="AE120" s="24">
        <v>2.0</v>
      </c>
      <c r="AF120" s="24">
        <v>46070.0</v>
      </c>
      <c r="AG120" s="20" t="s">
        <v>84</v>
      </c>
      <c r="AH120" s="24">
        <v>2.0</v>
      </c>
      <c r="AI120" s="24">
        <v>46071.0</v>
      </c>
      <c r="AJ120" s="20">
        <f>DAY(' En tramite 23-26'!$AI120)</f>
        <v>18</v>
      </c>
      <c r="AK120" s="20" t="str">
        <f>TEXT(' En tramite 23-26'!$AI120,"mmmm")</f>
        <v>febrero</v>
      </c>
      <c r="AL120" s="20">
        <f>YEAR(' En tramite 23-26'!$Z120)</f>
        <v>2026</v>
      </c>
      <c r="AM120" s="20" t="s">
        <v>84</v>
      </c>
      <c r="AN120" s="24">
        <v>2.0</v>
      </c>
      <c r="AO120" s="24">
        <v>46073.0</v>
      </c>
      <c r="AP120" s="20" t="s">
        <v>84</v>
      </c>
      <c r="AQ120" s="24">
        <v>2.0</v>
      </c>
      <c r="AR120" s="24">
        <v>46106.0</v>
      </c>
      <c r="AS120" s="24">
        <f>' En tramite 23-26'!$AI120+45</f>
        <v>46116</v>
      </c>
      <c r="AT120" s="20" t="s">
        <v>85</v>
      </c>
      <c r="AU120" s="20" t="s">
        <v>84</v>
      </c>
      <c r="AV120" s="20">
        <v>2.0</v>
      </c>
      <c r="AW120" s="24">
        <v>46148.0</v>
      </c>
      <c r="AX120" s="20" t="s">
        <v>86</v>
      </c>
      <c r="AY120" s="20" t="s">
        <v>84</v>
      </c>
      <c r="AZ120" s="20">
        <v>2.0</v>
      </c>
      <c r="BA120" s="24">
        <v>46148.0</v>
      </c>
      <c r="BB120" s="20" t="s">
        <v>84</v>
      </c>
      <c r="BC120" s="28">
        <v>2.0</v>
      </c>
      <c r="BD120" s="24">
        <v>46148.0</v>
      </c>
      <c r="BE120" s="20">
        <f>DAY(' En tramite 23-26'!$BD120)</f>
        <v>6</v>
      </c>
      <c r="BF120" s="24" t="str">
        <f>TEXT(' En tramite 23-26'!$BD120,"mmmm")</f>
        <v>mayo</v>
      </c>
      <c r="BG120" s="20">
        <f>YEAR(' En tramite 23-26'!$BD120)</f>
        <v>2026</v>
      </c>
      <c r="BH120" s="29">
        <v>1.0</v>
      </c>
      <c r="BI120" s="26" t="s">
        <v>997</v>
      </c>
      <c r="BJ120" s="30" t="s">
        <v>88</v>
      </c>
      <c r="BK120" s="31" t="s">
        <v>89</v>
      </c>
      <c r="BL120" s="32">
        <v>46238.0</v>
      </c>
      <c r="BM120" s="33">
        <v>2.0</v>
      </c>
    </row>
    <row r="121" ht="16.5" customHeight="1">
      <c r="A121" s="28" t="s">
        <v>998</v>
      </c>
      <c r="B121" s="34" t="s">
        <v>788</v>
      </c>
      <c r="C121" s="13" t="s">
        <v>999</v>
      </c>
      <c r="D121" s="18" t="s">
        <v>1000</v>
      </c>
      <c r="E121" s="15" t="s">
        <v>1001</v>
      </c>
      <c r="F121" s="16" t="s">
        <v>1002</v>
      </c>
      <c r="G121" s="16">
        <v>5.537703155E9</v>
      </c>
      <c r="H121" s="17" t="s">
        <v>1003</v>
      </c>
      <c r="I121" s="18" t="s">
        <v>897</v>
      </c>
      <c r="J121" s="18" t="s">
        <v>109</v>
      </c>
      <c r="K121" s="18" t="s">
        <v>74</v>
      </c>
      <c r="L121" s="19" t="s">
        <v>75</v>
      </c>
      <c r="M121" s="14" t="s">
        <v>14</v>
      </c>
      <c r="N121" s="18" t="s">
        <v>1004</v>
      </c>
      <c r="O121" s="18" t="s">
        <v>77</v>
      </c>
      <c r="P121" s="20" t="s">
        <v>78</v>
      </c>
      <c r="Q121" s="20">
        <v>4.422100059E9</v>
      </c>
      <c r="R121" s="20" t="s">
        <v>1005</v>
      </c>
      <c r="S121" s="35" t="s">
        <v>1006</v>
      </c>
      <c r="T121" s="22" t="s">
        <v>81</v>
      </c>
      <c r="U121" s="21" t="s">
        <v>82</v>
      </c>
      <c r="V121" s="86">
        <v>2.0</v>
      </c>
      <c r="W121" s="82">
        <v>2600.0</v>
      </c>
      <c r="X121" s="20" t="s">
        <v>84</v>
      </c>
      <c r="Y121" s="24">
        <v>2.0</v>
      </c>
      <c r="Z121" s="25">
        <v>46035.0</v>
      </c>
      <c r="AA121" s="20">
        <f>DAY(Tabla1[F. INICIO])</f>
        <v>13</v>
      </c>
      <c r="AB121" s="26" t="str">
        <f>TEXT(' En tramite 23-26'!$Z121,"mmmm")</f>
        <v>enero</v>
      </c>
      <c r="AC121" s="20">
        <f>YEAR(' En tramite 23-26'!$Z121)</f>
        <v>2026</v>
      </c>
      <c r="AD121" s="20" t="s">
        <v>84</v>
      </c>
      <c r="AE121" s="24">
        <v>2.0</v>
      </c>
      <c r="AF121" s="24">
        <v>46035.0</v>
      </c>
      <c r="AG121" s="20" t="s">
        <v>84</v>
      </c>
      <c r="AH121" s="24">
        <v>2.0</v>
      </c>
      <c r="AI121" s="24">
        <v>46035.0</v>
      </c>
      <c r="AJ121" s="20">
        <f>DAY(' En tramite 23-26'!$AI121)</f>
        <v>13</v>
      </c>
      <c r="AK121" s="20" t="str">
        <f>TEXT(' En tramite 23-26'!$AI121,"mmmm")</f>
        <v>enero</v>
      </c>
      <c r="AL121" s="20">
        <f>YEAR(' En tramite 23-26'!$Z121)</f>
        <v>2026</v>
      </c>
      <c r="AM121" s="20" t="s">
        <v>84</v>
      </c>
      <c r="AN121" s="24">
        <v>2.0</v>
      </c>
      <c r="AO121" s="24">
        <v>46035.0</v>
      </c>
      <c r="AP121" s="20" t="s">
        <v>84</v>
      </c>
      <c r="AQ121" s="24">
        <v>2.0</v>
      </c>
      <c r="AR121" s="24">
        <v>46080.0</v>
      </c>
      <c r="AS121" s="24">
        <f>' En tramite 23-26'!$AI121+45</f>
        <v>46080</v>
      </c>
      <c r="AT121" s="20" t="s">
        <v>85</v>
      </c>
      <c r="AU121" s="20" t="s">
        <v>84</v>
      </c>
      <c r="AV121" s="20">
        <v>2.0</v>
      </c>
      <c r="AW121" s="24">
        <f>' En tramite 23-26'!$AS121+45</f>
        <v>46125</v>
      </c>
      <c r="AX121" s="20" t="s">
        <v>86</v>
      </c>
      <c r="AY121" s="20" t="s">
        <v>84</v>
      </c>
      <c r="AZ121" s="20">
        <v>2.0</v>
      </c>
      <c r="BA121" s="24">
        <v>46125.0</v>
      </c>
      <c r="BB121" s="20" t="s">
        <v>84</v>
      </c>
      <c r="BC121" s="28">
        <v>2.0</v>
      </c>
      <c r="BD121" s="24">
        <v>46125.0</v>
      </c>
      <c r="BE121" s="20">
        <f>DAY(' En tramite 23-26'!$BD121)</f>
        <v>13</v>
      </c>
      <c r="BF121" s="24" t="str">
        <f>TEXT(' En tramite 23-26'!$BD121,"mmmm")</f>
        <v>abril</v>
      </c>
      <c r="BG121" s="20">
        <f>YEAR(' En tramite 23-26'!$BD121)</f>
        <v>2026</v>
      </c>
      <c r="BH121" s="29">
        <v>1.0</v>
      </c>
      <c r="BI121" s="26" t="s">
        <v>540</v>
      </c>
      <c r="BJ121" s="30" t="s">
        <v>88</v>
      </c>
      <c r="BK121" s="31" t="s">
        <v>89</v>
      </c>
      <c r="BL121" s="14"/>
      <c r="BM121" s="81"/>
    </row>
    <row r="122" ht="16.5" customHeight="1">
      <c r="A122" s="28" t="s">
        <v>1007</v>
      </c>
      <c r="B122" s="34"/>
      <c r="C122" s="13"/>
      <c r="D122" s="62" t="s">
        <v>1008</v>
      </c>
      <c r="E122" s="15" t="s">
        <v>1009</v>
      </c>
      <c r="F122" s="63" t="s">
        <v>1010</v>
      </c>
      <c r="G122" s="63">
        <v>4.428630655E9</v>
      </c>
      <c r="H122" s="64" t="s">
        <v>1011</v>
      </c>
      <c r="I122" s="62" t="s">
        <v>867</v>
      </c>
      <c r="J122" s="62" t="s">
        <v>73</v>
      </c>
      <c r="K122" s="62" t="s">
        <v>141</v>
      </c>
      <c r="L122" s="65" t="s">
        <v>75</v>
      </c>
      <c r="M122" s="66" t="s">
        <v>14</v>
      </c>
      <c r="N122" s="62" t="s">
        <v>1012</v>
      </c>
      <c r="O122" s="62" t="s">
        <v>77</v>
      </c>
      <c r="P122" s="67" t="s">
        <v>78</v>
      </c>
      <c r="Q122" s="67">
        <v>4.423656154E9</v>
      </c>
      <c r="R122" s="67" t="s">
        <v>1013</v>
      </c>
      <c r="S122" s="68" t="s">
        <v>1014</v>
      </c>
      <c r="T122" s="69" t="s">
        <v>81</v>
      </c>
      <c r="U122" s="70" t="s">
        <v>82</v>
      </c>
      <c r="V122" s="98">
        <v>2.0</v>
      </c>
      <c r="W122" s="113">
        <v>1200.0</v>
      </c>
      <c r="X122" s="67" t="s">
        <v>84</v>
      </c>
      <c r="Y122" s="73">
        <v>2.0</v>
      </c>
      <c r="Z122" s="74">
        <v>46069.0</v>
      </c>
      <c r="AA122" s="67">
        <f>DAY(Tabla1[F. INICIO])</f>
        <v>16</v>
      </c>
      <c r="AB122" s="75" t="str">
        <f>TEXT(' En tramite 23-26'!$Z122,"mmmm")</f>
        <v>febrero</v>
      </c>
      <c r="AC122" s="67">
        <f>YEAR(' En tramite 23-26'!$Z122)</f>
        <v>2026</v>
      </c>
      <c r="AD122" s="67" t="s">
        <v>84</v>
      </c>
      <c r="AE122" s="73">
        <v>2.0</v>
      </c>
      <c r="AF122" s="73">
        <v>46070.0</v>
      </c>
      <c r="AG122" s="67" t="s">
        <v>84</v>
      </c>
      <c r="AH122" s="73">
        <v>2.0</v>
      </c>
      <c r="AI122" s="73">
        <v>46076.0</v>
      </c>
      <c r="AJ122" s="67">
        <f>DAY(' En tramite 23-26'!$AI122)</f>
        <v>23</v>
      </c>
      <c r="AK122" s="67" t="str">
        <f>TEXT(' En tramite 23-26'!$AI122,"mmmm")</f>
        <v>febrero</v>
      </c>
      <c r="AL122" s="67">
        <f>YEAR(' En tramite 23-26'!$Z122)</f>
        <v>2026</v>
      </c>
      <c r="AM122" s="67" t="s">
        <v>84</v>
      </c>
      <c r="AN122" s="73">
        <v>2.0</v>
      </c>
      <c r="AO122" s="73">
        <v>46073.0</v>
      </c>
      <c r="AP122" s="73" t="s">
        <v>84</v>
      </c>
      <c r="AQ122" s="73">
        <v>2.0</v>
      </c>
      <c r="AR122" s="73">
        <v>46140.0</v>
      </c>
      <c r="AS122" s="73">
        <f>' En tramite 23-26'!$AI122+45</f>
        <v>46121</v>
      </c>
      <c r="AT122" s="67" t="s">
        <v>85</v>
      </c>
      <c r="AU122" s="67"/>
      <c r="AV122" s="67"/>
      <c r="AW122" s="73">
        <f>' En tramite 23-26'!$AS122+45</f>
        <v>46166</v>
      </c>
      <c r="AX122" s="67" t="s">
        <v>86</v>
      </c>
      <c r="AY122" s="67" t="s">
        <v>84</v>
      </c>
      <c r="AZ122" s="67">
        <v>2.0</v>
      </c>
      <c r="BA122" s="73">
        <v>46167.0</v>
      </c>
      <c r="BB122" s="67" t="s">
        <v>84</v>
      </c>
      <c r="BC122" s="76">
        <v>2.0</v>
      </c>
      <c r="BD122" s="73">
        <v>46167.0</v>
      </c>
      <c r="BE122" s="67">
        <f>DAY(' En tramite 23-26'!$BD122)</f>
        <v>25</v>
      </c>
      <c r="BF122" s="73" t="str">
        <f>TEXT(' En tramite 23-26'!$BD122,"mmmm")</f>
        <v>mayo</v>
      </c>
      <c r="BG122" s="67">
        <f>YEAR(' En tramite 23-26'!$BD122)</f>
        <v>2026</v>
      </c>
      <c r="BH122" s="77"/>
      <c r="BI122" s="66"/>
      <c r="BJ122" s="67" t="s">
        <v>274</v>
      </c>
      <c r="BK122" s="79" t="s">
        <v>275</v>
      </c>
      <c r="BL122" s="66"/>
      <c r="BM122" s="80"/>
    </row>
    <row r="123" ht="16.5" customHeight="1">
      <c r="A123" s="28" t="s">
        <v>1015</v>
      </c>
      <c r="B123" s="34"/>
      <c r="C123" s="13"/>
      <c r="D123" s="62" t="s">
        <v>1016</v>
      </c>
      <c r="E123" s="15" t="s">
        <v>1017</v>
      </c>
      <c r="F123" s="63" t="s">
        <v>1018</v>
      </c>
      <c r="G123" s="63">
        <v>7.721208389E9</v>
      </c>
      <c r="H123" s="64" t="s">
        <v>1019</v>
      </c>
      <c r="I123" s="62" t="s">
        <v>867</v>
      </c>
      <c r="J123" s="62" t="s">
        <v>73</v>
      </c>
      <c r="K123" s="62" t="s">
        <v>141</v>
      </c>
      <c r="L123" s="65" t="s">
        <v>75</v>
      </c>
      <c r="M123" s="66" t="s">
        <v>14</v>
      </c>
      <c r="N123" s="62" t="s">
        <v>1012</v>
      </c>
      <c r="O123" s="62" t="s">
        <v>77</v>
      </c>
      <c r="P123" s="67" t="s">
        <v>78</v>
      </c>
      <c r="Q123" s="67">
        <v>4.423656154E9</v>
      </c>
      <c r="R123" s="67" t="s">
        <v>1013</v>
      </c>
      <c r="S123" s="68" t="s">
        <v>1014</v>
      </c>
      <c r="T123" s="69" t="s">
        <v>81</v>
      </c>
      <c r="U123" s="70" t="s">
        <v>82</v>
      </c>
      <c r="V123" s="98">
        <v>2.0</v>
      </c>
      <c r="W123" s="113">
        <v>1200.0</v>
      </c>
      <c r="X123" s="67" t="s">
        <v>84</v>
      </c>
      <c r="Y123" s="73">
        <v>2.0</v>
      </c>
      <c r="Z123" s="74">
        <v>46069.0</v>
      </c>
      <c r="AA123" s="67">
        <f>DAY(Tabla1[F. INICIO])</f>
        <v>16</v>
      </c>
      <c r="AB123" s="75" t="str">
        <f>TEXT(' En tramite 23-26'!$Z123,"mmmm")</f>
        <v>febrero</v>
      </c>
      <c r="AC123" s="67">
        <f>YEAR(' En tramite 23-26'!$Z123)</f>
        <v>2026</v>
      </c>
      <c r="AD123" s="67" t="s">
        <v>84</v>
      </c>
      <c r="AE123" s="73">
        <v>2.0</v>
      </c>
      <c r="AF123" s="73">
        <v>46070.0</v>
      </c>
      <c r="AG123" s="67" t="s">
        <v>84</v>
      </c>
      <c r="AH123" s="73">
        <v>2.0</v>
      </c>
      <c r="AI123" s="73">
        <v>46076.0</v>
      </c>
      <c r="AJ123" s="67">
        <f>DAY(' En tramite 23-26'!$AI123)</f>
        <v>23</v>
      </c>
      <c r="AK123" s="67" t="str">
        <f>TEXT(' En tramite 23-26'!$AI123,"mmmm")</f>
        <v>febrero</v>
      </c>
      <c r="AL123" s="67">
        <f>YEAR(' En tramite 23-26'!$Z123)</f>
        <v>2026</v>
      </c>
      <c r="AM123" s="67" t="s">
        <v>84</v>
      </c>
      <c r="AN123" s="73">
        <v>2.0</v>
      </c>
      <c r="AO123" s="73">
        <v>46073.0</v>
      </c>
      <c r="AP123" s="67" t="s">
        <v>84</v>
      </c>
      <c r="AQ123" s="73">
        <v>2.0</v>
      </c>
      <c r="AR123" s="73">
        <v>46140.0</v>
      </c>
      <c r="AS123" s="73">
        <f>' En tramite 23-26'!$AI123+45</f>
        <v>46121</v>
      </c>
      <c r="AT123" s="67" t="s">
        <v>85</v>
      </c>
      <c r="AU123" s="67"/>
      <c r="AV123" s="67"/>
      <c r="AW123" s="73">
        <f>' En tramite 23-26'!$AS123+45</f>
        <v>46166</v>
      </c>
      <c r="AX123" s="67" t="s">
        <v>86</v>
      </c>
      <c r="AY123" s="67" t="s">
        <v>84</v>
      </c>
      <c r="AZ123" s="67">
        <v>2.0</v>
      </c>
      <c r="BA123" s="73">
        <v>46167.0</v>
      </c>
      <c r="BB123" s="67" t="s">
        <v>84</v>
      </c>
      <c r="BC123" s="76">
        <v>2.0</v>
      </c>
      <c r="BD123" s="73">
        <v>46167.0</v>
      </c>
      <c r="BE123" s="67">
        <f>DAY(' En tramite 23-26'!$BD123)</f>
        <v>25</v>
      </c>
      <c r="BF123" s="73" t="str">
        <f>TEXT(' En tramite 23-26'!$BD123,"mmmm")</f>
        <v>mayo</v>
      </c>
      <c r="BG123" s="67">
        <f>YEAR(' En tramite 23-26'!$BD123)</f>
        <v>2026</v>
      </c>
      <c r="BH123" s="77"/>
      <c r="BI123" s="66"/>
      <c r="BJ123" s="67" t="s">
        <v>274</v>
      </c>
      <c r="BK123" s="79" t="s">
        <v>275</v>
      </c>
      <c r="BL123" s="66"/>
      <c r="BM123" s="80"/>
    </row>
    <row r="124" ht="16.5" customHeight="1">
      <c r="A124" s="28" t="s">
        <v>1020</v>
      </c>
      <c r="B124" s="34" t="s">
        <v>794</v>
      </c>
      <c r="C124" s="13" t="s">
        <v>1021</v>
      </c>
      <c r="D124" s="18" t="s">
        <v>1022</v>
      </c>
      <c r="E124" s="15" t="s">
        <v>1023</v>
      </c>
      <c r="F124" s="16" t="s">
        <v>1024</v>
      </c>
      <c r="G124" s="16">
        <v>4.461113024E9</v>
      </c>
      <c r="H124" s="17" t="s">
        <v>1025</v>
      </c>
      <c r="I124" s="18" t="s">
        <v>897</v>
      </c>
      <c r="J124" s="18" t="s">
        <v>109</v>
      </c>
      <c r="K124" s="18" t="s">
        <v>74</v>
      </c>
      <c r="L124" s="19" t="s">
        <v>75</v>
      </c>
      <c r="M124" s="14" t="s">
        <v>14</v>
      </c>
      <c r="N124" s="18" t="s">
        <v>1026</v>
      </c>
      <c r="O124" s="18" t="s">
        <v>131</v>
      </c>
      <c r="P124" s="20" t="s">
        <v>78</v>
      </c>
      <c r="Q124" s="20">
        <v>4.42323597E9</v>
      </c>
      <c r="R124" s="20" t="s">
        <v>1027</v>
      </c>
      <c r="S124" s="35" t="s">
        <v>1028</v>
      </c>
      <c r="T124" s="22" t="s">
        <v>81</v>
      </c>
      <c r="U124" s="21" t="s">
        <v>100</v>
      </c>
      <c r="V124" s="86">
        <v>2.0</v>
      </c>
      <c r="W124" s="82">
        <v>4000.0</v>
      </c>
      <c r="X124" s="20" t="s">
        <v>84</v>
      </c>
      <c r="Y124" s="24">
        <v>2.0</v>
      </c>
      <c r="Z124" s="25">
        <v>46051.0</v>
      </c>
      <c r="AA124" s="20">
        <f>DAY(Tabla1[F. INICIO])</f>
        <v>29</v>
      </c>
      <c r="AB124" s="26" t="str">
        <f>TEXT(' En tramite 23-26'!$Z124,"mmmm")</f>
        <v>enero</v>
      </c>
      <c r="AC124" s="20">
        <f>YEAR(' En tramite 23-26'!$Z124)</f>
        <v>2026</v>
      </c>
      <c r="AD124" s="20" t="s">
        <v>84</v>
      </c>
      <c r="AE124" s="24">
        <v>2.0</v>
      </c>
      <c r="AF124" s="24">
        <v>46051.0</v>
      </c>
      <c r="AG124" s="20" t="s">
        <v>84</v>
      </c>
      <c r="AH124" s="24">
        <v>2.0</v>
      </c>
      <c r="AI124" s="24">
        <v>46051.0</v>
      </c>
      <c r="AJ124" s="20">
        <f>DAY(' En tramite 23-26'!$AI124)</f>
        <v>29</v>
      </c>
      <c r="AK124" s="20" t="str">
        <f>TEXT(' En tramite 23-26'!$AI124,"mmmm")</f>
        <v>enero</v>
      </c>
      <c r="AL124" s="20">
        <f>YEAR(' En tramite 23-26'!$Z124)</f>
        <v>2026</v>
      </c>
      <c r="AM124" s="20" t="s">
        <v>84</v>
      </c>
      <c r="AN124" s="24">
        <v>2.0</v>
      </c>
      <c r="AO124" s="24">
        <v>46051.0</v>
      </c>
      <c r="AP124" s="20" t="s">
        <v>84</v>
      </c>
      <c r="AQ124" s="24">
        <v>2.0</v>
      </c>
      <c r="AR124" s="24">
        <v>46094.0</v>
      </c>
      <c r="AS124" s="24">
        <f>' En tramite 23-26'!$AI124+45</f>
        <v>46096</v>
      </c>
      <c r="AT124" s="20" t="s">
        <v>85</v>
      </c>
      <c r="AU124" s="20" t="s">
        <v>84</v>
      </c>
      <c r="AV124" s="20">
        <v>2.0</v>
      </c>
      <c r="AW124" s="24">
        <f>' En tramite 23-26'!$AS124+45</f>
        <v>46141</v>
      </c>
      <c r="AX124" s="20" t="s">
        <v>86</v>
      </c>
      <c r="AY124" s="20" t="s">
        <v>84</v>
      </c>
      <c r="AZ124" s="20">
        <v>2.0</v>
      </c>
      <c r="BA124" s="24">
        <v>46141.0</v>
      </c>
      <c r="BB124" s="20" t="s">
        <v>84</v>
      </c>
      <c r="BC124" s="28">
        <v>2.0</v>
      </c>
      <c r="BD124" s="24">
        <v>46141.0</v>
      </c>
      <c r="BE124" s="20">
        <f>DAY(' En tramite 23-26'!$BD124)</f>
        <v>29</v>
      </c>
      <c r="BF124" s="24" t="str">
        <f>TEXT(' En tramite 23-26'!$BD124,"mmmm")</f>
        <v>abril</v>
      </c>
      <c r="BG124" s="20">
        <f>YEAR(' En tramite 23-26'!$BD124)</f>
        <v>2026</v>
      </c>
      <c r="BH124" s="29">
        <v>1.0</v>
      </c>
      <c r="BI124" s="26" t="s">
        <v>540</v>
      </c>
      <c r="BJ124" s="30" t="s">
        <v>88</v>
      </c>
      <c r="BK124" s="31" t="s">
        <v>89</v>
      </c>
      <c r="BL124" s="14"/>
      <c r="BM124" s="81"/>
    </row>
    <row r="125" ht="16.5" customHeight="1">
      <c r="A125" s="28" t="s">
        <v>1029</v>
      </c>
      <c r="B125" s="34"/>
      <c r="C125" s="13"/>
      <c r="D125" s="62" t="s">
        <v>1030</v>
      </c>
      <c r="E125" s="15" t="s">
        <v>1031</v>
      </c>
      <c r="F125" s="63" t="s">
        <v>1032</v>
      </c>
      <c r="G125" s="63">
        <v>4.461293212E9</v>
      </c>
      <c r="H125" s="133"/>
      <c r="I125" s="62" t="s">
        <v>857</v>
      </c>
      <c r="J125" s="62" t="s">
        <v>73</v>
      </c>
      <c r="K125" s="62" t="s">
        <v>155</v>
      </c>
      <c r="L125" s="65" t="s">
        <v>75</v>
      </c>
      <c r="M125" s="66" t="s">
        <v>142</v>
      </c>
      <c r="N125" s="62" t="s">
        <v>1033</v>
      </c>
      <c r="O125" s="62" t="s">
        <v>131</v>
      </c>
      <c r="P125" s="67" t="s">
        <v>78</v>
      </c>
      <c r="Q125" s="67">
        <v>4.422885086E9</v>
      </c>
      <c r="R125" s="67" t="s">
        <v>1034</v>
      </c>
      <c r="S125" s="68" t="s">
        <v>1035</v>
      </c>
      <c r="T125" s="69" t="s">
        <v>81</v>
      </c>
      <c r="U125" s="70" t="s">
        <v>82</v>
      </c>
      <c r="V125" s="98">
        <v>1.0</v>
      </c>
      <c r="W125" s="67" t="s">
        <v>83</v>
      </c>
      <c r="X125" s="67" t="s">
        <v>84</v>
      </c>
      <c r="Y125" s="73">
        <v>2.0</v>
      </c>
      <c r="Z125" s="74">
        <v>46078.0</v>
      </c>
      <c r="AA125" s="67">
        <f>DAY(Tabla1[F. INICIO])</f>
        <v>25</v>
      </c>
      <c r="AB125" s="75" t="str">
        <f>TEXT(' En tramite 23-26'!$Z125,"mmmm")</f>
        <v>febrero</v>
      </c>
      <c r="AC125" s="67">
        <f>YEAR(' En tramite 23-26'!$Z125)</f>
        <v>2026</v>
      </c>
      <c r="AD125" s="67" t="s">
        <v>84</v>
      </c>
      <c r="AE125" s="73">
        <v>2.0</v>
      </c>
      <c r="AF125" s="73">
        <v>46078.0</v>
      </c>
      <c r="AG125" s="67" t="s">
        <v>84</v>
      </c>
      <c r="AH125" s="73">
        <v>2.0</v>
      </c>
      <c r="AI125" s="73">
        <v>46080.0</v>
      </c>
      <c r="AJ125" s="67">
        <f>DAY(' En tramite 23-26'!$AI125)</f>
        <v>27</v>
      </c>
      <c r="AK125" s="67" t="str">
        <f>TEXT(' En tramite 23-26'!$AI125,"mmmm")</f>
        <v>febrero</v>
      </c>
      <c r="AL125" s="67">
        <f>YEAR(' En tramite 23-26'!$Z125)</f>
        <v>2026</v>
      </c>
      <c r="AM125" s="67" t="s">
        <v>84</v>
      </c>
      <c r="AN125" s="73">
        <v>2.0</v>
      </c>
      <c r="AO125" s="73">
        <v>46080.0</v>
      </c>
      <c r="AP125" s="67" t="s">
        <v>84</v>
      </c>
      <c r="AQ125" s="73">
        <v>2.0</v>
      </c>
      <c r="AR125" s="73">
        <v>46133.0</v>
      </c>
      <c r="AS125" s="73">
        <f>' En tramite 23-26'!$AI125+45</f>
        <v>46125</v>
      </c>
      <c r="AT125" s="67" t="s">
        <v>85</v>
      </c>
      <c r="AU125" s="67" t="s">
        <v>84</v>
      </c>
      <c r="AV125" s="67">
        <v>2.0</v>
      </c>
      <c r="AW125" s="73">
        <v>46164.0</v>
      </c>
      <c r="AX125" s="67" t="s">
        <v>86</v>
      </c>
      <c r="AY125" s="67"/>
      <c r="AZ125" s="67"/>
      <c r="BA125" s="73"/>
      <c r="BB125" s="67" t="s">
        <v>84</v>
      </c>
      <c r="BC125" s="76">
        <v>2.0</v>
      </c>
      <c r="BD125" s="73">
        <v>46164.0</v>
      </c>
      <c r="BE125" s="67">
        <f>DAY(' En tramite 23-26'!$BD125)</f>
        <v>22</v>
      </c>
      <c r="BF125" s="73" t="str">
        <f>TEXT(' En tramite 23-26'!$BD125,"mmmm")</f>
        <v>mayo</v>
      </c>
      <c r="BG125" s="67">
        <f>YEAR(' En tramite 23-26'!$BD125)</f>
        <v>2026</v>
      </c>
      <c r="BH125" s="77"/>
      <c r="BI125" s="66"/>
      <c r="BJ125" s="67" t="s">
        <v>274</v>
      </c>
      <c r="BK125" s="79" t="s">
        <v>275</v>
      </c>
      <c r="BL125" s="66"/>
      <c r="BM125" s="80"/>
    </row>
    <row r="126" ht="16.5" customHeight="1">
      <c r="A126" s="28" t="s">
        <v>1036</v>
      </c>
      <c r="B126" s="34" t="s">
        <v>804</v>
      </c>
      <c r="C126" s="13" t="s">
        <v>1037</v>
      </c>
      <c r="D126" s="18" t="s">
        <v>1038</v>
      </c>
      <c r="E126" s="15" t="s">
        <v>1039</v>
      </c>
      <c r="F126" s="16" t="s">
        <v>1040</v>
      </c>
      <c r="G126" s="16">
        <v>4.423227104E9</v>
      </c>
      <c r="H126" s="17" t="s">
        <v>1041</v>
      </c>
      <c r="I126" s="18" t="s">
        <v>897</v>
      </c>
      <c r="J126" s="18" t="s">
        <v>109</v>
      </c>
      <c r="K126" s="18" t="s">
        <v>74</v>
      </c>
      <c r="L126" s="19" t="s">
        <v>75</v>
      </c>
      <c r="M126" s="14" t="s">
        <v>14</v>
      </c>
      <c r="N126" s="18" t="s">
        <v>1042</v>
      </c>
      <c r="O126" s="18" t="s">
        <v>131</v>
      </c>
      <c r="P126" s="20" t="s">
        <v>78</v>
      </c>
      <c r="Q126" s="20">
        <v>4.42479804E8</v>
      </c>
      <c r="R126" s="20" t="s">
        <v>1043</v>
      </c>
      <c r="S126" s="35" t="s">
        <v>1044</v>
      </c>
      <c r="T126" s="22" t="s">
        <v>81</v>
      </c>
      <c r="U126" s="21" t="s">
        <v>82</v>
      </c>
      <c r="V126" s="86">
        <v>2.0</v>
      </c>
      <c r="W126" s="20" t="s">
        <v>1045</v>
      </c>
      <c r="X126" s="20" t="s">
        <v>84</v>
      </c>
      <c r="Y126" s="24">
        <v>2.0</v>
      </c>
      <c r="Z126" s="25">
        <v>46077.0</v>
      </c>
      <c r="AA126" s="20">
        <f>DAY(Tabla1[F. INICIO])</f>
        <v>24</v>
      </c>
      <c r="AB126" s="26" t="str">
        <f>TEXT(' En tramite 23-26'!$Z126,"mmmm")</f>
        <v>febrero</v>
      </c>
      <c r="AC126" s="20">
        <f>YEAR(' En tramite 23-26'!$Z126)</f>
        <v>2026</v>
      </c>
      <c r="AD126" s="20" t="s">
        <v>84</v>
      </c>
      <c r="AE126" s="24">
        <v>2.0</v>
      </c>
      <c r="AF126" s="24">
        <v>46077.0</v>
      </c>
      <c r="AG126" s="20" t="s">
        <v>84</v>
      </c>
      <c r="AH126" s="24">
        <v>2.0</v>
      </c>
      <c r="AI126" s="24">
        <v>46077.0</v>
      </c>
      <c r="AJ126" s="20">
        <f>DAY(' En tramite 23-26'!$AI126)</f>
        <v>24</v>
      </c>
      <c r="AK126" s="20" t="str">
        <f>TEXT(' En tramite 23-26'!$AI126,"mmmm")</f>
        <v>febrero</v>
      </c>
      <c r="AL126" s="20">
        <f>YEAR(' En tramite 23-26'!$Z126)</f>
        <v>2026</v>
      </c>
      <c r="AM126" s="20" t="s">
        <v>84</v>
      </c>
      <c r="AN126" s="24">
        <v>2.0</v>
      </c>
      <c r="AO126" s="24">
        <v>46077.0</v>
      </c>
      <c r="AP126" s="20" t="s">
        <v>84</v>
      </c>
      <c r="AQ126" s="24">
        <v>2.0</v>
      </c>
      <c r="AR126" s="24">
        <v>46119.0</v>
      </c>
      <c r="AS126" s="24">
        <f>' En tramite 23-26'!$AI126+45</f>
        <v>46122</v>
      </c>
      <c r="AT126" s="20" t="s">
        <v>85</v>
      </c>
      <c r="AU126" s="20" t="s">
        <v>84</v>
      </c>
      <c r="AV126" s="20">
        <v>2.0</v>
      </c>
      <c r="AW126" s="24">
        <f>' En tramite 23-26'!$AS126+45</f>
        <v>46167</v>
      </c>
      <c r="AX126" s="20" t="s">
        <v>86</v>
      </c>
      <c r="AY126" s="20" t="s">
        <v>84</v>
      </c>
      <c r="AZ126" s="20">
        <v>2.0</v>
      </c>
      <c r="BA126" s="24">
        <v>46167.0</v>
      </c>
      <c r="BB126" s="20" t="s">
        <v>84</v>
      </c>
      <c r="BC126" s="28">
        <v>2.0</v>
      </c>
      <c r="BD126" s="24">
        <v>46167.0</v>
      </c>
      <c r="BE126" s="20">
        <f>DAY(' En tramite 23-26'!$BD126)</f>
        <v>25</v>
      </c>
      <c r="BF126" s="24" t="str">
        <f>TEXT(' En tramite 23-26'!$BD126,"mmmm")</f>
        <v>mayo</v>
      </c>
      <c r="BG126" s="20">
        <f>YEAR(' En tramite 23-26'!$BD126)</f>
        <v>2026</v>
      </c>
      <c r="BH126" s="29">
        <v>1.0</v>
      </c>
      <c r="BI126" s="26" t="s">
        <v>826</v>
      </c>
      <c r="BJ126" s="30" t="s">
        <v>88</v>
      </c>
      <c r="BK126" s="31" t="s">
        <v>89</v>
      </c>
      <c r="BL126" s="14"/>
      <c r="BM126" s="81"/>
    </row>
    <row r="127" ht="16.5" customHeight="1">
      <c r="A127" s="28" t="s">
        <v>1046</v>
      </c>
      <c r="B127" s="34"/>
      <c r="C127" s="13"/>
      <c r="D127" s="41" t="s">
        <v>1047</v>
      </c>
      <c r="E127" s="15" t="s">
        <v>1048</v>
      </c>
      <c r="F127" s="42" t="s">
        <v>1049</v>
      </c>
      <c r="G127" s="42">
        <v>4.426109155E9</v>
      </c>
      <c r="H127" s="43" t="s">
        <v>1050</v>
      </c>
      <c r="I127" s="41" t="s">
        <v>839</v>
      </c>
      <c r="J127" s="41" t="s">
        <v>109</v>
      </c>
      <c r="K127" s="41" t="s">
        <v>129</v>
      </c>
      <c r="L127" s="44" t="s">
        <v>200</v>
      </c>
      <c r="M127" s="13" t="s">
        <v>14</v>
      </c>
      <c r="N127" s="41" t="s">
        <v>1051</v>
      </c>
      <c r="O127" s="41" t="s">
        <v>131</v>
      </c>
      <c r="P127" s="44" t="s">
        <v>78</v>
      </c>
      <c r="Q127" s="44">
        <v>4.427749134E9</v>
      </c>
      <c r="R127" s="44" t="s">
        <v>1052</v>
      </c>
      <c r="S127" s="45" t="s">
        <v>1053</v>
      </c>
      <c r="T127" s="46" t="s">
        <v>81</v>
      </c>
      <c r="U127" s="47" t="s">
        <v>82</v>
      </c>
      <c r="V127" s="95">
        <v>0.0</v>
      </c>
      <c r="W127" s="44"/>
      <c r="X127" s="44" t="s">
        <v>84</v>
      </c>
      <c r="Y127" s="49">
        <v>2.0</v>
      </c>
      <c r="Z127" s="50">
        <v>46072.0</v>
      </c>
      <c r="AA127" s="44">
        <f>DAY(Tabla1[F. INICIO])</f>
        <v>19</v>
      </c>
      <c r="AB127" s="51" t="str">
        <f>TEXT(' En tramite 23-26'!$Z127,"mmmm")</f>
        <v>febrero</v>
      </c>
      <c r="AC127" s="44">
        <f>YEAR(' En tramite 23-26'!$Z127)</f>
        <v>2026</v>
      </c>
      <c r="AD127" s="44" t="s">
        <v>84</v>
      </c>
      <c r="AE127" s="49">
        <v>2.0</v>
      </c>
      <c r="AF127" s="49">
        <v>46072.0</v>
      </c>
      <c r="AG127" s="44"/>
      <c r="AH127" s="49"/>
      <c r="AI127" s="49"/>
      <c r="AJ127" s="44"/>
      <c r="AK127" s="44"/>
      <c r="AL127" s="44"/>
      <c r="AM127" s="44"/>
      <c r="AN127" s="49"/>
      <c r="AO127" s="49"/>
      <c r="AP127" s="44"/>
      <c r="AQ127" s="49"/>
      <c r="AR127" s="49"/>
      <c r="AS127" s="103">
        <f>' En tramite 23-26'!$AI127+45</f>
        <v>45</v>
      </c>
      <c r="AT127" s="44"/>
      <c r="AU127" s="44"/>
      <c r="AV127" s="44"/>
      <c r="AW127" s="49">
        <f>' En tramite 23-26'!$AS127+45</f>
        <v>90</v>
      </c>
      <c r="AX127" s="44"/>
      <c r="AY127" s="44"/>
      <c r="AZ127" s="44"/>
      <c r="BA127" s="49"/>
      <c r="BB127" s="44"/>
      <c r="BC127" s="12"/>
      <c r="BD127" s="49"/>
      <c r="BE127" s="44">
        <f>DAY(' En tramite 23-26'!$BD127)</f>
        <v>30</v>
      </c>
      <c r="BF127" s="49" t="str">
        <f>TEXT(' En tramite 23-26'!$BD127,"mmmm")</f>
        <v>diciembre</v>
      </c>
      <c r="BG127" s="44">
        <f>YEAR(' En tramite 23-26'!$BD127)</f>
        <v>1899</v>
      </c>
      <c r="BH127" s="53"/>
      <c r="BI127" s="13"/>
      <c r="BJ127" s="34"/>
      <c r="BK127" s="54"/>
      <c r="BL127" s="13"/>
      <c r="BM127" s="58"/>
    </row>
    <row r="128" ht="16.5" customHeight="1">
      <c r="A128" s="28" t="s">
        <v>1054</v>
      </c>
      <c r="B128" s="34"/>
      <c r="C128" s="13"/>
      <c r="D128" s="62" t="s">
        <v>1055</v>
      </c>
      <c r="E128" s="15" t="s">
        <v>1056</v>
      </c>
      <c r="F128" s="63" t="s">
        <v>1057</v>
      </c>
      <c r="G128" s="63">
        <v>4.425851525E9</v>
      </c>
      <c r="H128" s="64" t="s">
        <v>1058</v>
      </c>
      <c r="I128" s="62" t="s">
        <v>839</v>
      </c>
      <c r="J128" s="62" t="s">
        <v>109</v>
      </c>
      <c r="K128" s="62" t="s">
        <v>129</v>
      </c>
      <c r="L128" s="65" t="s">
        <v>75</v>
      </c>
      <c r="M128" s="66" t="s">
        <v>14</v>
      </c>
      <c r="N128" s="62" t="s">
        <v>1051</v>
      </c>
      <c r="O128" s="62" t="s">
        <v>131</v>
      </c>
      <c r="P128" s="67" t="s">
        <v>78</v>
      </c>
      <c r="Q128" s="67">
        <v>4.427749134E9</v>
      </c>
      <c r="R128" s="67" t="s">
        <v>1052</v>
      </c>
      <c r="S128" s="68" t="s">
        <v>1053</v>
      </c>
      <c r="T128" s="69" t="s">
        <v>81</v>
      </c>
      <c r="U128" s="70" t="s">
        <v>100</v>
      </c>
      <c r="V128" s="98">
        <v>0.0</v>
      </c>
      <c r="W128" s="67"/>
      <c r="X128" s="67" t="s">
        <v>84</v>
      </c>
      <c r="Y128" s="73">
        <v>2.0</v>
      </c>
      <c r="Z128" s="74" t="s">
        <v>1059</v>
      </c>
      <c r="AA128" s="67">
        <f>DAY(Tabla1[F. INICIO])</f>
        <v>1</v>
      </c>
      <c r="AB128" s="75" t="str">
        <f>TEXT(' En tramite 23-26'!$Z128,"mmmm")</f>
        <v>diciembre</v>
      </c>
      <c r="AC128" s="67">
        <f>YEAR(' En tramite 23-26'!$Z128)</f>
        <v>2025</v>
      </c>
      <c r="AD128" s="67" t="s">
        <v>84</v>
      </c>
      <c r="AE128" s="73">
        <v>2.0</v>
      </c>
      <c r="AF128" s="73">
        <v>45992.0</v>
      </c>
      <c r="AG128" s="67" t="s">
        <v>84</v>
      </c>
      <c r="AH128" s="73">
        <v>2.0</v>
      </c>
      <c r="AI128" s="73">
        <v>45994.0</v>
      </c>
      <c r="AJ128" s="67"/>
      <c r="AK128" s="67"/>
      <c r="AL128" s="67"/>
      <c r="AM128" s="67" t="s">
        <v>84</v>
      </c>
      <c r="AN128" s="73">
        <v>2.0</v>
      </c>
      <c r="AO128" s="73">
        <v>45999.0</v>
      </c>
      <c r="AP128" s="67" t="s">
        <v>84</v>
      </c>
      <c r="AQ128" s="73">
        <v>2.0</v>
      </c>
      <c r="AR128" s="73">
        <v>46041.0</v>
      </c>
      <c r="AS128" s="73">
        <f>' En tramite 23-26'!$AI128+45</f>
        <v>46039</v>
      </c>
      <c r="AT128" s="67" t="s">
        <v>85</v>
      </c>
      <c r="AU128" s="67" t="s">
        <v>84</v>
      </c>
      <c r="AV128" s="67">
        <v>2.0</v>
      </c>
      <c r="AW128" s="73">
        <v>46097.0</v>
      </c>
      <c r="AX128" s="67" t="s">
        <v>86</v>
      </c>
      <c r="AY128" s="67" t="s">
        <v>84</v>
      </c>
      <c r="AZ128" s="67">
        <v>2.0</v>
      </c>
      <c r="BA128" s="73"/>
      <c r="BB128" s="67"/>
      <c r="BC128" s="76"/>
      <c r="BD128" s="73"/>
      <c r="BE128" s="67">
        <f>DAY(' En tramite 23-26'!$BD128)</f>
        <v>30</v>
      </c>
      <c r="BF128" s="73" t="str">
        <f>TEXT(' En tramite 23-26'!$BD128,"mmmm")</f>
        <v>diciembre</v>
      </c>
      <c r="BG128" s="67">
        <f>YEAR(' En tramite 23-26'!$BD128)</f>
        <v>1899</v>
      </c>
      <c r="BH128" s="77"/>
      <c r="BI128" s="66"/>
      <c r="BJ128" s="78" t="s">
        <v>274</v>
      </c>
      <c r="BK128" s="79" t="s">
        <v>275</v>
      </c>
      <c r="BL128" s="66"/>
      <c r="BM128" s="80"/>
    </row>
    <row r="129" ht="16.5" customHeight="1">
      <c r="A129" s="28" t="s">
        <v>1060</v>
      </c>
      <c r="B129" s="34" t="s">
        <v>810</v>
      </c>
      <c r="C129" s="13" t="s">
        <v>1061</v>
      </c>
      <c r="D129" s="18" t="s">
        <v>1062</v>
      </c>
      <c r="E129" s="15" t="s">
        <v>1063</v>
      </c>
      <c r="F129" s="16" t="s">
        <v>1064</v>
      </c>
      <c r="G129" s="16">
        <v>4.424328033E9</v>
      </c>
      <c r="H129" s="17" t="s">
        <v>1065</v>
      </c>
      <c r="I129" s="18" t="s">
        <v>839</v>
      </c>
      <c r="J129" s="18" t="s">
        <v>109</v>
      </c>
      <c r="K129" s="18" t="s">
        <v>129</v>
      </c>
      <c r="L129" s="19" t="s">
        <v>75</v>
      </c>
      <c r="M129" s="14" t="s">
        <v>14</v>
      </c>
      <c r="N129" s="18" t="s">
        <v>1066</v>
      </c>
      <c r="O129" s="18" t="s">
        <v>131</v>
      </c>
      <c r="P129" s="20" t="s">
        <v>78</v>
      </c>
      <c r="Q129" s="20">
        <v>4.423560946E9</v>
      </c>
      <c r="R129" s="20" t="s">
        <v>1067</v>
      </c>
      <c r="S129" s="35" t="s">
        <v>1068</v>
      </c>
      <c r="T129" s="22" t="s">
        <v>1069</v>
      </c>
      <c r="U129" s="21" t="s">
        <v>82</v>
      </c>
      <c r="V129" s="86">
        <v>0.0</v>
      </c>
      <c r="W129" s="20"/>
      <c r="X129" s="20" t="s">
        <v>84</v>
      </c>
      <c r="Y129" s="24">
        <v>2.0</v>
      </c>
      <c r="Z129" s="25">
        <v>46077.0</v>
      </c>
      <c r="AA129" s="20">
        <f>DAY(Tabla1[F. INICIO])</f>
        <v>24</v>
      </c>
      <c r="AB129" s="26" t="str">
        <f>TEXT(' En tramite 23-26'!$Z129,"mmmm")</f>
        <v>febrero</v>
      </c>
      <c r="AC129" s="20">
        <f>YEAR(' En tramite 23-26'!$Z129)</f>
        <v>2026</v>
      </c>
      <c r="AD129" s="20" t="s">
        <v>84</v>
      </c>
      <c r="AE129" s="24">
        <v>2.0</v>
      </c>
      <c r="AF129" s="24">
        <v>46077.0</v>
      </c>
      <c r="AG129" s="20" t="s">
        <v>84</v>
      </c>
      <c r="AH129" s="24">
        <v>2.0</v>
      </c>
      <c r="AI129" s="24">
        <v>46077.0</v>
      </c>
      <c r="AJ129" s="20">
        <f>DAY(' En tramite 23-26'!$AI129)</f>
        <v>24</v>
      </c>
      <c r="AK129" s="20" t="str">
        <f>TEXT(' En tramite 23-26'!$AI129,"mmmm")</f>
        <v>febrero</v>
      </c>
      <c r="AL129" s="20">
        <f>YEAR(' En tramite 23-26'!$Z129)</f>
        <v>2026</v>
      </c>
      <c r="AM129" s="20"/>
      <c r="AN129" s="24"/>
      <c r="AO129" s="20"/>
      <c r="AP129" s="20" t="s">
        <v>84</v>
      </c>
      <c r="AQ129" s="24">
        <v>2.0</v>
      </c>
      <c r="AR129" s="24">
        <v>46148.0</v>
      </c>
      <c r="AS129" s="24">
        <f>' En tramite 23-26'!$AI129+45</f>
        <v>46122</v>
      </c>
      <c r="AT129" s="20" t="s">
        <v>85</v>
      </c>
      <c r="AU129" s="20" t="s">
        <v>84</v>
      </c>
      <c r="AV129" s="20">
        <v>2.0</v>
      </c>
      <c r="AW129" s="24">
        <v>46190.0</v>
      </c>
      <c r="AX129" s="20" t="s">
        <v>86</v>
      </c>
      <c r="AY129" s="20" t="s">
        <v>84</v>
      </c>
      <c r="AZ129" s="20">
        <v>2.0</v>
      </c>
      <c r="BA129" s="24">
        <v>46190.0</v>
      </c>
      <c r="BB129" s="20" t="s">
        <v>84</v>
      </c>
      <c r="BC129" s="28">
        <v>2.0</v>
      </c>
      <c r="BD129" s="134">
        <v>46190.0</v>
      </c>
      <c r="BE129" s="20">
        <f>DAY(' En tramite 23-26'!$BD129)</f>
        <v>17</v>
      </c>
      <c r="BF129" s="24" t="str">
        <f>TEXT(' En tramite 23-26'!$BD129,"mmmm")</f>
        <v>junio</v>
      </c>
      <c r="BG129" s="20">
        <f>YEAR(' En tramite 23-26'!$BD129)</f>
        <v>2026</v>
      </c>
      <c r="BH129" s="29">
        <v>1.0</v>
      </c>
      <c r="BI129" s="26" t="s">
        <v>1070</v>
      </c>
      <c r="BJ129" s="30" t="s">
        <v>88</v>
      </c>
      <c r="BK129" s="31" t="s">
        <v>89</v>
      </c>
      <c r="BL129" s="32">
        <v>46213.0</v>
      </c>
      <c r="BM129" s="33">
        <v>2.0</v>
      </c>
    </row>
    <row r="130" ht="16.5" customHeight="1">
      <c r="A130" s="28" t="s">
        <v>1071</v>
      </c>
      <c r="B130" s="34"/>
      <c r="C130" s="119"/>
      <c r="D130" s="41" t="s">
        <v>1072</v>
      </c>
      <c r="E130" s="15" t="s">
        <v>1073</v>
      </c>
      <c r="F130" s="42" t="s">
        <v>1074</v>
      </c>
      <c r="G130" s="42">
        <v>4.424065338E9</v>
      </c>
      <c r="H130" s="43" t="s">
        <v>1075</v>
      </c>
      <c r="I130" s="41"/>
      <c r="J130" s="41" t="s">
        <v>109</v>
      </c>
      <c r="K130" s="41" t="s">
        <v>74</v>
      </c>
      <c r="L130" s="44" t="s">
        <v>200</v>
      </c>
      <c r="M130" s="13" t="s">
        <v>142</v>
      </c>
      <c r="N130" s="41" t="s">
        <v>726</v>
      </c>
      <c r="O130" s="41" t="s">
        <v>97</v>
      </c>
      <c r="P130" s="44" t="s">
        <v>95</v>
      </c>
      <c r="Q130" s="44">
        <v>4.423622063E9</v>
      </c>
      <c r="R130" s="41" t="s">
        <v>98</v>
      </c>
      <c r="S130" s="47" t="s">
        <v>99</v>
      </c>
      <c r="T130" s="46" t="s">
        <v>81</v>
      </c>
      <c r="U130" s="47" t="s">
        <v>100</v>
      </c>
      <c r="V130" s="101">
        <v>1.0</v>
      </c>
      <c r="W130" s="111" t="s">
        <v>83</v>
      </c>
      <c r="X130" s="44" t="s">
        <v>84</v>
      </c>
      <c r="Y130" s="49">
        <v>2.0</v>
      </c>
      <c r="Z130" s="50">
        <v>46079.0</v>
      </c>
      <c r="AA130" s="44">
        <f>DAY(Tabla1[F. INICIO])</f>
        <v>26</v>
      </c>
      <c r="AB130" s="51" t="str">
        <f>TEXT(' En tramite 23-26'!$Z130,"mmmm")</f>
        <v>febrero</v>
      </c>
      <c r="AC130" s="44">
        <f>YEAR(' En tramite 23-26'!$Z130)</f>
        <v>2026</v>
      </c>
      <c r="AD130" s="44" t="s">
        <v>84</v>
      </c>
      <c r="AE130" s="49">
        <v>2.0</v>
      </c>
      <c r="AF130" s="49">
        <v>46079.0</v>
      </c>
      <c r="AG130" s="44"/>
      <c r="AH130" s="49"/>
      <c r="AI130" s="49"/>
      <c r="AJ130" s="44"/>
      <c r="AK130" s="44"/>
      <c r="AL130" s="44"/>
      <c r="AM130" s="44"/>
      <c r="AN130" s="49"/>
      <c r="AO130" s="49"/>
      <c r="AP130" s="44"/>
      <c r="AQ130" s="49"/>
      <c r="AR130" s="49"/>
      <c r="AS130" s="103">
        <f>' En tramite 23-26'!$AI130+45</f>
        <v>45</v>
      </c>
      <c r="AT130" s="44"/>
      <c r="AU130" s="44"/>
      <c r="AV130" s="44"/>
      <c r="AW130" s="49">
        <f>' En tramite 23-26'!$AS130+45</f>
        <v>90</v>
      </c>
      <c r="AX130" s="44"/>
      <c r="AY130" s="44"/>
      <c r="AZ130" s="44"/>
      <c r="BA130" s="49"/>
      <c r="BB130" s="44"/>
      <c r="BC130" s="12"/>
      <c r="BD130" s="49"/>
      <c r="BE130" s="44">
        <f>DAY(' En tramite 23-26'!$BD130)</f>
        <v>30</v>
      </c>
      <c r="BF130" s="49" t="str">
        <f>TEXT(' En tramite 23-26'!$BD130,"mmmm")</f>
        <v>diciembre</v>
      </c>
      <c r="BG130" s="44">
        <f>YEAR(' En tramite 23-26'!$BD130)</f>
        <v>1899</v>
      </c>
      <c r="BH130" s="53"/>
      <c r="BI130" s="34"/>
      <c r="BJ130" s="34"/>
      <c r="BK130" s="54"/>
      <c r="BL130" s="13"/>
      <c r="BM130" s="58"/>
    </row>
    <row r="131" ht="16.5" customHeight="1">
      <c r="A131" s="28" t="s">
        <v>1076</v>
      </c>
      <c r="B131" s="34"/>
      <c r="C131" s="13"/>
      <c r="D131" s="41" t="s">
        <v>1077</v>
      </c>
      <c r="E131" s="15" t="s">
        <v>1078</v>
      </c>
      <c r="F131" s="42" t="s">
        <v>1079</v>
      </c>
      <c r="G131" s="42">
        <v>4.424532045E9</v>
      </c>
      <c r="H131" s="43" t="s">
        <v>1080</v>
      </c>
      <c r="I131" s="41" t="s">
        <v>857</v>
      </c>
      <c r="J131" s="41" t="s">
        <v>73</v>
      </c>
      <c r="K131" s="41" t="s">
        <v>155</v>
      </c>
      <c r="L131" s="44" t="s">
        <v>200</v>
      </c>
      <c r="M131" s="13" t="s">
        <v>142</v>
      </c>
      <c r="N131" s="41" t="s">
        <v>1081</v>
      </c>
      <c r="O131" s="41" t="s">
        <v>97</v>
      </c>
      <c r="P131" s="44" t="s">
        <v>78</v>
      </c>
      <c r="Q131" s="44">
        <v>4.422387834E9</v>
      </c>
      <c r="R131" s="44" t="s">
        <v>1082</v>
      </c>
      <c r="S131" s="45" t="s">
        <v>1083</v>
      </c>
      <c r="T131" s="46" t="s">
        <v>81</v>
      </c>
      <c r="U131" s="47" t="s">
        <v>100</v>
      </c>
      <c r="V131" s="95">
        <v>1.0</v>
      </c>
      <c r="W131" s="44" t="s">
        <v>83</v>
      </c>
      <c r="X131" s="44" t="s">
        <v>84</v>
      </c>
      <c r="Y131" s="49">
        <v>2.0</v>
      </c>
      <c r="Z131" s="50">
        <v>46063.0</v>
      </c>
      <c r="AA131" s="44">
        <f>DAY(Tabla1[F. INICIO])</f>
        <v>10</v>
      </c>
      <c r="AB131" s="51" t="str">
        <f>TEXT(' En tramite 23-26'!$Z131,"mmmm")</f>
        <v>febrero</v>
      </c>
      <c r="AC131" s="44">
        <f>YEAR(' En tramite 23-26'!$Z131)</f>
        <v>2026</v>
      </c>
      <c r="AD131" s="44" t="s">
        <v>84</v>
      </c>
      <c r="AE131" s="49">
        <v>2.0</v>
      </c>
      <c r="AF131" s="49">
        <v>46063.0</v>
      </c>
      <c r="AG131" s="44" t="s">
        <v>84</v>
      </c>
      <c r="AH131" s="44">
        <v>2.0</v>
      </c>
      <c r="AI131" s="49">
        <v>46063.0</v>
      </c>
      <c r="AJ131" s="44">
        <f>DAY(' En tramite 23-26'!$AI131)</f>
        <v>10</v>
      </c>
      <c r="AK131" s="44" t="str">
        <f>TEXT(' En tramite 23-26'!$AI131,"mmmm")</f>
        <v>febrero</v>
      </c>
      <c r="AL131" s="44">
        <f>YEAR(' En tramite 23-26'!$Z131)</f>
        <v>2026</v>
      </c>
      <c r="AM131" s="44" t="s">
        <v>84</v>
      </c>
      <c r="AN131" s="49">
        <v>2.0</v>
      </c>
      <c r="AO131" s="44"/>
      <c r="AP131" s="44"/>
      <c r="AQ131" s="49"/>
      <c r="AR131" s="44"/>
      <c r="AS131" s="103">
        <f>' En tramite 23-26'!$AI131+45</f>
        <v>46108</v>
      </c>
      <c r="AT131" s="44"/>
      <c r="AU131" s="44"/>
      <c r="AV131" s="44"/>
      <c r="AW131" s="49">
        <f>' En tramite 23-26'!$AS131+45</f>
        <v>46153</v>
      </c>
      <c r="AX131" s="44"/>
      <c r="AY131" s="44"/>
      <c r="AZ131" s="44"/>
      <c r="BA131" s="44"/>
      <c r="BB131" s="44"/>
      <c r="BC131" s="12"/>
      <c r="BD131" s="44"/>
      <c r="BE131" s="44">
        <f>DAY(' En tramite 23-26'!$BD131)</f>
        <v>30</v>
      </c>
      <c r="BF131" s="49" t="str">
        <f>TEXT(' En tramite 23-26'!$BD131,"mmmm")</f>
        <v>diciembre</v>
      </c>
      <c r="BG131" s="44">
        <f>YEAR(' En tramite 23-26'!$BD131)</f>
        <v>1899</v>
      </c>
      <c r="BH131" s="44"/>
      <c r="BI131" s="44"/>
      <c r="BJ131" s="44"/>
      <c r="BK131" s="54"/>
      <c r="BL131" s="13"/>
      <c r="BM131" s="58"/>
    </row>
    <row r="132" ht="16.5" customHeight="1">
      <c r="A132" s="28" t="s">
        <v>1084</v>
      </c>
      <c r="B132" s="34"/>
      <c r="C132" s="13"/>
      <c r="D132" s="62" t="s">
        <v>1085</v>
      </c>
      <c r="E132" s="15" t="s">
        <v>1086</v>
      </c>
      <c r="F132" s="63" t="s">
        <v>1087</v>
      </c>
      <c r="G132" s="63">
        <v>4.425943705E9</v>
      </c>
      <c r="H132" s="64" t="s">
        <v>1088</v>
      </c>
      <c r="I132" s="62" t="s">
        <v>800</v>
      </c>
      <c r="J132" s="62" t="s">
        <v>73</v>
      </c>
      <c r="K132" s="62" t="s">
        <v>110</v>
      </c>
      <c r="L132" s="65" t="s">
        <v>75</v>
      </c>
      <c r="M132" s="66" t="s">
        <v>14</v>
      </c>
      <c r="N132" s="62" t="s">
        <v>1089</v>
      </c>
      <c r="O132" s="62" t="s">
        <v>131</v>
      </c>
      <c r="P132" s="67" t="s">
        <v>78</v>
      </c>
      <c r="Q132" s="67">
        <v>4.423761076E9</v>
      </c>
      <c r="R132" s="67" t="s">
        <v>1090</v>
      </c>
      <c r="S132" s="68" t="s">
        <v>1091</v>
      </c>
      <c r="T132" s="69" t="s">
        <v>81</v>
      </c>
      <c r="U132" s="70" t="s">
        <v>100</v>
      </c>
      <c r="V132" s="98">
        <v>1.0</v>
      </c>
      <c r="W132" s="67" t="s">
        <v>83</v>
      </c>
      <c r="X132" s="67" t="s">
        <v>84</v>
      </c>
      <c r="Y132" s="73">
        <v>2.0</v>
      </c>
      <c r="Z132" s="74">
        <v>46064.0</v>
      </c>
      <c r="AA132" s="67">
        <f>DAY(Tabla1[F. INICIO])</f>
        <v>11</v>
      </c>
      <c r="AB132" s="75" t="str">
        <f>TEXT(' En tramite 23-26'!$Z132,"mmmm")</f>
        <v>febrero</v>
      </c>
      <c r="AC132" s="67">
        <f>YEAR(' En tramite 23-26'!$Z132)</f>
        <v>2026</v>
      </c>
      <c r="AD132" s="67" t="s">
        <v>84</v>
      </c>
      <c r="AE132" s="73">
        <v>2.0</v>
      </c>
      <c r="AF132" s="73">
        <v>46064.0</v>
      </c>
      <c r="AG132" s="67" t="s">
        <v>84</v>
      </c>
      <c r="AH132" s="67">
        <v>2.0</v>
      </c>
      <c r="AI132" s="73">
        <v>46070.0</v>
      </c>
      <c r="AJ132" s="67">
        <f>DAY(' En tramite 23-26'!$AI132)</f>
        <v>17</v>
      </c>
      <c r="AK132" s="67" t="str">
        <f>TEXT(' En tramite 23-26'!$AI132,"mmmm")</f>
        <v>febrero</v>
      </c>
      <c r="AL132" s="67">
        <f>YEAR(' En tramite 23-26'!$Z132)</f>
        <v>2026</v>
      </c>
      <c r="AM132" s="67" t="s">
        <v>84</v>
      </c>
      <c r="AN132" s="73">
        <v>3.0</v>
      </c>
      <c r="AO132" s="73">
        <v>46070.0</v>
      </c>
      <c r="AP132" s="67" t="s">
        <v>84</v>
      </c>
      <c r="AQ132" s="73">
        <v>2.0</v>
      </c>
      <c r="AR132" s="73">
        <v>46127.0</v>
      </c>
      <c r="AS132" s="73">
        <f>' En tramite 23-26'!$AI132+45</f>
        <v>46115</v>
      </c>
      <c r="AT132" s="67" t="s">
        <v>85</v>
      </c>
      <c r="AU132" s="67" t="s">
        <v>84</v>
      </c>
      <c r="AV132" s="67">
        <v>2.0</v>
      </c>
      <c r="AW132" s="73">
        <v>46185.0</v>
      </c>
      <c r="AX132" s="67" t="s">
        <v>86</v>
      </c>
      <c r="AY132" s="67" t="s">
        <v>84</v>
      </c>
      <c r="AZ132" s="67">
        <v>2.0</v>
      </c>
      <c r="BA132" s="73">
        <v>46185.0</v>
      </c>
      <c r="BB132" s="67" t="s">
        <v>84</v>
      </c>
      <c r="BC132" s="76">
        <v>2.0</v>
      </c>
      <c r="BD132" s="73">
        <v>46185.0</v>
      </c>
      <c r="BE132" s="67">
        <f>DAY(' En tramite 23-26'!$BD132)</f>
        <v>12</v>
      </c>
      <c r="BF132" s="73" t="str">
        <f>TEXT(' En tramite 23-26'!$BD132,"mmmm")</f>
        <v>junio</v>
      </c>
      <c r="BG132" s="67">
        <f>YEAR(' En tramite 23-26'!$BD132)</f>
        <v>2026</v>
      </c>
      <c r="BH132" s="67"/>
      <c r="BI132" s="67"/>
      <c r="BJ132" s="78" t="s">
        <v>274</v>
      </c>
      <c r="BK132" s="79" t="s">
        <v>275</v>
      </c>
      <c r="BL132" s="66"/>
      <c r="BM132" s="80"/>
    </row>
    <row r="133" ht="16.5" customHeight="1">
      <c r="A133" s="28" t="s">
        <v>1092</v>
      </c>
      <c r="B133" s="34"/>
      <c r="C133" s="13"/>
      <c r="D133" s="62" t="s">
        <v>1093</v>
      </c>
      <c r="E133" s="15" t="s">
        <v>1094</v>
      </c>
      <c r="F133" s="63" t="s">
        <v>1095</v>
      </c>
      <c r="G133" s="63">
        <v>4.428715236E9</v>
      </c>
      <c r="H133" s="64" t="s">
        <v>1096</v>
      </c>
      <c r="I133" s="62" t="s">
        <v>822</v>
      </c>
      <c r="J133" s="62" t="s">
        <v>109</v>
      </c>
      <c r="K133" s="62" t="s">
        <v>110</v>
      </c>
      <c r="L133" s="65" t="s">
        <v>75</v>
      </c>
      <c r="M133" s="66" t="s">
        <v>142</v>
      </c>
      <c r="N133" s="62" t="s">
        <v>219</v>
      </c>
      <c r="O133" s="62" t="s">
        <v>97</v>
      </c>
      <c r="P133" s="67" t="s">
        <v>78</v>
      </c>
      <c r="Q133" s="67">
        <v>4.421477241E9</v>
      </c>
      <c r="R133" s="62" t="s">
        <v>98</v>
      </c>
      <c r="S133" s="68" t="s">
        <v>114</v>
      </c>
      <c r="T133" s="69" t="s">
        <v>81</v>
      </c>
      <c r="U133" s="70" t="s">
        <v>82</v>
      </c>
      <c r="V133" s="98">
        <v>1.0</v>
      </c>
      <c r="W133" s="67" t="s">
        <v>83</v>
      </c>
      <c r="X133" s="67" t="s">
        <v>84</v>
      </c>
      <c r="Y133" s="73">
        <v>2.0</v>
      </c>
      <c r="Z133" s="74">
        <v>46083.0</v>
      </c>
      <c r="AA133" s="67">
        <f>DAY(Tabla1[F. INICIO])</f>
        <v>2</v>
      </c>
      <c r="AB133" s="75" t="str">
        <f>TEXT(' En tramite 23-26'!$Z133,"mmmm")</f>
        <v>marzo</v>
      </c>
      <c r="AC133" s="67">
        <f>YEAR(' En tramite 23-26'!$Z133)</f>
        <v>2026</v>
      </c>
      <c r="AD133" s="67" t="s">
        <v>84</v>
      </c>
      <c r="AE133" s="73">
        <v>2.0</v>
      </c>
      <c r="AF133" s="73">
        <v>46083.0</v>
      </c>
      <c r="AG133" s="67" t="s">
        <v>84</v>
      </c>
      <c r="AH133" s="67">
        <v>2.0</v>
      </c>
      <c r="AI133" s="73">
        <v>46083.0</v>
      </c>
      <c r="AJ133" s="67">
        <f>DAY(' En tramite 23-26'!$AI133)</f>
        <v>2</v>
      </c>
      <c r="AK133" s="67" t="str">
        <f>TEXT(' En tramite 23-26'!$AI133,"mmmm")</f>
        <v>marzo</v>
      </c>
      <c r="AL133" s="67">
        <f>YEAR(' En tramite 23-26'!$Z133)</f>
        <v>2026</v>
      </c>
      <c r="AM133" s="67" t="s">
        <v>84</v>
      </c>
      <c r="AN133" s="73">
        <v>2.0</v>
      </c>
      <c r="AO133" s="73">
        <v>46084.0</v>
      </c>
      <c r="AP133" s="67" t="s">
        <v>84</v>
      </c>
      <c r="AQ133" s="73">
        <v>2.0</v>
      </c>
      <c r="AR133" s="73">
        <v>46130.0</v>
      </c>
      <c r="AS133" s="73">
        <f>' En tramite 23-26'!$AI133+45</f>
        <v>46128</v>
      </c>
      <c r="AT133" s="67" t="s">
        <v>85</v>
      </c>
      <c r="AU133" s="67" t="s">
        <v>84</v>
      </c>
      <c r="AV133" s="67">
        <v>2.0</v>
      </c>
      <c r="AW133" s="73">
        <v>46203.0</v>
      </c>
      <c r="AX133" s="67" t="s">
        <v>86</v>
      </c>
      <c r="AY133" s="67" t="s">
        <v>84</v>
      </c>
      <c r="AZ133" s="67">
        <v>2.0</v>
      </c>
      <c r="BA133" s="73">
        <v>46203.0</v>
      </c>
      <c r="BB133" s="67" t="s">
        <v>84</v>
      </c>
      <c r="BC133" s="76">
        <v>2.0</v>
      </c>
      <c r="BD133" s="73">
        <v>46203.0</v>
      </c>
      <c r="BE133" s="67">
        <f>DAY(' En tramite 23-26'!$BD133)</f>
        <v>30</v>
      </c>
      <c r="BF133" s="73" t="str">
        <f>TEXT(' En tramite 23-26'!$BD133,"mmmm")</f>
        <v>junio</v>
      </c>
      <c r="BG133" s="67">
        <f>YEAR(' En tramite 23-26'!$BD133)</f>
        <v>2026</v>
      </c>
      <c r="BH133" s="67"/>
      <c r="BI133" s="67"/>
      <c r="BJ133" s="78" t="s">
        <v>274</v>
      </c>
      <c r="BK133" s="79" t="s">
        <v>275</v>
      </c>
      <c r="BL133" s="66"/>
      <c r="BM133" s="80"/>
    </row>
    <row r="134" ht="16.5" customHeight="1">
      <c r="A134" s="28" t="s">
        <v>1097</v>
      </c>
      <c r="B134" s="34" t="s">
        <v>816</v>
      </c>
      <c r="C134" s="13" t="s">
        <v>1098</v>
      </c>
      <c r="D134" s="18" t="s">
        <v>1099</v>
      </c>
      <c r="E134" s="15" t="s">
        <v>1100</v>
      </c>
      <c r="F134" s="16" t="s">
        <v>1101</v>
      </c>
      <c r="G134" s="16">
        <v>4.463372755E9</v>
      </c>
      <c r="H134" s="17" t="s">
        <v>1102</v>
      </c>
      <c r="I134" s="18" t="s">
        <v>952</v>
      </c>
      <c r="J134" s="18" t="s">
        <v>109</v>
      </c>
      <c r="K134" s="18" t="s">
        <v>141</v>
      </c>
      <c r="L134" s="19" t="s">
        <v>75</v>
      </c>
      <c r="M134" s="14" t="s">
        <v>111</v>
      </c>
      <c r="N134" s="18" t="s">
        <v>355</v>
      </c>
      <c r="O134" s="18" t="s">
        <v>97</v>
      </c>
      <c r="P134" s="20" t="s">
        <v>78</v>
      </c>
      <c r="Q134" s="20">
        <v>4.421561235E9</v>
      </c>
      <c r="R134" s="18" t="s">
        <v>98</v>
      </c>
      <c r="S134" s="35" t="s">
        <v>166</v>
      </c>
      <c r="T134" s="22" t="s">
        <v>81</v>
      </c>
      <c r="U134" s="21" t="s">
        <v>100</v>
      </c>
      <c r="V134" s="23">
        <v>1.0</v>
      </c>
      <c r="W134" s="20" t="s">
        <v>83</v>
      </c>
      <c r="X134" s="20" t="s">
        <v>84</v>
      </c>
      <c r="Y134" s="24">
        <v>2.0</v>
      </c>
      <c r="Z134" s="25">
        <v>46083.0</v>
      </c>
      <c r="AA134" s="20">
        <f>DAY(Tabla1[F. INICIO])</f>
        <v>2</v>
      </c>
      <c r="AB134" s="26" t="str">
        <f>TEXT(' En tramite 23-26'!$Z134,"mmmm")</f>
        <v>marzo</v>
      </c>
      <c r="AC134" s="20">
        <f>YEAR(' En tramite 23-26'!$Z134)</f>
        <v>2026</v>
      </c>
      <c r="AD134" s="20" t="s">
        <v>84</v>
      </c>
      <c r="AE134" s="24">
        <v>2.0</v>
      </c>
      <c r="AF134" s="24">
        <v>46083.0</v>
      </c>
      <c r="AG134" s="20" t="s">
        <v>84</v>
      </c>
      <c r="AH134" s="20">
        <v>2.0</v>
      </c>
      <c r="AI134" s="24">
        <v>46093.0</v>
      </c>
      <c r="AJ134" s="20">
        <f>DAY(' En tramite 23-26'!$AI134)</f>
        <v>12</v>
      </c>
      <c r="AK134" s="20" t="str">
        <f>TEXT(' En tramite 23-26'!$AI134,"mmmm")</f>
        <v>marzo</v>
      </c>
      <c r="AL134" s="20">
        <f>YEAR(' En tramite 23-26'!$Z134)</f>
        <v>2026</v>
      </c>
      <c r="AM134" s="20" t="s">
        <v>84</v>
      </c>
      <c r="AN134" s="24">
        <v>2.0</v>
      </c>
      <c r="AO134" s="24">
        <v>46097.0</v>
      </c>
      <c r="AP134" s="20" t="s">
        <v>84</v>
      </c>
      <c r="AQ134" s="24">
        <v>2.0</v>
      </c>
      <c r="AR134" s="24">
        <v>46142.0</v>
      </c>
      <c r="AS134" s="24">
        <f>' En tramite 23-26'!$AI134+45</f>
        <v>46138</v>
      </c>
      <c r="AT134" s="20" t="s">
        <v>85</v>
      </c>
      <c r="AU134" s="20" t="s">
        <v>84</v>
      </c>
      <c r="AV134" s="20">
        <v>2.0</v>
      </c>
      <c r="AW134" s="24">
        <f>' En tramite 23-26'!$AS134+45</f>
        <v>46183</v>
      </c>
      <c r="AX134" s="20" t="s">
        <v>86</v>
      </c>
      <c r="AY134" s="20" t="s">
        <v>84</v>
      </c>
      <c r="AZ134" s="20">
        <v>2.0</v>
      </c>
      <c r="BA134" s="24">
        <v>46183.0</v>
      </c>
      <c r="BB134" s="20" t="s">
        <v>84</v>
      </c>
      <c r="BC134" s="28">
        <v>2.0</v>
      </c>
      <c r="BD134" s="24">
        <v>46183.0</v>
      </c>
      <c r="BE134" s="20">
        <f>DAY(' En tramite 23-26'!$BD134)</f>
        <v>10</v>
      </c>
      <c r="BF134" s="24" t="str">
        <f>TEXT(' En tramite 23-26'!$BD134,"mmmm")</f>
        <v>junio</v>
      </c>
      <c r="BG134" s="20">
        <f>YEAR(' En tramite 23-26'!$BD134)</f>
        <v>2026</v>
      </c>
      <c r="BH134" s="29">
        <v>1.0</v>
      </c>
      <c r="BI134" s="26" t="s">
        <v>956</v>
      </c>
      <c r="BJ134" s="30" t="s">
        <v>88</v>
      </c>
      <c r="BK134" s="31" t="s">
        <v>89</v>
      </c>
      <c r="BL134" s="14"/>
      <c r="BM134" s="81"/>
    </row>
    <row r="135" ht="16.5" customHeight="1">
      <c r="A135" s="28" t="s">
        <v>1103</v>
      </c>
      <c r="B135" s="34" t="s">
        <v>827</v>
      </c>
      <c r="C135" s="13" t="s">
        <v>1104</v>
      </c>
      <c r="D135" s="18" t="s">
        <v>1105</v>
      </c>
      <c r="E135" s="15" t="s">
        <v>1106</v>
      </c>
      <c r="F135" s="16" t="s">
        <v>1107</v>
      </c>
      <c r="G135" s="16">
        <v>4.425089436E9</v>
      </c>
      <c r="H135" s="17" t="s">
        <v>1108</v>
      </c>
      <c r="I135" s="18" t="s">
        <v>952</v>
      </c>
      <c r="J135" s="18" t="s">
        <v>109</v>
      </c>
      <c r="K135" s="18" t="s">
        <v>141</v>
      </c>
      <c r="L135" s="19" t="s">
        <v>75</v>
      </c>
      <c r="M135" s="14" t="s">
        <v>111</v>
      </c>
      <c r="N135" s="18" t="s">
        <v>355</v>
      </c>
      <c r="O135" s="18" t="s">
        <v>97</v>
      </c>
      <c r="P135" s="20" t="s">
        <v>78</v>
      </c>
      <c r="Q135" s="20">
        <v>4.421561235E9</v>
      </c>
      <c r="R135" s="18" t="s">
        <v>98</v>
      </c>
      <c r="S135" s="35" t="s">
        <v>166</v>
      </c>
      <c r="T135" s="22" t="s">
        <v>81</v>
      </c>
      <c r="U135" s="21" t="s">
        <v>82</v>
      </c>
      <c r="V135" s="23">
        <v>1.0</v>
      </c>
      <c r="W135" s="20" t="s">
        <v>83</v>
      </c>
      <c r="X135" s="20" t="s">
        <v>84</v>
      </c>
      <c r="Y135" s="24">
        <v>2.0</v>
      </c>
      <c r="Z135" s="25">
        <v>46083.0</v>
      </c>
      <c r="AA135" s="20">
        <f>DAY(Tabla1[F. INICIO])</f>
        <v>2</v>
      </c>
      <c r="AB135" s="26" t="str">
        <f>TEXT(' En tramite 23-26'!$Z135,"mmmm")</f>
        <v>marzo</v>
      </c>
      <c r="AC135" s="20">
        <f>YEAR(' En tramite 23-26'!$Z135)</f>
        <v>2026</v>
      </c>
      <c r="AD135" s="20" t="s">
        <v>84</v>
      </c>
      <c r="AE135" s="24">
        <v>2.0</v>
      </c>
      <c r="AF135" s="24">
        <v>46083.0</v>
      </c>
      <c r="AG135" s="20" t="s">
        <v>84</v>
      </c>
      <c r="AH135" s="20">
        <v>2.0</v>
      </c>
      <c r="AI135" s="24">
        <v>46093.0</v>
      </c>
      <c r="AJ135" s="20">
        <f>DAY(' En tramite 23-26'!$AI135)</f>
        <v>12</v>
      </c>
      <c r="AK135" s="20" t="str">
        <f>TEXT(' En tramite 23-26'!$AI135,"mmmm")</f>
        <v>marzo</v>
      </c>
      <c r="AL135" s="20">
        <f>YEAR(' En tramite 23-26'!$Z135)</f>
        <v>2026</v>
      </c>
      <c r="AM135" s="20" t="s">
        <v>84</v>
      </c>
      <c r="AN135" s="24">
        <v>2.0</v>
      </c>
      <c r="AO135" s="24">
        <v>46097.0</v>
      </c>
      <c r="AP135" s="20" t="s">
        <v>84</v>
      </c>
      <c r="AQ135" s="24">
        <v>2.0</v>
      </c>
      <c r="AR135" s="24">
        <v>46122.0</v>
      </c>
      <c r="AS135" s="24">
        <f>' En tramite 23-26'!$AI135+45</f>
        <v>46138</v>
      </c>
      <c r="AT135" s="20" t="s">
        <v>85</v>
      </c>
      <c r="AU135" s="20" t="s">
        <v>84</v>
      </c>
      <c r="AV135" s="20">
        <v>2.0</v>
      </c>
      <c r="AW135" s="24">
        <f>' En tramite 23-26'!$AS135+45</f>
        <v>46183</v>
      </c>
      <c r="AX135" s="20" t="s">
        <v>86</v>
      </c>
      <c r="AY135" s="20" t="s">
        <v>84</v>
      </c>
      <c r="AZ135" s="20">
        <v>2.0</v>
      </c>
      <c r="BA135" s="24">
        <v>46183.0</v>
      </c>
      <c r="BB135" s="20" t="s">
        <v>84</v>
      </c>
      <c r="BC135" s="28">
        <v>2.0</v>
      </c>
      <c r="BD135" s="24">
        <v>46183.0</v>
      </c>
      <c r="BE135" s="20">
        <f>DAY(' En tramite 23-26'!$BD135)</f>
        <v>10</v>
      </c>
      <c r="BF135" s="24" t="str">
        <f>TEXT(' En tramite 23-26'!$BD135,"mmmm")</f>
        <v>junio</v>
      </c>
      <c r="BG135" s="20">
        <f>YEAR(' En tramite 23-26'!$BD135)</f>
        <v>2026</v>
      </c>
      <c r="BH135" s="29">
        <v>1.0</v>
      </c>
      <c r="BI135" s="26" t="s">
        <v>956</v>
      </c>
      <c r="BJ135" s="30" t="s">
        <v>88</v>
      </c>
      <c r="BK135" s="31" t="s">
        <v>89</v>
      </c>
      <c r="BL135" s="14"/>
      <c r="BM135" s="81"/>
    </row>
    <row r="136" ht="16.5" customHeight="1">
      <c r="A136" s="28" t="s">
        <v>1109</v>
      </c>
      <c r="B136" s="34"/>
      <c r="C136" s="13"/>
      <c r="D136" s="41" t="s">
        <v>1110</v>
      </c>
      <c r="E136" s="15" t="s">
        <v>1111</v>
      </c>
      <c r="F136" s="42" t="s">
        <v>1112</v>
      </c>
      <c r="G136" s="42">
        <v>4.421301518E9</v>
      </c>
      <c r="H136" s="43" t="s">
        <v>1113</v>
      </c>
      <c r="I136" s="41" t="s">
        <v>897</v>
      </c>
      <c r="J136" s="41" t="s">
        <v>73</v>
      </c>
      <c r="K136" s="41" t="s">
        <v>74</v>
      </c>
      <c r="L136" s="44" t="s">
        <v>200</v>
      </c>
      <c r="M136" s="13" t="s">
        <v>14</v>
      </c>
      <c r="N136" s="41" t="s">
        <v>1114</v>
      </c>
      <c r="O136" s="41" t="s">
        <v>211</v>
      </c>
      <c r="P136" s="44" t="s">
        <v>78</v>
      </c>
      <c r="Q136" s="44">
        <v>4.461392884E9</v>
      </c>
      <c r="R136" s="44" t="s">
        <v>1115</v>
      </c>
      <c r="S136" s="45" t="s">
        <v>1116</v>
      </c>
      <c r="T136" s="46" t="s">
        <v>81</v>
      </c>
      <c r="U136" s="47" t="s">
        <v>82</v>
      </c>
      <c r="V136" s="95">
        <v>0.0</v>
      </c>
      <c r="W136" s="135"/>
      <c r="X136" s="44" t="s">
        <v>84</v>
      </c>
      <c r="Y136" s="49">
        <v>2.0</v>
      </c>
      <c r="Z136" s="50">
        <v>46090.0</v>
      </c>
      <c r="AA136" s="44">
        <f>DAY(Tabla1[F. INICIO])</f>
        <v>9</v>
      </c>
      <c r="AB136" s="51" t="str">
        <f>TEXT(' En tramite 23-26'!$Z136,"mmmm")</f>
        <v>marzo</v>
      </c>
      <c r="AC136" s="44">
        <f>YEAR(' En tramite 23-26'!$Z136)</f>
        <v>2026</v>
      </c>
      <c r="AD136" s="44" t="s">
        <v>84</v>
      </c>
      <c r="AE136" s="49">
        <v>2.0</v>
      </c>
      <c r="AF136" s="49">
        <v>46090.0</v>
      </c>
      <c r="AG136" s="44"/>
      <c r="AH136" s="44"/>
      <c r="AI136" s="49"/>
      <c r="AJ136" s="44"/>
      <c r="AK136" s="44"/>
      <c r="AL136" s="44"/>
      <c r="AM136" s="44"/>
      <c r="AN136" s="49"/>
      <c r="AO136" s="49"/>
      <c r="AP136" s="44"/>
      <c r="AQ136" s="49"/>
      <c r="AR136" s="49"/>
      <c r="AS136" s="103">
        <f>' En tramite 23-26'!$AI136+45</f>
        <v>45</v>
      </c>
      <c r="AT136" s="44"/>
      <c r="AU136" s="44"/>
      <c r="AV136" s="44"/>
      <c r="AW136" s="49">
        <f>' En tramite 23-26'!$AS136+45</f>
        <v>90</v>
      </c>
      <c r="AX136" s="44"/>
      <c r="AY136" s="44"/>
      <c r="AZ136" s="44"/>
      <c r="BA136" s="49"/>
      <c r="BB136" s="44"/>
      <c r="BC136" s="12"/>
      <c r="BD136" s="49"/>
      <c r="BE136" s="44">
        <f>DAY(' En tramite 23-26'!$BD136)</f>
        <v>30</v>
      </c>
      <c r="BF136" s="49" t="str">
        <f>TEXT(' En tramite 23-26'!$BD136,"mmmm")</f>
        <v>diciembre</v>
      </c>
      <c r="BG136" s="44">
        <f>YEAR(' En tramite 23-26'!$BD136)</f>
        <v>1899</v>
      </c>
      <c r="BH136" s="53"/>
      <c r="BI136" s="13"/>
      <c r="BJ136" s="44"/>
      <c r="BK136" s="54"/>
      <c r="BL136" s="13"/>
      <c r="BM136" s="58"/>
    </row>
    <row r="137" ht="16.5" customHeight="1">
      <c r="A137" s="28" t="s">
        <v>1117</v>
      </c>
      <c r="B137" s="34"/>
      <c r="C137" s="13"/>
      <c r="D137" s="62" t="s">
        <v>1118</v>
      </c>
      <c r="E137" s="15" t="s">
        <v>1119</v>
      </c>
      <c r="F137" s="63" t="s">
        <v>1120</v>
      </c>
      <c r="G137" s="63">
        <v>4.425994782E9</v>
      </c>
      <c r="H137" s="64" t="s">
        <v>1121</v>
      </c>
      <c r="I137" s="62" t="s">
        <v>1122</v>
      </c>
      <c r="J137" s="62" t="s">
        <v>73</v>
      </c>
      <c r="K137" s="62" t="s">
        <v>129</v>
      </c>
      <c r="L137" s="136" t="s">
        <v>75</v>
      </c>
      <c r="M137" s="66" t="s">
        <v>14</v>
      </c>
      <c r="N137" s="62" t="s">
        <v>631</v>
      </c>
      <c r="O137" s="62" t="s">
        <v>131</v>
      </c>
      <c r="P137" s="67" t="s">
        <v>78</v>
      </c>
      <c r="Q137" s="67">
        <v>4.423722768E9</v>
      </c>
      <c r="R137" s="67" t="s">
        <v>632</v>
      </c>
      <c r="S137" s="68" t="s">
        <v>633</v>
      </c>
      <c r="T137" s="69" t="s">
        <v>81</v>
      </c>
      <c r="U137" s="70" t="s">
        <v>82</v>
      </c>
      <c r="V137" s="98">
        <v>1.0</v>
      </c>
      <c r="W137" s="67" t="s">
        <v>83</v>
      </c>
      <c r="X137" s="67" t="s">
        <v>84</v>
      </c>
      <c r="Y137" s="73">
        <v>2.0</v>
      </c>
      <c r="Z137" s="74">
        <v>46090.0</v>
      </c>
      <c r="AA137" s="67">
        <f>DAY(Tabla1[F. INICIO])</f>
        <v>9</v>
      </c>
      <c r="AB137" s="75" t="str">
        <f>TEXT(' En tramite 23-26'!$Z137,"mmmm")</f>
        <v>marzo</v>
      </c>
      <c r="AC137" s="67">
        <f>YEAR(' En tramite 23-26'!$Z137)</f>
        <v>2026</v>
      </c>
      <c r="AD137" s="67" t="s">
        <v>84</v>
      </c>
      <c r="AE137" s="73">
        <v>2.0</v>
      </c>
      <c r="AF137" s="73">
        <v>46090.0</v>
      </c>
      <c r="AG137" s="67" t="s">
        <v>84</v>
      </c>
      <c r="AH137" s="67">
        <v>2.0</v>
      </c>
      <c r="AI137" s="73">
        <v>46098.0</v>
      </c>
      <c r="AJ137" s="67">
        <f>DAY(' En tramite 23-26'!$AI137)</f>
        <v>17</v>
      </c>
      <c r="AK137" s="67" t="str">
        <f>TEXT(' En tramite 23-26'!$AI137,"mmmm")</f>
        <v>marzo</v>
      </c>
      <c r="AL137" s="67">
        <f>YEAR(' En tramite 23-26'!$Z137)</f>
        <v>2026</v>
      </c>
      <c r="AM137" s="67" t="s">
        <v>84</v>
      </c>
      <c r="AN137" s="73">
        <v>2.0</v>
      </c>
      <c r="AO137" s="73">
        <v>46098.0</v>
      </c>
      <c r="AP137" s="67" t="s">
        <v>84</v>
      </c>
      <c r="AQ137" s="73">
        <v>2.0</v>
      </c>
      <c r="AR137" s="73">
        <v>46158.0</v>
      </c>
      <c r="AS137" s="73">
        <f>' En tramite 23-26'!$AI137+45</f>
        <v>46143</v>
      </c>
      <c r="AT137" s="67" t="s">
        <v>85</v>
      </c>
      <c r="AU137" s="67" t="s">
        <v>84</v>
      </c>
      <c r="AV137" s="67">
        <v>2.0</v>
      </c>
      <c r="AW137" s="73">
        <f>' En tramite 23-26'!$AS137+45</f>
        <v>46188</v>
      </c>
      <c r="AX137" s="67" t="s">
        <v>86</v>
      </c>
      <c r="AY137" s="67" t="s">
        <v>84</v>
      </c>
      <c r="AZ137" s="67">
        <v>2.0</v>
      </c>
      <c r="BA137" s="73">
        <v>46188.0</v>
      </c>
      <c r="BB137" s="67" t="s">
        <v>84</v>
      </c>
      <c r="BC137" s="76">
        <v>2.0</v>
      </c>
      <c r="BD137" s="73">
        <v>46188.0</v>
      </c>
      <c r="BE137" s="67">
        <f>DAY(' En tramite 23-26'!$BD137)</f>
        <v>15</v>
      </c>
      <c r="BF137" s="73" t="str">
        <f>TEXT(' En tramite 23-26'!$BD137,"mmmm")</f>
        <v>junio</v>
      </c>
      <c r="BG137" s="67">
        <f>YEAR(' En tramite 23-26'!$BD137)</f>
        <v>2026</v>
      </c>
      <c r="BH137" s="67"/>
      <c r="BI137" s="67"/>
      <c r="BJ137" s="78" t="s">
        <v>274</v>
      </c>
      <c r="BK137" s="79" t="s">
        <v>275</v>
      </c>
      <c r="BL137" s="66"/>
      <c r="BM137" s="80"/>
    </row>
    <row r="138" ht="16.5" customHeight="1">
      <c r="A138" s="28" t="s">
        <v>1123</v>
      </c>
      <c r="B138" s="34"/>
      <c r="C138" s="13"/>
      <c r="D138" s="62" t="s">
        <v>1124</v>
      </c>
      <c r="E138" s="15" t="s">
        <v>1125</v>
      </c>
      <c r="F138" s="63" t="s">
        <v>1120</v>
      </c>
      <c r="G138" s="63">
        <v>2.371192112E9</v>
      </c>
      <c r="H138" s="64" t="s">
        <v>1126</v>
      </c>
      <c r="I138" s="62" t="s">
        <v>952</v>
      </c>
      <c r="J138" s="62" t="s">
        <v>109</v>
      </c>
      <c r="K138" s="62" t="s">
        <v>141</v>
      </c>
      <c r="L138" s="136" t="s">
        <v>75</v>
      </c>
      <c r="M138" s="66" t="s">
        <v>111</v>
      </c>
      <c r="N138" s="62" t="s">
        <v>219</v>
      </c>
      <c r="O138" s="62" t="s">
        <v>97</v>
      </c>
      <c r="P138" s="67" t="s">
        <v>78</v>
      </c>
      <c r="Q138" s="67">
        <v>4.421561235E9</v>
      </c>
      <c r="R138" s="62" t="s">
        <v>98</v>
      </c>
      <c r="S138" s="68" t="s">
        <v>166</v>
      </c>
      <c r="T138" s="69" t="s">
        <v>81</v>
      </c>
      <c r="U138" s="70" t="s">
        <v>100</v>
      </c>
      <c r="V138" s="71">
        <v>1.0</v>
      </c>
      <c r="W138" s="67" t="s">
        <v>83</v>
      </c>
      <c r="X138" s="67" t="s">
        <v>84</v>
      </c>
      <c r="Y138" s="73">
        <v>2.0</v>
      </c>
      <c r="Z138" s="74">
        <v>46092.0</v>
      </c>
      <c r="AA138" s="67">
        <f>DAY(Tabla1[F. INICIO])</f>
        <v>11</v>
      </c>
      <c r="AB138" s="75" t="str">
        <f>TEXT(' En tramite 23-26'!$Z138,"mmmm")</f>
        <v>marzo</v>
      </c>
      <c r="AC138" s="67">
        <f>YEAR(' En tramite 23-26'!$Z138)</f>
        <v>2026</v>
      </c>
      <c r="AD138" s="67" t="s">
        <v>84</v>
      </c>
      <c r="AE138" s="73">
        <v>2.0</v>
      </c>
      <c r="AF138" s="73">
        <v>46092.0</v>
      </c>
      <c r="AG138" s="67" t="s">
        <v>84</v>
      </c>
      <c r="AH138" s="67">
        <v>2.0</v>
      </c>
      <c r="AI138" s="73">
        <v>46092.0</v>
      </c>
      <c r="AJ138" s="67">
        <f>DAY(' En tramite 23-26'!$AI138)</f>
        <v>11</v>
      </c>
      <c r="AK138" s="67" t="str">
        <f>TEXT(' En tramite 23-26'!$AI138,"mmmm")</f>
        <v>marzo</v>
      </c>
      <c r="AL138" s="67">
        <f>YEAR(' En tramite 23-26'!$Z138)</f>
        <v>2026</v>
      </c>
      <c r="AM138" s="67" t="s">
        <v>84</v>
      </c>
      <c r="AN138" s="73">
        <v>2.0</v>
      </c>
      <c r="AO138" s="73">
        <v>46092.0</v>
      </c>
      <c r="AP138" s="67" t="s">
        <v>84</v>
      </c>
      <c r="AQ138" s="73">
        <v>2.0</v>
      </c>
      <c r="AR138" s="73">
        <v>46157.0</v>
      </c>
      <c r="AS138" s="73">
        <f>' En tramite 23-26'!$AI138+45</f>
        <v>46137</v>
      </c>
      <c r="AT138" s="67" t="s">
        <v>85</v>
      </c>
      <c r="AU138" s="67" t="s">
        <v>84</v>
      </c>
      <c r="AV138" s="67">
        <v>2.0</v>
      </c>
      <c r="AW138" s="73">
        <f>' En tramite 23-26'!$AS138+45</f>
        <v>46182</v>
      </c>
      <c r="AX138" s="67" t="s">
        <v>86</v>
      </c>
      <c r="AY138" s="67" t="s">
        <v>84</v>
      </c>
      <c r="AZ138" s="67">
        <v>2.0</v>
      </c>
      <c r="BA138" s="73">
        <v>46182.0</v>
      </c>
      <c r="BB138" s="67" t="s">
        <v>84</v>
      </c>
      <c r="BC138" s="76">
        <v>2.0</v>
      </c>
      <c r="BD138" s="73">
        <v>46182.0</v>
      </c>
      <c r="BE138" s="67">
        <f>DAY(' En tramite 23-26'!$BD138)</f>
        <v>9</v>
      </c>
      <c r="BF138" s="73" t="str">
        <f>TEXT(' En tramite 23-26'!$BD138,"mmmm")</f>
        <v>junio</v>
      </c>
      <c r="BG138" s="67">
        <f>YEAR(' En tramite 23-26'!$BD138)</f>
        <v>2026</v>
      </c>
      <c r="BH138" s="77"/>
      <c r="BI138" s="78"/>
      <c r="BJ138" s="78" t="s">
        <v>274</v>
      </c>
      <c r="BK138" s="79" t="s">
        <v>275</v>
      </c>
      <c r="BL138" s="66"/>
      <c r="BM138" s="80"/>
    </row>
    <row r="139" ht="16.5" customHeight="1">
      <c r="A139" s="28" t="s">
        <v>1127</v>
      </c>
      <c r="B139" s="34"/>
      <c r="C139" s="13"/>
      <c r="D139" s="62" t="s">
        <v>1128</v>
      </c>
      <c r="E139" s="15" t="s">
        <v>1129</v>
      </c>
      <c r="F139" s="63" t="s">
        <v>1130</v>
      </c>
      <c r="G139" s="63">
        <v>7.822204786E9</v>
      </c>
      <c r="H139" s="64" t="s">
        <v>1131</v>
      </c>
      <c r="I139" s="62" t="s">
        <v>993</v>
      </c>
      <c r="J139" s="62" t="s">
        <v>109</v>
      </c>
      <c r="K139" s="62" t="s">
        <v>155</v>
      </c>
      <c r="L139" s="65" t="s">
        <v>75</v>
      </c>
      <c r="M139" s="66" t="s">
        <v>14</v>
      </c>
      <c r="N139" s="62" t="s">
        <v>1132</v>
      </c>
      <c r="O139" s="62" t="s">
        <v>131</v>
      </c>
      <c r="P139" s="67" t="s">
        <v>78</v>
      </c>
      <c r="Q139" s="67">
        <v>5.633999328E9</v>
      </c>
      <c r="R139" s="67" t="s">
        <v>1133</v>
      </c>
      <c r="S139" s="68" t="s">
        <v>1134</v>
      </c>
      <c r="T139" s="69" t="s">
        <v>81</v>
      </c>
      <c r="U139" s="70" t="s">
        <v>82</v>
      </c>
      <c r="V139" s="98">
        <v>1.0</v>
      </c>
      <c r="W139" s="67" t="s">
        <v>83</v>
      </c>
      <c r="X139" s="67" t="s">
        <v>84</v>
      </c>
      <c r="Y139" s="73">
        <v>3.0</v>
      </c>
      <c r="Z139" s="74">
        <v>46111.0</v>
      </c>
      <c r="AA139" s="67">
        <f>DAY(Tabla1[F. INICIO])</f>
        <v>30</v>
      </c>
      <c r="AB139" s="75" t="str">
        <f>TEXT(' En tramite 23-26'!$Z139,"mmmm")</f>
        <v>marzo</v>
      </c>
      <c r="AC139" s="67">
        <f>YEAR(' En tramite 23-26'!$Z139)</f>
        <v>2026</v>
      </c>
      <c r="AD139" s="67" t="s">
        <v>84</v>
      </c>
      <c r="AE139" s="73">
        <v>2.0</v>
      </c>
      <c r="AF139" s="73">
        <v>46111.0</v>
      </c>
      <c r="AG139" s="67" t="s">
        <v>84</v>
      </c>
      <c r="AH139" s="67">
        <v>2.0</v>
      </c>
      <c r="AI139" s="73">
        <v>46111.0</v>
      </c>
      <c r="AJ139" s="67"/>
      <c r="AK139" s="67"/>
      <c r="AL139" s="67"/>
      <c r="AM139" s="67" t="s">
        <v>84</v>
      </c>
      <c r="AN139" s="73">
        <v>2.0</v>
      </c>
      <c r="AO139" s="73">
        <v>46111.0</v>
      </c>
      <c r="AP139" s="67" t="s">
        <v>84</v>
      </c>
      <c r="AQ139" s="73">
        <v>2.0</v>
      </c>
      <c r="AR139" s="73">
        <v>46148.0</v>
      </c>
      <c r="AS139" s="73">
        <f>' En tramite 23-26'!$AI139+45</f>
        <v>46156</v>
      </c>
      <c r="AT139" s="67" t="s">
        <v>85</v>
      </c>
      <c r="AU139" s="67" t="s">
        <v>84</v>
      </c>
      <c r="AV139" s="67">
        <v>2.0</v>
      </c>
      <c r="AW139" s="73">
        <v>46202.0</v>
      </c>
      <c r="AX139" s="67" t="s">
        <v>86</v>
      </c>
      <c r="AY139" s="67" t="s">
        <v>84</v>
      </c>
      <c r="AZ139" s="67">
        <v>2.0</v>
      </c>
      <c r="BA139" s="73">
        <v>46202.0</v>
      </c>
      <c r="BB139" s="67" t="s">
        <v>84</v>
      </c>
      <c r="BC139" s="76">
        <v>2.0</v>
      </c>
      <c r="BD139" s="73">
        <v>46202.0</v>
      </c>
      <c r="BE139" s="67">
        <f>DAY(' En tramite 23-26'!$BD139)</f>
        <v>29</v>
      </c>
      <c r="BF139" s="73" t="str">
        <f>TEXT(' En tramite 23-26'!$BD139,"mmmm")</f>
        <v>junio</v>
      </c>
      <c r="BG139" s="67">
        <f>YEAR(' En tramite 23-26'!$BD139)</f>
        <v>2026</v>
      </c>
      <c r="BH139" s="67"/>
      <c r="BI139" s="67"/>
      <c r="BJ139" s="78" t="s">
        <v>274</v>
      </c>
      <c r="BK139" s="79" t="s">
        <v>275</v>
      </c>
      <c r="BL139" s="66"/>
      <c r="BM139" s="80"/>
    </row>
    <row r="140" ht="16.5" customHeight="1">
      <c r="A140" s="28" t="s">
        <v>1135</v>
      </c>
      <c r="B140" s="34"/>
      <c r="C140" s="13"/>
      <c r="D140" s="62" t="s">
        <v>1136</v>
      </c>
      <c r="E140" s="15" t="s">
        <v>1137</v>
      </c>
      <c r="F140" s="63" t="s">
        <v>1138</v>
      </c>
      <c r="G140" s="63">
        <v>5.578900855E9</v>
      </c>
      <c r="H140" s="64" t="s">
        <v>1139</v>
      </c>
      <c r="I140" s="62" t="s">
        <v>952</v>
      </c>
      <c r="J140" s="62" t="s">
        <v>109</v>
      </c>
      <c r="K140" s="62" t="s">
        <v>141</v>
      </c>
      <c r="L140" s="65" t="s">
        <v>75</v>
      </c>
      <c r="M140" s="66" t="s">
        <v>142</v>
      </c>
      <c r="N140" s="62" t="s">
        <v>1140</v>
      </c>
      <c r="O140" s="62" t="s">
        <v>97</v>
      </c>
      <c r="P140" s="67" t="s">
        <v>78</v>
      </c>
      <c r="Q140" s="67">
        <v>4.4223876E9</v>
      </c>
      <c r="R140" s="67" t="s">
        <v>1141</v>
      </c>
      <c r="S140" s="68" t="s">
        <v>83</v>
      </c>
      <c r="T140" s="69" t="s">
        <v>81</v>
      </c>
      <c r="U140" s="70" t="s">
        <v>100</v>
      </c>
      <c r="V140" s="98">
        <v>0.0</v>
      </c>
      <c r="W140" s="67"/>
      <c r="X140" s="67" t="s">
        <v>84</v>
      </c>
      <c r="Y140" s="73">
        <v>2.0</v>
      </c>
      <c r="Z140" s="74">
        <v>46099.0</v>
      </c>
      <c r="AA140" s="67">
        <f>DAY(Tabla1[F. INICIO])</f>
        <v>18</v>
      </c>
      <c r="AB140" s="75" t="str">
        <f>TEXT(' En tramite 23-26'!$Z140,"mmmm")</f>
        <v>marzo</v>
      </c>
      <c r="AC140" s="67">
        <f>YEAR(' En tramite 23-26'!$Z140)</f>
        <v>2026</v>
      </c>
      <c r="AD140" s="67" t="s">
        <v>84</v>
      </c>
      <c r="AE140" s="73">
        <v>2.0</v>
      </c>
      <c r="AF140" s="73">
        <v>46099.0</v>
      </c>
      <c r="AG140" s="67" t="s">
        <v>84</v>
      </c>
      <c r="AH140" s="67">
        <v>2.0</v>
      </c>
      <c r="AI140" s="73">
        <v>46106.0</v>
      </c>
      <c r="AJ140" s="67">
        <f>DAY(' En tramite 23-26'!$AI140)</f>
        <v>25</v>
      </c>
      <c r="AK140" s="67" t="str">
        <f>TEXT(' En tramite 23-26'!$AI140,"mmmm")</f>
        <v>marzo</v>
      </c>
      <c r="AL140" s="67">
        <f>YEAR(' En tramite 23-26'!$Z140)</f>
        <v>2026</v>
      </c>
      <c r="AM140" s="67" t="s">
        <v>84</v>
      </c>
      <c r="AN140" s="73">
        <v>2.0</v>
      </c>
      <c r="AO140" s="73">
        <v>46106.0</v>
      </c>
      <c r="AP140" s="67" t="s">
        <v>84</v>
      </c>
      <c r="AQ140" s="73">
        <v>2.0</v>
      </c>
      <c r="AR140" s="73">
        <v>46154.0</v>
      </c>
      <c r="AS140" s="73">
        <f>' En tramite 23-26'!$AI140+45</f>
        <v>46151</v>
      </c>
      <c r="AT140" s="67" t="s">
        <v>85</v>
      </c>
      <c r="AU140" s="67" t="s">
        <v>84</v>
      </c>
      <c r="AV140" s="67">
        <v>2.0</v>
      </c>
      <c r="AW140" s="73">
        <v>46198.0</v>
      </c>
      <c r="AX140" s="67" t="s">
        <v>86</v>
      </c>
      <c r="AY140" s="67" t="s">
        <v>84</v>
      </c>
      <c r="AZ140" s="67">
        <v>2.0</v>
      </c>
      <c r="BA140" s="73">
        <v>46198.0</v>
      </c>
      <c r="BB140" s="67" t="s">
        <v>84</v>
      </c>
      <c r="BC140" s="76">
        <v>2.0</v>
      </c>
      <c r="BD140" s="73">
        <v>46198.0</v>
      </c>
      <c r="BE140" s="67">
        <f>DAY(' En tramite 23-26'!$BD140)</f>
        <v>25</v>
      </c>
      <c r="BF140" s="73" t="str">
        <f>TEXT(' En tramite 23-26'!$BD140,"mmmm")</f>
        <v>junio</v>
      </c>
      <c r="BG140" s="67">
        <f>YEAR(' En tramite 23-26'!$BD140)</f>
        <v>2026</v>
      </c>
      <c r="BH140" s="67"/>
      <c r="BI140" s="67"/>
      <c r="BJ140" s="78" t="s">
        <v>274</v>
      </c>
      <c r="BK140" s="79" t="s">
        <v>275</v>
      </c>
      <c r="BL140" s="66"/>
      <c r="BM140" s="80"/>
    </row>
    <row r="141" ht="16.5" customHeight="1">
      <c r="A141" s="28" t="s">
        <v>1142</v>
      </c>
      <c r="B141" s="34" t="s">
        <v>833</v>
      </c>
      <c r="C141" s="13" t="s">
        <v>1143</v>
      </c>
      <c r="D141" s="18" t="s">
        <v>1144</v>
      </c>
      <c r="E141" s="15" t="s">
        <v>1145</v>
      </c>
      <c r="F141" s="16" t="s">
        <v>1146</v>
      </c>
      <c r="G141" s="16">
        <v>4.42204713E9</v>
      </c>
      <c r="H141" s="17" t="s">
        <v>1147</v>
      </c>
      <c r="I141" s="18" t="s">
        <v>993</v>
      </c>
      <c r="J141" s="18" t="s">
        <v>109</v>
      </c>
      <c r="K141" s="18" t="s">
        <v>155</v>
      </c>
      <c r="L141" s="19" t="s">
        <v>75</v>
      </c>
      <c r="M141" s="14" t="s">
        <v>14</v>
      </c>
      <c r="N141" s="18" t="s">
        <v>1148</v>
      </c>
      <c r="O141" s="18" t="s">
        <v>77</v>
      </c>
      <c r="P141" s="20" t="s">
        <v>78</v>
      </c>
      <c r="Q141" s="20">
        <v>4.46118246E9</v>
      </c>
      <c r="R141" s="20" t="s">
        <v>1149</v>
      </c>
      <c r="S141" s="18" t="s">
        <v>83</v>
      </c>
      <c r="T141" s="22" t="s">
        <v>81</v>
      </c>
      <c r="U141" s="21" t="s">
        <v>82</v>
      </c>
      <c r="V141" s="86">
        <v>1.0</v>
      </c>
      <c r="W141" s="20" t="s">
        <v>83</v>
      </c>
      <c r="X141" s="20" t="s">
        <v>84</v>
      </c>
      <c r="Y141" s="24">
        <v>13.0</v>
      </c>
      <c r="Z141" s="25">
        <v>46101.0</v>
      </c>
      <c r="AA141" s="20">
        <f>DAY(Tabla1[F. INICIO])</f>
        <v>20</v>
      </c>
      <c r="AB141" s="26" t="str">
        <f>TEXT(' En tramite 23-26'!$Z141,"mmmm")</f>
        <v>marzo</v>
      </c>
      <c r="AC141" s="20">
        <f>YEAR(' En tramite 23-26'!$Z141)</f>
        <v>2026</v>
      </c>
      <c r="AD141" s="20" t="s">
        <v>84</v>
      </c>
      <c r="AE141" s="24">
        <v>2.0</v>
      </c>
      <c r="AF141" s="25">
        <v>46101.0</v>
      </c>
      <c r="AG141" s="20" t="s">
        <v>84</v>
      </c>
      <c r="AH141" s="20">
        <v>2.0</v>
      </c>
      <c r="AI141" s="24">
        <v>46101.0</v>
      </c>
      <c r="AJ141" s="20">
        <f>DAY(' En tramite 23-26'!$AI141)</f>
        <v>20</v>
      </c>
      <c r="AK141" s="20" t="str">
        <f>TEXT(' En tramite 23-26'!$AI141,"mmmm")</f>
        <v>marzo</v>
      </c>
      <c r="AL141" s="20">
        <f>YEAR(' En tramite 23-26'!$Z141)</f>
        <v>2026</v>
      </c>
      <c r="AM141" s="20" t="s">
        <v>84</v>
      </c>
      <c r="AN141" s="24">
        <v>2.0</v>
      </c>
      <c r="AO141" s="24">
        <v>46101.0</v>
      </c>
      <c r="AP141" s="20" t="s">
        <v>84</v>
      </c>
      <c r="AQ141" s="24">
        <v>2.0</v>
      </c>
      <c r="AR141" s="24">
        <v>46135.0</v>
      </c>
      <c r="AS141" s="24">
        <f>' En tramite 23-26'!$AI141+45</f>
        <v>46146</v>
      </c>
      <c r="AT141" s="20" t="s">
        <v>85</v>
      </c>
      <c r="AU141" s="20" t="s">
        <v>84</v>
      </c>
      <c r="AV141" s="20">
        <v>2.0</v>
      </c>
      <c r="AW141" s="24">
        <f>' En tramite 23-26'!$AS141+45</f>
        <v>46191</v>
      </c>
      <c r="AX141" s="20" t="s">
        <v>86</v>
      </c>
      <c r="AY141" s="20" t="s">
        <v>84</v>
      </c>
      <c r="AZ141" s="20">
        <v>2.0</v>
      </c>
      <c r="BA141" s="24">
        <v>46191.0</v>
      </c>
      <c r="BB141" s="20" t="s">
        <v>84</v>
      </c>
      <c r="BC141" s="28">
        <v>2.0</v>
      </c>
      <c r="BD141" s="134">
        <v>46191.0</v>
      </c>
      <c r="BE141" s="20">
        <f>DAY(' En tramite 23-26'!$BD141)</f>
        <v>18</v>
      </c>
      <c r="BF141" s="24" t="str">
        <f>TEXT(' En tramite 23-26'!$BD141,"mmmm")</f>
        <v>junio</v>
      </c>
      <c r="BG141" s="20">
        <f>YEAR(' En tramite 23-26'!$BD141)</f>
        <v>2026</v>
      </c>
      <c r="BH141" s="29">
        <v>1.0</v>
      </c>
      <c r="BI141" s="26" t="s">
        <v>956</v>
      </c>
      <c r="BJ141" s="30" t="s">
        <v>88</v>
      </c>
      <c r="BK141" s="31" t="s">
        <v>89</v>
      </c>
      <c r="BL141" s="32">
        <v>46239.0</v>
      </c>
      <c r="BM141" s="81">
        <v>2.0</v>
      </c>
    </row>
    <row r="142" ht="16.5" customHeight="1">
      <c r="A142" s="28" t="s">
        <v>1150</v>
      </c>
      <c r="B142" s="34"/>
      <c r="C142" s="13"/>
      <c r="D142" s="41" t="s">
        <v>1151</v>
      </c>
      <c r="E142" s="15" t="s">
        <v>1152</v>
      </c>
      <c r="F142" s="42" t="s">
        <v>1153</v>
      </c>
      <c r="G142" s="42">
        <v>4.425113718E9</v>
      </c>
      <c r="H142" s="43" t="s">
        <v>1154</v>
      </c>
      <c r="I142" s="41" t="s">
        <v>993</v>
      </c>
      <c r="J142" s="41" t="s">
        <v>73</v>
      </c>
      <c r="K142" s="41" t="s">
        <v>155</v>
      </c>
      <c r="L142" s="44" t="s">
        <v>200</v>
      </c>
      <c r="M142" s="13" t="s">
        <v>142</v>
      </c>
      <c r="N142" s="41" t="s">
        <v>1155</v>
      </c>
      <c r="O142" s="41" t="s">
        <v>97</v>
      </c>
      <c r="P142" s="44" t="s">
        <v>78</v>
      </c>
      <c r="Q142" s="44" t="s">
        <v>1156</v>
      </c>
      <c r="R142" s="44" t="s">
        <v>1157</v>
      </c>
      <c r="S142" s="45" t="s">
        <v>1158</v>
      </c>
      <c r="T142" s="46" t="s">
        <v>81</v>
      </c>
      <c r="U142" s="47" t="s">
        <v>82</v>
      </c>
      <c r="V142" s="95">
        <v>0.0</v>
      </c>
      <c r="W142" s="44"/>
      <c r="X142" s="44" t="s">
        <v>84</v>
      </c>
      <c r="Y142" s="49">
        <v>13.0</v>
      </c>
      <c r="Z142" s="50">
        <v>46052.0</v>
      </c>
      <c r="AA142" s="44">
        <v>30.0</v>
      </c>
      <c r="AB142" s="51" t="str">
        <f>TEXT(' En tramite 23-26'!$Z142,"mmmm")</f>
        <v>enero</v>
      </c>
      <c r="AC142" s="44">
        <f>YEAR(' En tramite 23-26'!$Z142)</f>
        <v>2026</v>
      </c>
      <c r="AD142" s="44" t="s">
        <v>84</v>
      </c>
      <c r="AE142" s="49">
        <v>2.0</v>
      </c>
      <c r="AF142" s="50">
        <v>46101.0</v>
      </c>
      <c r="AG142" s="44"/>
      <c r="AH142" s="44"/>
      <c r="AI142" s="49"/>
      <c r="AJ142" s="44">
        <f>DAY(' En tramite 23-26'!$AI142)</f>
        <v>30</v>
      </c>
      <c r="AK142" s="44" t="str">
        <f>TEXT(' En tramite 23-26'!$AI142,"mmmm")</f>
        <v>diciembre</v>
      </c>
      <c r="AL142" s="44">
        <f>YEAR(' En tramite 23-26'!$Z142)</f>
        <v>2026</v>
      </c>
      <c r="AM142" s="44"/>
      <c r="AN142" s="49"/>
      <c r="AO142" s="49"/>
      <c r="AP142" s="44"/>
      <c r="AQ142" s="49"/>
      <c r="AR142" s="49"/>
      <c r="AS142" s="103">
        <f>' En tramite 23-26'!$AI142+45</f>
        <v>45</v>
      </c>
      <c r="AT142" s="44"/>
      <c r="AU142" s="44"/>
      <c r="AV142" s="44"/>
      <c r="AW142" s="49">
        <f>' En tramite 23-26'!$AS142+45</f>
        <v>90</v>
      </c>
      <c r="AX142" s="44"/>
      <c r="AY142" s="44"/>
      <c r="AZ142" s="44"/>
      <c r="BA142" s="49"/>
      <c r="BB142" s="44"/>
      <c r="BC142" s="12"/>
      <c r="BD142" s="49"/>
      <c r="BE142" s="44">
        <f>DAY(' En tramite 23-26'!$BD142)</f>
        <v>30</v>
      </c>
      <c r="BF142" s="49" t="str">
        <f>TEXT(' En tramite 23-26'!$BD142,"mmmm")</f>
        <v>diciembre</v>
      </c>
      <c r="BG142" s="44">
        <f>YEAR(' En tramite 23-26'!$BD142)</f>
        <v>1899</v>
      </c>
      <c r="BH142" s="53"/>
      <c r="BI142" s="13"/>
      <c r="BJ142" s="44"/>
      <c r="BK142" s="54"/>
      <c r="BL142" s="13"/>
      <c r="BM142" s="58"/>
    </row>
    <row r="143" ht="16.5" customHeight="1">
      <c r="A143" s="28" t="s">
        <v>1159</v>
      </c>
      <c r="B143" s="34"/>
      <c r="C143" s="13"/>
      <c r="D143" s="41" t="s">
        <v>1160</v>
      </c>
      <c r="E143" s="15" t="s">
        <v>1161</v>
      </c>
      <c r="F143" s="42" t="s">
        <v>1162</v>
      </c>
      <c r="G143" s="42">
        <v>4.4266124951E10</v>
      </c>
      <c r="H143" s="43" t="s">
        <v>1163</v>
      </c>
      <c r="I143" s="41" t="s">
        <v>857</v>
      </c>
      <c r="J143" s="41" t="s">
        <v>73</v>
      </c>
      <c r="K143" s="41" t="s">
        <v>155</v>
      </c>
      <c r="L143" s="44" t="s">
        <v>200</v>
      </c>
      <c r="M143" s="13" t="s">
        <v>142</v>
      </c>
      <c r="N143" s="41" t="s">
        <v>1081</v>
      </c>
      <c r="O143" s="41" t="s">
        <v>97</v>
      </c>
      <c r="P143" s="44" t="s">
        <v>78</v>
      </c>
      <c r="Q143" s="44" t="s">
        <v>83</v>
      </c>
      <c r="R143" s="41" t="s">
        <v>1164</v>
      </c>
      <c r="S143" s="45"/>
      <c r="T143" s="46" t="s">
        <v>81</v>
      </c>
      <c r="U143" s="47" t="s">
        <v>82</v>
      </c>
      <c r="V143" s="95">
        <v>0.0</v>
      </c>
      <c r="W143" s="44"/>
      <c r="X143" s="44" t="s">
        <v>84</v>
      </c>
      <c r="Y143" s="49">
        <v>13.0</v>
      </c>
      <c r="Z143" s="50">
        <v>46099.0</v>
      </c>
      <c r="AA143" s="44">
        <f>DAY(Tabla1[F. INICIO])</f>
        <v>18</v>
      </c>
      <c r="AB143" s="51" t="str">
        <f>TEXT(' En tramite 23-26'!$Z143,"mmmm")</f>
        <v>marzo</v>
      </c>
      <c r="AC143" s="44">
        <f>YEAR(' En tramite 23-26'!$Z143)</f>
        <v>2026</v>
      </c>
      <c r="AD143" s="44" t="s">
        <v>84</v>
      </c>
      <c r="AE143" s="49">
        <v>2.0</v>
      </c>
      <c r="AF143" s="49">
        <v>46099.0</v>
      </c>
      <c r="AG143" s="44"/>
      <c r="AH143" s="44"/>
      <c r="AI143" s="49"/>
      <c r="AJ143" s="44">
        <f>DAY(' En tramite 23-26'!$AI143)</f>
        <v>30</v>
      </c>
      <c r="AK143" s="44" t="str">
        <f>TEXT(' En tramite 23-26'!$AI143,"mmmm")</f>
        <v>diciembre</v>
      </c>
      <c r="AL143" s="44">
        <f>YEAR(' En tramite 23-26'!$Z143)</f>
        <v>2026</v>
      </c>
      <c r="AM143" s="44"/>
      <c r="AN143" s="49"/>
      <c r="AO143" s="49"/>
      <c r="AP143" s="44"/>
      <c r="AQ143" s="49"/>
      <c r="AR143" s="44"/>
      <c r="AS143" s="103">
        <f>' En tramite 23-26'!$AI143+45</f>
        <v>45</v>
      </c>
      <c r="AT143" s="44"/>
      <c r="AU143" s="44"/>
      <c r="AV143" s="44"/>
      <c r="AW143" s="49">
        <f>' En tramite 23-26'!$AS143+45</f>
        <v>90</v>
      </c>
      <c r="AX143" s="44"/>
      <c r="AY143" s="44"/>
      <c r="AZ143" s="44"/>
      <c r="BA143" s="44"/>
      <c r="BB143" s="44"/>
      <c r="BC143" s="12"/>
      <c r="BD143" s="44"/>
      <c r="BE143" s="44">
        <f>DAY(' En tramite 23-26'!$BD143)</f>
        <v>30</v>
      </c>
      <c r="BF143" s="49" t="str">
        <f>TEXT(' En tramite 23-26'!$BD143,"mmmm")</f>
        <v>diciembre</v>
      </c>
      <c r="BG143" s="44">
        <f>YEAR(' En tramite 23-26'!$BD143)</f>
        <v>1899</v>
      </c>
      <c r="BH143" s="44"/>
      <c r="BI143" s="44"/>
      <c r="BJ143" s="44"/>
      <c r="BK143" s="54"/>
      <c r="BL143" s="13"/>
      <c r="BM143" s="58"/>
    </row>
    <row r="144" ht="16.5" customHeight="1">
      <c r="A144" s="28" t="s">
        <v>1165</v>
      </c>
      <c r="B144" s="34"/>
      <c r="C144" s="13"/>
      <c r="D144" s="62" t="s">
        <v>1166</v>
      </c>
      <c r="E144" s="15" t="s">
        <v>1167</v>
      </c>
      <c r="F144" s="63" t="s">
        <v>1168</v>
      </c>
      <c r="G144" s="63">
        <v>7.204726548E9</v>
      </c>
      <c r="H144" s="64" t="s">
        <v>1169</v>
      </c>
      <c r="I144" s="62" t="s">
        <v>839</v>
      </c>
      <c r="J144" s="62" t="s">
        <v>109</v>
      </c>
      <c r="K144" s="62" t="s">
        <v>129</v>
      </c>
      <c r="L144" s="65" t="s">
        <v>75</v>
      </c>
      <c r="M144" s="66" t="s">
        <v>14</v>
      </c>
      <c r="N144" s="62" t="s">
        <v>1170</v>
      </c>
      <c r="O144" s="62" t="s">
        <v>211</v>
      </c>
      <c r="P144" s="67" t="s">
        <v>78</v>
      </c>
      <c r="Q144" s="67">
        <v>4.422216364E9</v>
      </c>
      <c r="R144" s="67" t="s">
        <v>1171</v>
      </c>
      <c r="S144" s="68" t="s">
        <v>1172</v>
      </c>
      <c r="T144" s="69" t="s">
        <v>81</v>
      </c>
      <c r="U144" s="70" t="s">
        <v>100</v>
      </c>
      <c r="V144" s="98">
        <v>1.0</v>
      </c>
      <c r="W144" s="67" t="s">
        <v>83</v>
      </c>
      <c r="X144" s="67" t="s">
        <v>84</v>
      </c>
      <c r="Y144" s="73">
        <v>2.0</v>
      </c>
      <c r="Z144" s="74">
        <v>46104.0</v>
      </c>
      <c r="AA144" s="67">
        <f>DAY(Tabla1[F. INICIO])</f>
        <v>23</v>
      </c>
      <c r="AB144" s="75" t="str">
        <f>TEXT(' En tramite 23-26'!$Z144,"mmmm")</f>
        <v>marzo</v>
      </c>
      <c r="AC144" s="67">
        <f>YEAR(' En tramite 23-26'!$Z144)</f>
        <v>2026</v>
      </c>
      <c r="AD144" s="67" t="s">
        <v>84</v>
      </c>
      <c r="AE144" s="73">
        <v>2.0</v>
      </c>
      <c r="AF144" s="73">
        <v>46104.0</v>
      </c>
      <c r="AG144" s="67" t="s">
        <v>84</v>
      </c>
      <c r="AH144" s="73">
        <v>2.0</v>
      </c>
      <c r="AI144" s="73">
        <v>46104.0</v>
      </c>
      <c r="AJ144" s="67">
        <f>DAY(' En tramite 23-26'!$AI144)</f>
        <v>23</v>
      </c>
      <c r="AK144" s="67" t="str">
        <f>TEXT(' En tramite 23-26'!$AI144,"mmmm")</f>
        <v>marzo</v>
      </c>
      <c r="AL144" s="67">
        <f>YEAR(' En tramite 23-26'!$Z144)</f>
        <v>2026</v>
      </c>
      <c r="AM144" s="67" t="s">
        <v>84</v>
      </c>
      <c r="AN144" s="73">
        <v>2.0</v>
      </c>
      <c r="AO144" s="73">
        <v>46104.0</v>
      </c>
      <c r="AP144" s="67" t="s">
        <v>84</v>
      </c>
      <c r="AQ144" s="73">
        <v>2.0</v>
      </c>
      <c r="AR144" s="73">
        <v>46143.0</v>
      </c>
      <c r="AS144" s="73">
        <f>' En tramite 23-26'!$AI144+45</f>
        <v>46149</v>
      </c>
      <c r="AT144" s="67" t="s">
        <v>85</v>
      </c>
      <c r="AU144" s="67" t="s">
        <v>84</v>
      </c>
      <c r="AV144" s="67">
        <v>2.0</v>
      </c>
      <c r="AW144" s="73">
        <f>' En tramite 23-26'!$AS144+45</f>
        <v>46194</v>
      </c>
      <c r="AX144" s="67" t="s">
        <v>86</v>
      </c>
      <c r="AY144" s="67" t="s">
        <v>84</v>
      </c>
      <c r="AZ144" s="67">
        <v>2.0</v>
      </c>
      <c r="BA144" s="73">
        <v>46195.0</v>
      </c>
      <c r="BB144" s="67" t="s">
        <v>84</v>
      </c>
      <c r="BC144" s="76">
        <v>2.0</v>
      </c>
      <c r="BD144" s="73">
        <v>46195.0</v>
      </c>
      <c r="BE144" s="67">
        <f>DAY(' En tramite 23-26'!$BD144)</f>
        <v>22</v>
      </c>
      <c r="BF144" s="73" t="str">
        <f>TEXT(' En tramite 23-26'!$BD144,"mmmm")</f>
        <v>junio</v>
      </c>
      <c r="BG144" s="67">
        <f>YEAR(' En tramite 23-26'!$BD144)</f>
        <v>2026</v>
      </c>
      <c r="BH144" s="67"/>
      <c r="BI144" s="67"/>
      <c r="BJ144" s="78" t="s">
        <v>274</v>
      </c>
      <c r="BK144" s="79" t="s">
        <v>275</v>
      </c>
      <c r="BL144" s="66"/>
      <c r="BM144" s="80"/>
    </row>
    <row r="145" ht="16.5" customHeight="1">
      <c r="A145" s="28" t="s">
        <v>1173</v>
      </c>
      <c r="B145" s="34"/>
      <c r="C145" s="13"/>
      <c r="D145" s="41" t="s">
        <v>1174</v>
      </c>
      <c r="E145" s="15" t="s">
        <v>1175</v>
      </c>
      <c r="F145" s="42" t="s">
        <v>1176</v>
      </c>
      <c r="G145" s="42">
        <v>4.44617303E9</v>
      </c>
      <c r="H145" s="43" t="s">
        <v>1177</v>
      </c>
      <c r="I145" s="41" t="s">
        <v>800</v>
      </c>
      <c r="J145" s="41" t="s">
        <v>73</v>
      </c>
      <c r="K145" s="41" t="s">
        <v>110</v>
      </c>
      <c r="L145" s="44" t="s">
        <v>200</v>
      </c>
      <c r="M145" s="13" t="s">
        <v>142</v>
      </c>
      <c r="N145" s="41" t="s">
        <v>1178</v>
      </c>
      <c r="O145" s="41" t="s">
        <v>97</v>
      </c>
      <c r="P145" s="44" t="s">
        <v>78</v>
      </c>
      <c r="Q145" s="44">
        <v>4.482751792E9</v>
      </c>
      <c r="R145" s="44" t="s">
        <v>1179</v>
      </c>
      <c r="S145" s="41" t="s">
        <v>1180</v>
      </c>
      <c r="T145" s="46" t="s">
        <v>81</v>
      </c>
      <c r="U145" s="47" t="s">
        <v>100</v>
      </c>
      <c r="V145" s="95">
        <v>1.0</v>
      </c>
      <c r="W145" s="44" t="s">
        <v>83</v>
      </c>
      <c r="X145" s="44" t="s">
        <v>84</v>
      </c>
      <c r="Y145" s="49">
        <v>2.0</v>
      </c>
      <c r="Z145" s="50">
        <v>46099.0</v>
      </c>
      <c r="AA145" s="44">
        <f>DAY(Tabla1[F. INICIO])</f>
        <v>18</v>
      </c>
      <c r="AB145" s="51" t="str">
        <f>TEXT(' En tramite 23-26'!$Z145,"mmmm")</f>
        <v>marzo</v>
      </c>
      <c r="AC145" s="44">
        <f>YEAR(' En tramite 23-26'!$Z145)</f>
        <v>2026</v>
      </c>
      <c r="AD145" s="44" t="s">
        <v>84</v>
      </c>
      <c r="AE145" s="49">
        <v>2.0</v>
      </c>
      <c r="AF145" s="49">
        <v>46099.0</v>
      </c>
      <c r="AG145" s="44" t="s">
        <v>84</v>
      </c>
      <c r="AH145" s="49">
        <v>2.0</v>
      </c>
      <c r="AI145" s="49"/>
      <c r="AJ145" s="44">
        <f>DAY(' En tramite 23-26'!$AI145)</f>
        <v>30</v>
      </c>
      <c r="AK145" s="44" t="str">
        <f>TEXT(' En tramite 23-26'!$AI145,"mmmm")</f>
        <v>diciembre</v>
      </c>
      <c r="AL145" s="44">
        <f>YEAR(' En tramite 23-26'!$Z145)</f>
        <v>2026</v>
      </c>
      <c r="AM145" s="44"/>
      <c r="AN145" s="49"/>
      <c r="AO145" s="44"/>
      <c r="AP145" s="44"/>
      <c r="AQ145" s="49"/>
      <c r="AR145" s="49"/>
      <c r="AS145" s="103">
        <f>' En tramite 23-26'!$AI145+45</f>
        <v>45</v>
      </c>
      <c r="AT145" s="44"/>
      <c r="AU145" s="44"/>
      <c r="AV145" s="44"/>
      <c r="AW145" s="49">
        <f>' En tramite 23-26'!$AS145+45</f>
        <v>90</v>
      </c>
      <c r="AX145" s="44"/>
      <c r="AY145" s="44"/>
      <c r="AZ145" s="44"/>
      <c r="BA145" s="49"/>
      <c r="BB145" s="44"/>
      <c r="BC145" s="12"/>
      <c r="BD145" s="49"/>
      <c r="BE145" s="44">
        <f>DAY(' En tramite 23-26'!$BD145)</f>
        <v>30</v>
      </c>
      <c r="BF145" s="49" t="str">
        <f>TEXT(' En tramite 23-26'!$BD145,"mmmm")</f>
        <v>diciembre</v>
      </c>
      <c r="BG145" s="44">
        <f>YEAR(' En tramite 23-26'!$BD145)</f>
        <v>1899</v>
      </c>
      <c r="BH145" s="53"/>
      <c r="BI145" s="13"/>
      <c r="BJ145" s="44"/>
      <c r="BK145" s="54"/>
      <c r="BL145" s="13"/>
      <c r="BM145" s="58"/>
    </row>
    <row r="146" ht="16.5" customHeight="1">
      <c r="A146" s="28" t="s">
        <v>1181</v>
      </c>
      <c r="B146" s="34"/>
      <c r="C146" s="13"/>
      <c r="D146" s="41" t="s">
        <v>1182</v>
      </c>
      <c r="E146" s="15" t="s">
        <v>1183</v>
      </c>
      <c r="F146" s="42" t="s">
        <v>1184</v>
      </c>
      <c r="G146" s="42">
        <v>4.428468039E9</v>
      </c>
      <c r="H146" s="43" t="s">
        <v>1185</v>
      </c>
      <c r="I146" s="41" t="s">
        <v>985</v>
      </c>
      <c r="J146" s="41" t="s">
        <v>73</v>
      </c>
      <c r="K146" s="41" t="s">
        <v>74</v>
      </c>
      <c r="L146" s="44" t="s">
        <v>200</v>
      </c>
      <c r="M146" s="13" t="s">
        <v>14</v>
      </c>
      <c r="N146" s="41" t="s">
        <v>1186</v>
      </c>
      <c r="O146" s="41" t="s">
        <v>131</v>
      </c>
      <c r="P146" s="44" t="s">
        <v>78</v>
      </c>
      <c r="Q146" s="44">
        <v>4.422440942E9</v>
      </c>
      <c r="R146" s="44" t="s">
        <v>1187</v>
      </c>
      <c r="S146" s="45" t="s">
        <v>1188</v>
      </c>
      <c r="T146" s="46" t="s">
        <v>81</v>
      </c>
      <c r="U146" s="47" t="s">
        <v>100</v>
      </c>
      <c r="V146" s="95">
        <v>0.0</v>
      </c>
      <c r="W146" s="44"/>
      <c r="X146" s="44" t="s">
        <v>84</v>
      </c>
      <c r="Y146" s="49">
        <v>2.0</v>
      </c>
      <c r="Z146" s="50">
        <v>46094.0</v>
      </c>
      <c r="AA146" s="44">
        <f>DAY(Tabla1[F. INICIO])</f>
        <v>13</v>
      </c>
      <c r="AB146" s="51" t="str">
        <f>TEXT(' En tramite 23-26'!$Z146,"mmmm")</f>
        <v>marzo</v>
      </c>
      <c r="AC146" s="44">
        <f>YEAR(' En tramite 23-26'!$Z146)</f>
        <v>2026</v>
      </c>
      <c r="AD146" s="44" t="s">
        <v>84</v>
      </c>
      <c r="AE146" s="49">
        <v>2.0</v>
      </c>
      <c r="AF146" s="49">
        <v>46094.0</v>
      </c>
      <c r="AG146" s="44"/>
      <c r="AH146" s="44"/>
      <c r="AI146" s="49">
        <v>46108.0</v>
      </c>
      <c r="AJ146" s="44">
        <f>DAY(' En tramite 23-26'!$AI146)</f>
        <v>27</v>
      </c>
      <c r="AK146" s="44" t="str">
        <f>TEXT(' En tramite 23-26'!$AI146,"mmmm")</f>
        <v>marzo</v>
      </c>
      <c r="AL146" s="44">
        <f>YEAR(' En tramite 23-26'!$Z146)</f>
        <v>2026</v>
      </c>
      <c r="AM146" s="44"/>
      <c r="AN146" s="49"/>
      <c r="AO146" s="44"/>
      <c r="AP146" s="44"/>
      <c r="AQ146" s="49"/>
      <c r="AR146" s="44"/>
      <c r="AS146" s="103">
        <f>' En tramite 23-26'!$AI146+45</f>
        <v>46153</v>
      </c>
      <c r="AT146" s="44"/>
      <c r="AU146" s="44"/>
      <c r="AV146" s="44"/>
      <c r="AW146" s="49">
        <f>' En tramite 23-26'!$AS146+45</f>
        <v>46198</v>
      </c>
      <c r="AX146" s="44"/>
      <c r="AY146" s="44"/>
      <c r="AZ146" s="44"/>
      <c r="BA146" s="44"/>
      <c r="BB146" s="44"/>
      <c r="BC146" s="12"/>
      <c r="BD146" s="44"/>
      <c r="BE146" s="44">
        <f>DAY(' En tramite 23-26'!$BD146)</f>
        <v>30</v>
      </c>
      <c r="BF146" s="49" t="str">
        <f>TEXT(' En tramite 23-26'!$BD146,"mmmm")</f>
        <v>diciembre</v>
      </c>
      <c r="BG146" s="44">
        <f>YEAR(' En tramite 23-26'!$BD146)</f>
        <v>1899</v>
      </c>
      <c r="BH146" s="44"/>
      <c r="BI146" s="44"/>
      <c r="BJ146" s="44"/>
      <c r="BK146" s="54"/>
      <c r="BL146" s="13"/>
      <c r="BM146" s="58"/>
    </row>
    <row r="147" ht="16.5" customHeight="1">
      <c r="A147" s="28" t="s">
        <v>1189</v>
      </c>
      <c r="B147" s="34" t="s">
        <v>844</v>
      </c>
      <c r="C147" s="13" t="s">
        <v>1190</v>
      </c>
      <c r="D147" s="18" t="s">
        <v>1191</v>
      </c>
      <c r="E147" s="15" t="s">
        <v>1192</v>
      </c>
      <c r="F147" s="16" t="s">
        <v>1193</v>
      </c>
      <c r="G147" s="16" t="s">
        <v>1194</v>
      </c>
      <c r="H147" s="17"/>
      <c r="I147" s="18" t="s">
        <v>897</v>
      </c>
      <c r="J147" s="18" t="s">
        <v>109</v>
      </c>
      <c r="K147" s="18" t="s">
        <v>74</v>
      </c>
      <c r="L147" s="19" t="s">
        <v>75</v>
      </c>
      <c r="M147" s="14" t="s">
        <v>14</v>
      </c>
      <c r="N147" s="18" t="s">
        <v>1195</v>
      </c>
      <c r="O147" s="18" t="s">
        <v>77</v>
      </c>
      <c r="P147" s="20" t="s">
        <v>78</v>
      </c>
      <c r="Q147" s="20">
        <v>4.422424999E9</v>
      </c>
      <c r="R147" s="20" t="s">
        <v>1196</v>
      </c>
      <c r="S147" s="35" t="s">
        <v>1197</v>
      </c>
      <c r="T147" s="22" t="s">
        <v>81</v>
      </c>
      <c r="U147" s="21" t="s">
        <v>100</v>
      </c>
      <c r="V147" s="86">
        <v>0.0</v>
      </c>
      <c r="W147" s="20"/>
      <c r="X147" s="20" t="s">
        <v>84</v>
      </c>
      <c r="Y147" s="24">
        <v>2.0</v>
      </c>
      <c r="Z147" s="25">
        <v>46104.0</v>
      </c>
      <c r="AA147" s="20">
        <f>DAY(Tabla1[F. INICIO])</f>
        <v>23</v>
      </c>
      <c r="AB147" s="26" t="str">
        <f>TEXT(' En tramite 23-26'!$Z147,"mmmm")</f>
        <v>marzo</v>
      </c>
      <c r="AC147" s="20">
        <f>YEAR(' En tramite 23-26'!$Z147)</f>
        <v>2026</v>
      </c>
      <c r="AD147" s="20" t="s">
        <v>84</v>
      </c>
      <c r="AE147" s="24">
        <v>2.0</v>
      </c>
      <c r="AF147" s="24">
        <v>46106.0</v>
      </c>
      <c r="AG147" s="20" t="s">
        <v>84</v>
      </c>
      <c r="AH147" s="24">
        <v>2.0</v>
      </c>
      <c r="AI147" s="24">
        <v>46111.0</v>
      </c>
      <c r="AJ147" s="20">
        <f>DAY(' En tramite 23-26'!$AI147)</f>
        <v>30</v>
      </c>
      <c r="AK147" s="20" t="str">
        <f>TEXT(' En tramite 23-26'!$AI147,"mmmm")</f>
        <v>marzo</v>
      </c>
      <c r="AL147" s="20">
        <f>YEAR(' En tramite 23-26'!$Z147)</f>
        <v>2026</v>
      </c>
      <c r="AM147" s="20" t="s">
        <v>84</v>
      </c>
      <c r="AN147" s="24">
        <v>2.0</v>
      </c>
      <c r="AO147" s="24">
        <v>46107.0</v>
      </c>
      <c r="AP147" s="20" t="s">
        <v>84</v>
      </c>
      <c r="AQ147" s="24">
        <v>2.0</v>
      </c>
      <c r="AR147" s="24">
        <v>46162.0</v>
      </c>
      <c r="AS147" s="24">
        <f>' En tramite 23-26'!$AI147+45</f>
        <v>46156</v>
      </c>
      <c r="AT147" s="20" t="s">
        <v>85</v>
      </c>
      <c r="AU147" s="20" t="s">
        <v>84</v>
      </c>
      <c r="AV147" s="20">
        <v>2.0</v>
      </c>
      <c r="AW147" s="24">
        <v>46202.0</v>
      </c>
      <c r="AX147" s="20" t="s">
        <v>86</v>
      </c>
      <c r="AY147" s="20" t="s">
        <v>84</v>
      </c>
      <c r="AZ147" s="20">
        <v>2.0</v>
      </c>
      <c r="BA147" s="24">
        <v>46202.0</v>
      </c>
      <c r="BB147" s="20" t="s">
        <v>84</v>
      </c>
      <c r="BC147" s="28">
        <v>2.0</v>
      </c>
      <c r="BD147" s="134">
        <v>46202.0</v>
      </c>
      <c r="BE147" s="20">
        <f>DAY(' En tramite 23-26'!$BD147)</f>
        <v>29</v>
      </c>
      <c r="BF147" s="24" t="str">
        <f>TEXT(' En tramite 23-26'!$BD147,"mmmm")</f>
        <v>junio</v>
      </c>
      <c r="BG147" s="20">
        <f>YEAR(' En tramite 23-26'!$BD147)</f>
        <v>2026</v>
      </c>
      <c r="BH147" s="29">
        <v>1.0</v>
      </c>
      <c r="BI147" s="26" t="s">
        <v>1198</v>
      </c>
      <c r="BJ147" s="30" t="s">
        <v>88</v>
      </c>
      <c r="BK147" s="31" t="s">
        <v>89</v>
      </c>
      <c r="BL147" s="14"/>
      <c r="BM147" s="81"/>
    </row>
    <row r="148" ht="16.5" customHeight="1">
      <c r="A148" s="28" t="s">
        <v>1199</v>
      </c>
      <c r="B148" s="34"/>
      <c r="C148" s="13"/>
      <c r="D148" s="41" t="s">
        <v>1200</v>
      </c>
      <c r="E148" s="15" t="s">
        <v>1201</v>
      </c>
      <c r="F148" s="42" t="s">
        <v>1202</v>
      </c>
      <c r="G148" s="42">
        <v>4.422370749E9</v>
      </c>
      <c r="H148" s="43" t="s">
        <v>1203</v>
      </c>
      <c r="I148" s="41" t="s">
        <v>952</v>
      </c>
      <c r="J148" s="41" t="s">
        <v>109</v>
      </c>
      <c r="K148" s="41" t="s">
        <v>141</v>
      </c>
      <c r="L148" s="44" t="s">
        <v>200</v>
      </c>
      <c r="M148" s="13" t="s">
        <v>14</v>
      </c>
      <c r="N148" s="41" t="s">
        <v>1204</v>
      </c>
      <c r="O148" s="41" t="s">
        <v>77</v>
      </c>
      <c r="P148" s="44" t="s">
        <v>78</v>
      </c>
      <c r="Q148" s="44">
        <v>4.422370749E9</v>
      </c>
      <c r="R148" s="44" t="s">
        <v>1205</v>
      </c>
      <c r="S148" s="45" t="s">
        <v>1206</v>
      </c>
      <c r="T148" s="46" t="s">
        <v>81</v>
      </c>
      <c r="U148" s="47" t="s">
        <v>82</v>
      </c>
      <c r="V148" s="95">
        <v>1.0</v>
      </c>
      <c r="W148" s="44" t="s">
        <v>83</v>
      </c>
      <c r="X148" s="44" t="s">
        <v>84</v>
      </c>
      <c r="Y148" s="49">
        <v>2.0</v>
      </c>
      <c r="Z148" s="50">
        <v>46107.0</v>
      </c>
      <c r="AA148" s="44">
        <f>DAY(Tabla1[F. INICIO])</f>
        <v>26</v>
      </c>
      <c r="AB148" s="51" t="str">
        <f>TEXT(' En tramite 23-26'!$Z148,"mmmm")</f>
        <v>marzo</v>
      </c>
      <c r="AC148" s="44">
        <f>YEAR(' En tramite 23-26'!$Z148)</f>
        <v>2026</v>
      </c>
      <c r="AD148" s="44" t="s">
        <v>84</v>
      </c>
      <c r="AE148" s="49">
        <v>2.0</v>
      </c>
      <c r="AF148" s="49">
        <v>46107.0</v>
      </c>
      <c r="AG148" s="44" t="s">
        <v>84</v>
      </c>
      <c r="AH148" s="49">
        <v>2.0</v>
      </c>
      <c r="AI148" s="49">
        <v>46107.0</v>
      </c>
      <c r="AJ148" s="44">
        <f>DAY(' En tramite 23-26'!$AI148)</f>
        <v>26</v>
      </c>
      <c r="AK148" s="44" t="str">
        <f>TEXT(' En tramite 23-26'!$AI148,"mmmm")</f>
        <v>marzo</v>
      </c>
      <c r="AL148" s="44">
        <f>YEAR(' En tramite 23-26'!$Z148)</f>
        <v>2026</v>
      </c>
      <c r="AM148" s="44" t="s">
        <v>84</v>
      </c>
      <c r="AN148" s="49">
        <v>2.0</v>
      </c>
      <c r="AO148" s="49">
        <v>46107.0</v>
      </c>
      <c r="AP148" s="44" t="s">
        <v>84</v>
      </c>
      <c r="AQ148" s="49">
        <v>2.0</v>
      </c>
      <c r="AR148" s="49">
        <v>46137.0</v>
      </c>
      <c r="AS148" s="103">
        <f>' En tramite 23-26'!$AI148+45</f>
        <v>46152</v>
      </c>
      <c r="AT148" s="44" t="s">
        <v>85</v>
      </c>
      <c r="AU148" s="44" t="s">
        <v>84</v>
      </c>
      <c r="AV148" s="44">
        <v>2.0</v>
      </c>
      <c r="AW148" s="49">
        <v>46199.0</v>
      </c>
      <c r="AX148" s="44" t="s">
        <v>86</v>
      </c>
      <c r="AY148" s="44"/>
      <c r="AZ148" s="44"/>
      <c r="BA148" s="49"/>
      <c r="BB148" s="44"/>
      <c r="BC148" s="12"/>
      <c r="BD148" s="49"/>
      <c r="BE148" s="44">
        <f>DAY(' En tramite 23-26'!$BD148)</f>
        <v>30</v>
      </c>
      <c r="BF148" s="49" t="str">
        <f>TEXT(' En tramite 23-26'!$BD148,"mmmm")</f>
        <v>diciembre</v>
      </c>
      <c r="BG148" s="44">
        <f>YEAR(' En tramite 23-26'!$BD148)</f>
        <v>1899</v>
      </c>
      <c r="BH148" s="53"/>
      <c r="BI148" s="13"/>
      <c r="BJ148" s="44"/>
      <c r="BK148" s="54"/>
      <c r="BL148" s="13"/>
      <c r="BM148" s="58"/>
    </row>
    <row r="149" ht="16.5" customHeight="1">
      <c r="A149" s="28" t="s">
        <v>1207</v>
      </c>
      <c r="B149" s="34"/>
      <c r="C149" s="13"/>
      <c r="D149" s="41" t="s">
        <v>1208</v>
      </c>
      <c r="E149" s="15" t="s">
        <v>1209</v>
      </c>
      <c r="F149" s="42" t="s">
        <v>1210</v>
      </c>
      <c r="G149" s="42">
        <v>4.425261396E9</v>
      </c>
      <c r="H149" s="43" t="s">
        <v>1211</v>
      </c>
      <c r="I149" s="41" t="s">
        <v>952</v>
      </c>
      <c r="J149" s="41" t="s">
        <v>109</v>
      </c>
      <c r="K149" s="41" t="s">
        <v>141</v>
      </c>
      <c r="L149" s="44" t="s">
        <v>200</v>
      </c>
      <c r="M149" s="13" t="s">
        <v>14</v>
      </c>
      <c r="N149" s="41" t="s">
        <v>1204</v>
      </c>
      <c r="O149" s="41" t="s">
        <v>77</v>
      </c>
      <c r="P149" s="44" t="s">
        <v>78</v>
      </c>
      <c r="Q149" s="44">
        <v>4.422370749E9</v>
      </c>
      <c r="R149" s="44" t="s">
        <v>1205</v>
      </c>
      <c r="S149" s="45" t="s">
        <v>1206</v>
      </c>
      <c r="T149" s="46" t="s">
        <v>81</v>
      </c>
      <c r="U149" s="47" t="s">
        <v>82</v>
      </c>
      <c r="V149" s="95">
        <v>1.0</v>
      </c>
      <c r="W149" s="44" t="s">
        <v>83</v>
      </c>
      <c r="X149" s="44" t="s">
        <v>84</v>
      </c>
      <c r="Y149" s="49">
        <v>2.0</v>
      </c>
      <c r="Z149" s="50">
        <v>46107.0</v>
      </c>
      <c r="AA149" s="44">
        <f>DAY(Tabla1[F. INICIO])</f>
        <v>26</v>
      </c>
      <c r="AB149" s="51" t="str">
        <f>TEXT(' En tramite 23-26'!$Z149,"mmmm")</f>
        <v>marzo</v>
      </c>
      <c r="AC149" s="44">
        <f>YEAR(' En tramite 23-26'!$Z149)</f>
        <v>2026</v>
      </c>
      <c r="AD149" s="44" t="s">
        <v>84</v>
      </c>
      <c r="AE149" s="49">
        <v>2.0</v>
      </c>
      <c r="AF149" s="49">
        <v>46107.0</v>
      </c>
      <c r="AG149" s="44" t="s">
        <v>84</v>
      </c>
      <c r="AH149" s="49">
        <v>2.0</v>
      </c>
      <c r="AI149" s="49">
        <v>46107.0</v>
      </c>
      <c r="AJ149" s="44">
        <f>DAY(' En tramite 23-26'!$AI149)</f>
        <v>26</v>
      </c>
      <c r="AK149" s="44" t="str">
        <f>TEXT(' En tramite 23-26'!$AI149,"mmmm")</f>
        <v>marzo</v>
      </c>
      <c r="AL149" s="44">
        <f>YEAR(' En tramite 23-26'!$Z149)</f>
        <v>2026</v>
      </c>
      <c r="AM149" s="44" t="s">
        <v>84</v>
      </c>
      <c r="AN149" s="49">
        <v>2.0</v>
      </c>
      <c r="AO149" s="49">
        <v>46107.0</v>
      </c>
      <c r="AP149" s="44" t="s">
        <v>84</v>
      </c>
      <c r="AQ149" s="49">
        <v>2.0</v>
      </c>
      <c r="AR149" s="49">
        <v>46137.0</v>
      </c>
      <c r="AS149" s="103">
        <f>' En tramite 23-26'!$AI149+45</f>
        <v>46152</v>
      </c>
      <c r="AT149" s="44"/>
      <c r="AU149" s="44"/>
      <c r="AV149" s="44"/>
      <c r="AW149" s="49">
        <f>' En tramite 23-26'!$AS149+45</f>
        <v>46197</v>
      </c>
      <c r="AX149" s="44"/>
      <c r="AY149" s="44"/>
      <c r="AZ149" s="44"/>
      <c r="BA149" s="49"/>
      <c r="BB149" s="44"/>
      <c r="BC149" s="12"/>
      <c r="BD149" s="49"/>
      <c r="BE149" s="44">
        <f>DAY(' En tramite 23-26'!$BD149)</f>
        <v>30</v>
      </c>
      <c r="BF149" s="49" t="str">
        <f>TEXT(' En tramite 23-26'!$BD149,"mmmm")</f>
        <v>diciembre</v>
      </c>
      <c r="BG149" s="44">
        <f>YEAR(' En tramite 23-26'!$BD149)</f>
        <v>1899</v>
      </c>
      <c r="BH149" s="53"/>
      <c r="BI149" s="13"/>
      <c r="BJ149" s="44"/>
      <c r="BK149" s="54"/>
      <c r="BL149" s="13"/>
      <c r="BM149" s="58"/>
    </row>
    <row r="150" ht="16.5" customHeight="1">
      <c r="A150" s="28" t="s">
        <v>1212</v>
      </c>
      <c r="B150" s="34"/>
      <c r="C150" s="13"/>
      <c r="D150" s="41" t="s">
        <v>1213</v>
      </c>
      <c r="E150" s="15" t="s">
        <v>1214</v>
      </c>
      <c r="F150" s="42" t="s">
        <v>1215</v>
      </c>
      <c r="G150" s="42" t="s">
        <v>1194</v>
      </c>
      <c r="H150" s="43" t="s">
        <v>1203</v>
      </c>
      <c r="I150" s="41" t="s">
        <v>952</v>
      </c>
      <c r="J150" s="41" t="s">
        <v>109</v>
      </c>
      <c r="K150" s="41" t="s">
        <v>141</v>
      </c>
      <c r="L150" s="44" t="s">
        <v>200</v>
      </c>
      <c r="M150" s="13" t="s">
        <v>14</v>
      </c>
      <c r="N150" s="41" t="s">
        <v>1204</v>
      </c>
      <c r="O150" s="41" t="s">
        <v>77</v>
      </c>
      <c r="P150" s="44" t="s">
        <v>78</v>
      </c>
      <c r="Q150" s="44">
        <v>4.422370749E9</v>
      </c>
      <c r="R150" s="44" t="s">
        <v>1205</v>
      </c>
      <c r="S150" s="45" t="s">
        <v>1206</v>
      </c>
      <c r="T150" s="46" t="s">
        <v>81</v>
      </c>
      <c r="U150" s="47" t="s">
        <v>82</v>
      </c>
      <c r="V150" s="95">
        <v>1.0</v>
      </c>
      <c r="W150" s="44" t="s">
        <v>83</v>
      </c>
      <c r="X150" s="44" t="s">
        <v>84</v>
      </c>
      <c r="Y150" s="49">
        <v>2.0</v>
      </c>
      <c r="Z150" s="50">
        <v>46107.0</v>
      </c>
      <c r="AA150" s="44">
        <f>DAY(Tabla1[F. INICIO])</f>
        <v>26</v>
      </c>
      <c r="AB150" s="51" t="str">
        <f>TEXT(' En tramite 23-26'!$Z150,"mmmm")</f>
        <v>marzo</v>
      </c>
      <c r="AC150" s="44">
        <f>YEAR(' En tramite 23-26'!$Z150)</f>
        <v>2026</v>
      </c>
      <c r="AD150" s="44" t="s">
        <v>84</v>
      </c>
      <c r="AE150" s="49">
        <v>2.0</v>
      </c>
      <c r="AF150" s="49">
        <v>46107.0</v>
      </c>
      <c r="AG150" s="44" t="s">
        <v>84</v>
      </c>
      <c r="AH150" s="49">
        <v>2.0</v>
      </c>
      <c r="AI150" s="49">
        <v>46107.0</v>
      </c>
      <c r="AJ150" s="44">
        <f>DAY(' En tramite 23-26'!$AI150)</f>
        <v>26</v>
      </c>
      <c r="AK150" s="44" t="str">
        <f>TEXT(' En tramite 23-26'!$AI150,"mmmm")</f>
        <v>marzo</v>
      </c>
      <c r="AL150" s="44">
        <f>YEAR(' En tramite 23-26'!$Z150)</f>
        <v>2026</v>
      </c>
      <c r="AM150" s="44" t="s">
        <v>84</v>
      </c>
      <c r="AN150" s="49">
        <v>2.0</v>
      </c>
      <c r="AO150" s="49">
        <v>46107.0</v>
      </c>
      <c r="AP150" s="44" t="s">
        <v>84</v>
      </c>
      <c r="AQ150" s="49">
        <v>2.0</v>
      </c>
      <c r="AR150" s="49">
        <v>46137.0</v>
      </c>
      <c r="AS150" s="103">
        <f>' En tramite 23-26'!$AI150+45</f>
        <v>46152</v>
      </c>
      <c r="AT150" s="44" t="s">
        <v>85</v>
      </c>
      <c r="AU150" s="44" t="s">
        <v>84</v>
      </c>
      <c r="AV150" s="44">
        <v>2.0</v>
      </c>
      <c r="AW150" s="49">
        <v>46199.0</v>
      </c>
      <c r="AX150" s="44" t="s">
        <v>86</v>
      </c>
      <c r="AY150" s="44" t="s">
        <v>84</v>
      </c>
      <c r="AZ150" s="44">
        <v>2.0</v>
      </c>
      <c r="BA150" s="49">
        <v>46199.0</v>
      </c>
      <c r="BB150" s="44"/>
      <c r="BC150" s="12"/>
      <c r="BD150" s="49"/>
      <c r="BE150" s="44">
        <f>DAY(' En tramite 23-26'!$BD150)</f>
        <v>30</v>
      </c>
      <c r="BF150" s="49" t="str">
        <f>TEXT(' En tramite 23-26'!$BD150,"mmmm")</f>
        <v>diciembre</v>
      </c>
      <c r="BG150" s="44">
        <f>YEAR(' En tramite 23-26'!$BD150)</f>
        <v>1899</v>
      </c>
      <c r="BH150" s="53"/>
      <c r="BI150" s="34"/>
      <c r="BJ150" s="34"/>
      <c r="BK150" s="54"/>
      <c r="BL150" s="13"/>
      <c r="BM150" s="58"/>
    </row>
    <row r="151" ht="16.5" customHeight="1">
      <c r="A151" s="28" t="s">
        <v>1216</v>
      </c>
      <c r="B151" s="34"/>
      <c r="C151" s="13"/>
      <c r="D151" s="62" t="s">
        <v>1217</v>
      </c>
      <c r="E151" s="15" t="s">
        <v>1218</v>
      </c>
      <c r="F151" s="63" t="s">
        <v>1219</v>
      </c>
      <c r="G151" s="63">
        <v>7.531412652E9</v>
      </c>
      <c r="H151" s="64" t="s">
        <v>1220</v>
      </c>
      <c r="I151" s="62" t="s">
        <v>857</v>
      </c>
      <c r="J151" s="62" t="s">
        <v>73</v>
      </c>
      <c r="K151" s="62" t="s">
        <v>155</v>
      </c>
      <c r="L151" s="65" t="s">
        <v>75</v>
      </c>
      <c r="M151" s="66" t="s">
        <v>14</v>
      </c>
      <c r="N151" s="62" t="s">
        <v>1221</v>
      </c>
      <c r="O151" s="62" t="s">
        <v>77</v>
      </c>
      <c r="P151" s="67" t="s">
        <v>78</v>
      </c>
      <c r="Q151" s="67">
        <v>4.426907231E9</v>
      </c>
      <c r="R151" s="67" t="s">
        <v>1222</v>
      </c>
      <c r="S151" s="68" t="s">
        <v>1223</v>
      </c>
      <c r="T151" s="69" t="s">
        <v>81</v>
      </c>
      <c r="U151" s="70" t="s">
        <v>82</v>
      </c>
      <c r="V151" s="137">
        <v>2.0</v>
      </c>
      <c r="W151" s="113">
        <v>3000.0</v>
      </c>
      <c r="X151" s="67" t="s">
        <v>84</v>
      </c>
      <c r="Y151" s="73">
        <v>2.0</v>
      </c>
      <c r="Z151" s="74">
        <v>46107.0</v>
      </c>
      <c r="AA151" s="67">
        <f>DAY(Tabla1[F. INICIO])</f>
        <v>26</v>
      </c>
      <c r="AB151" s="75" t="str">
        <f>TEXT(' En tramite 23-26'!$Z151,"mmmm")</f>
        <v>marzo</v>
      </c>
      <c r="AC151" s="67">
        <f>YEAR(' En tramite 23-26'!$Z151)</f>
        <v>2026</v>
      </c>
      <c r="AD151" s="67" t="s">
        <v>84</v>
      </c>
      <c r="AE151" s="73">
        <v>2.0</v>
      </c>
      <c r="AF151" s="73">
        <v>46107.0</v>
      </c>
      <c r="AG151" s="67" t="s">
        <v>84</v>
      </c>
      <c r="AH151" s="67">
        <v>2.0</v>
      </c>
      <c r="AI151" s="73">
        <v>46107.0</v>
      </c>
      <c r="AJ151" s="67">
        <f>DAY(' En tramite 23-26'!$AI151)</f>
        <v>26</v>
      </c>
      <c r="AK151" s="67" t="str">
        <f>TEXT(' En tramite 23-26'!$AI151,"mmmm")</f>
        <v>marzo</v>
      </c>
      <c r="AL151" s="67">
        <f>YEAR(' En tramite 23-26'!$Z151)</f>
        <v>2026</v>
      </c>
      <c r="AM151" s="67" t="s">
        <v>84</v>
      </c>
      <c r="AN151" s="73">
        <v>2.0</v>
      </c>
      <c r="AO151" s="73">
        <v>46107.0</v>
      </c>
      <c r="AP151" s="67" t="s">
        <v>84</v>
      </c>
      <c r="AQ151" s="73">
        <v>2.0</v>
      </c>
      <c r="AR151" s="73">
        <v>46148.0</v>
      </c>
      <c r="AS151" s="73">
        <f>' En tramite 23-26'!$AI151+45</f>
        <v>46152</v>
      </c>
      <c r="AT151" s="67" t="s">
        <v>85</v>
      </c>
      <c r="AU151" s="67" t="s">
        <v>84</v>
      </c>
      <c r="AV151" s="67">
        <v>2.0</v>
      </c>
      <c r="AW151" s="73">
        <f>' En tramite 23-26'!$AS151+45</f>
        <v>46197</v>
      </c>
      <c r="AX151" s="67" t="s">
        <v>86</v>
      </c>
      <c r="AY151" s="67" t="s">
        <v>84</v>
      </c>
      <c r="AZ151" s="67">
        <v>2.0</v>
      </c>
      <c r="BA151" s="73">
        <v>46197.0</v>
      </c>
      <c r="BB151" s="67" t="s">
        <v>84</v>
      </c>
      <c r="BC151" s="76">
        <v>46197.0</v>
      </c>
      <c r="BD151" s="67"/>
      <c r="BE151" s="67">
        <f>DAY(' En tramite 23-26'!$BD151)</f>
        <v>30</v>
      </c>
      <c r="BF151" s="73" t="str">
        <f>TEXT(' En tramite 23-26'!$BD151,"mmmm")</f>
        <v>diciembre</v>
      </c>
      <c r="BG151" s="67">
        <f>YEAR(' En tramite 23-26'!$BD151)</f>
        <v>1899</v>
      </c>
      <c r="BH151" s="67"/>
      <c r="BI151" s="67"/>
      <c r="BJ151" s="78" t="s">
        <v>274</v>
      </c>
      <c r="BK151" s="79" t="s">
        <v>275</v>
      </c>
      <c r="BL151" s="66"/>
      <c r="BM151" s="80"/>
    </row>
    <row r="152" ht="16.5" customHeight="1">
      <c r="A152" s="28" t="s">
        <v>1224</v>
      </c>
      <c r="B152" s="34"/>
      <c r="C152" s="13"/>
      <c r="D152" s="41" t="s">
        <v>1225</v>
      </c>
      <c r="E152" s="15" t="s">
        <v>1226</v>
      </c>
      <c r="F152" s="42" t="s">
        <v>1227</v>
      </c>
      <c r="G152" s="42">
        <v>4.427811033E9</v>
      </c>
      <c r="H152" s="43" t="s">
        <v>1228</v>
      </c>
      <c r="I152" s="41" t="s">
        <v>800</v>
      </c>
      <c r="J152" s="41" t="s">
        <v>73</v>
      </c>
      <c r="K152" s="41" t="s">
        <v>110</v>
      </c>
      <c r="L152" s="44" t="s">
        <v>200</v>
      </c>
      <c r="M152" s="13" t="s">
        <v>14</v>
      </c>
      <c r="N152" s="41" t="s">
        <v>463</v>
      </c>
      <c r="O152" s="41" t="s">
        <v>97</v>
      </c>
      <c r="P152" s="44" t="s">
        <v>78</v>
      </c>
      <c r="Q152" s="44">
        <v>4.42238606E9</v>
      </c>
      <c r="R152" s="41" t="s">
        <v>464</v>
      </c>
      <c r="S152" s="45" t="s">
        <v>465</v>
      </c>
      <c r="T152" s="46" t="s">
        <v>81</v>
      </c>
      <c r="U152" s="47" t="s">
        <v>100</v>
      </c>
      <c r="V152" s="138">
        <v>1.0</v>
      </c>
      <c r="W152" s="44" t="s">
        <v>83</v>
      </c>
      <c r="X152" s="44" t="s">
        <v>84</v>
      </c>
      <c r="Y152" s="49">
        <v>2.0</v>
      </c>
      <c r="Z152" s="50">
        <v>46099.0</v>
      </c>
      <c r="AA152" s="44">
        <f>DAY(Tabla1[F. INICIO])</f>
        <v>18</v>
      </c>
      <c r="AB152" s="51" t="str">
        <f>TEXT(' En tramite 23-26'!$Z152,"mmmm")</f>
        <v>marzo</v>
      </c>
      <c r="AC152" s="44">
        <f>YEAR(' En tramite 23-26'!$Z152)</f>
        <v>2026</v>
      </c>
      <c r="AD152" s="44" t="s">
        <v>84</v>
      </c>
      <c r="AE152" s="49">
        <v>2.0</v>
      </c>
      <c r="AF152" s="49">
        <v>46099.0</v>
      </c>
      <c r="AG152" s="44" t="s">
        <v>84</v>
      </c>
      <c r="AH152" s="44">
        <v>2.0</v>
      </c>
      <c r="AI152" s="49">
        <v>46125.0</v>
      </c>
      <c r="AJ152" s="44">
        <f>DAY(' En tramite 23-26'!$AI152)</f>
        <v>13</v>
      </c>
      <c r="AK152" s="44" t="str">
        <f>TEXT(' En tramite 23-26'!$AI152,"mmmm")</f>
        <v>abril</v>
      </c>
      <c r="AL152" s="44">
        <f>YEAR(' En tramite 23-26'!$Z152)</f>
        <v>2026</v>
      </c>
      <c r="AM152" s="44" t="s">
        <v>84</v>
      </c>
      <c r="AN152" s="49">
        <v>2.0</v>
      </c>
      <c r="AO152" s="49">
        <v>46174.0</v>
      </c>
      <c r="AP152" s="44" t="s">
        <v>84</v>
      </c>
      <c r="AQ152" s="49">
        <v>2.0</v>
      </c>
      <c r="AR152" s="49">
        <v>46174.0</v>
      </c>
      <c r="AS152" s="103">
        <f>' En tramite 23-26'!$AI152+45</f>
        <v>46170</v>
      </c>
      <c r="AT152" s="44" t="s">
        <v>85</v>
      </c>
      <c r="AU152" s="44"/>
      <c r="AV152" s="44"/>
      <c r="AW152" s="49">
        <f>' En tramite 23-26'!$AS152+45</f>
        <v>46215</v>
      </c>
      <c r="AX152" s="44"/>
      <c r="AY152" s="44"/>
      <c r="AZ152" s="44"/>
      <c r="BA152" s="44"/>
      <c r="BB152" s="44"/>
      <c r="BC152" s="12"/>
      <c r="BD152" s="44"/>
      <c r="BE152" s="44">
        <f>DAY(' En tramite 23-26'!$BD152)</f>
        <v>30</v>
      </c>
      <c r="BF152" s="49" t="str">
        <f>TEXT(' En tramite 23-26'!$BD152,"mmmm")</f>
        <v>diciembre</v>
      </c>
      <c r="BG152" s="44">
        <f>YEAR(' En tramite 23-26'!$BD152)</f>
        <v>1899</v>
      </c>
      <c r="BH152" s="44"/>
      <c r="BI152" s="44"/>
      <c r="BJ152" s="44"/>
      <c r="BK152" s="54"/>
      <c r="BL152" s="13"/>
      <c r="BM152" s="58"/>
    </row>
    <row r="153" ht="16.5" customHeight="1">
      <c r="A153" s="28" t="s">
        <v>1229</v>
      </c>
      <c r="B153" s="34"/>
      <c r="C153" s="13"/>
      <c r="D153" s="62" t="s">
        <v>1230</v>
      </c>
      <c r="E153" s="15" t="s">
        <v>1231</v>
      </c>
      <c r="F153" s="63" t="s">
        <v>1232</v>
      </c>
      <c r="G153" s="63">
        <v>4.424918163E9</v>
      </c>
      <c r="H153" s="64" t="s">
        <v>1233</v>
      </c>
      <c r="I153" s="62" t="s">
        <v>857</v>
      </c>
      <c r="J153" s="62" t="s">
        <v>73</v>
      </c>
      <c r="K153" s="62" t="s">
        <v>155</v>
      </c>
      <c r="L153" s="65" t="s">
        <v>75</v>
      </c>
      <c r="M153" s="66" t="s">
        <v>14</v>
      </c>
      <c r="N153" s="62" t="s">
        <v>1234</v>
      </c>
      <c r="O153" s="62" t="s">
        <v>77</v>
      </c>
      <c r="P153" s="67" t="s">
        <v>78</v>
      </c>
      <c r="Q153" s="67">
        <v>4.42585256E9</v>
      </c>
      <c r="R153" s="67" t="s">
        <v>1235</v>
      </c>
      <c r="S153" s="68" t="s">
        <v>1236</v>
      </c>
      <c r="T153" s="69" t="s">
        <v>81</v>
      </c>
      <c r="U153" s="70" t="s">
        <v>82</v>
      </c>
      <c r="V153" s="137">
        <v>1.0</v>
      </c>
      <c r="W153" s="67" t="s">
        <v>83</v>
      </c>
      <c r="X153" s="67" t="s">
        <v>84</v>
      </c>
      <c r="Y153" s="73">
        <v>2.0</v>
      </c>
      <c r="Z153" s="74">
        <v>46107.0</v>
      </c>
      <c r="AA153" s="67">
        <f>DAY(Tabla1[F. INICIO])</f>
        <v>26</v>
      </c>
      <c r="AB153" s="75" t="str">
        <f>TEXT(' En tramite 23-26'!$Z153,"mmmm")</f>
        <v>marzo</v>
      </c>
      <c r="AC153" s="67">
        <f>YEAR(' En tramite 23-26'!$Z153)</f>
        <v>2026</v>
      </c>
      <c r="AD153" s="67" t="s">
        <v>84</v>
      </c>
      <c r="AE153" s="73">
        <v>2.0</v>
      </c>
      <c r="AF153" s="73">
        <v>46107.0</v>
      </c>
      <c r="AG153" s="67" t="s">
        <v>84</v>
      </c>
      <c r="AH153" s="73">
        <v>2.0</v>
      </c>
      <c r="AI153" s="73">
        <v>46104.0</v>
      </c>
      <c r="AJ153" s="67">
        <f>DAY(' En tramite 23-26'!$AI153)</f>
        <v>23</v>
      </c>
      <c r="AK153" s="67" t="str">
        <f>TEXT(' En tramite 23-26'!$AI153,"mmmm")</f>
        <v>marzo</v>
      </c>
      <c r="AL153" s="67">
        <f>YEAR(' En tramite 23-26'!$Z153)</f>
        <v>2026</v>
      </c>
      <c r="AM153" s="67" t="s">
        <v>84</v>
      </c>
      <c r="AN153" s="73">
        <v>2.0</v>
      </c>
      <c r="AO153" s="73">
        <v>46104.0</v>
      </c>
      <c r="AP153" s="67" t="s">
        <v>84</v>
      </c>
      <c r="AQ153" s="73">
        <v>2.0</v>
      </c>
      <c r="AR153" s="73">
        <v>46143.0</v>
      </c>
      <c r="AS153" s="73">
        <f>' En tramite 23-26'!$AI153+45</f>
        <v>46149</v>
      </c>
      <c r="AT153" s="67" t="s">
        <v>85</v>
      </c>
      <c r="AU153" s="67" t="s">
        <v>84</v>
      </c>
      <c r="AV153" s="67">
        <v>2.0</v>
      </c>
      <c r="AW153" s="73">
        <v>46195.0</v>
      </c>
      <c r="AX153" s="67" t="s">
        <v>86</v>
      </c>
      <c r="AY153" s="67" t="s">
        <v>84</v>
      </c>
      <c r="AZ153" s="67">
        <v>2.0</v>
      </c>
      <c r="BA153" s="73">
        <v>46195.0</v>
      </c>
      <c r="BB153" s="67" t="s">
        <v>84</v>
      </c>
      <c r="BC153" s="76">
        <v>2.0</v>
      </c>
      <c r="BD153" s="73">
        <v>46195.0</v>
      </c>
      <c r="BE153" s="67">
        <f>DAY(' En tramite 23-26'!$BD153)</f>
        <v>22</v>
      </c>
      <c r="BF153" s="73" t="str">
        <f>TEXT(' En tramite 23-26'!$BD153,"mmmm")</f>
        <v>junio</v>
      </c>
      <c r="BG153" s="67">
        <f>YEAR(' En tramite 23-26'!$BD153)</f>
        <v>2026</v>
      </c>
      <c r="BH153" s="77"/>
      <c r="BI153" s="78"/>
      <c r="BJ153" s="78" t="s">
        <v>274</v>
      </c>
      <c r="BK153" s="79" t="s">
        <v>275</v>
      </c>
      <c r="BL153" s="66"/>
      <c r="BM153" s="80"/>
    </row>
    <row r="154" ht="16.5" customHeight="1">
      <c r="A154" s="28" t="s">
        <v>1237</v>
      </c>
      <c r="B154" s="34"/>
      <c r="C154" s="13"/>
      <c r="D154" s="62" t="s">
        <v>1238</v>
      </c>
      <c r="E154" s="15" t="s">
        <v>1239</v>
      </c>
      <c r="F154" s="63" t="s">
        <v>1240</v>
      </c>
      <c r="G154" s="63">
        <v>4.424156488E9</v>
      </c>
      <c r="H154" s="64" t="s">
        <v>1241</v>
      </c>
      <c r="I154" s="62" t="s">
        <v>839</v>
      </c>
      <c r="J154" s="62" t="s">
        <v>109</v>
      </c>
      <c r="K154" s="62" t="s">
        <v>129</v>
      </c>
      <c r="L154" s="65" t="s">
        <v>75</v>
      </c>
      <c r="M154" s="66" t="s">
        <v>14</v>
      </c>
      <c r="N154" s="62" t="s">
        <v>1242</v>
      </c>
      <c r="O154" s="62" t="s">
        <v>77</v>
      </c>
      <c r="P154" s="67" t="s">
        <v>78</v>
      </c>
      <c r="Q154" s="67">
        <v>4.422086665E9</v>
      </c>
      <c r="R154" s="67" t="s">
        <v>1243</v>
      </c>
      <c r="S154" s="68" t="s">
        <v>1194</v>
      </c>
      <c r="T154" s="69" t="s">
        <v>81</v>
      </c>
      <c r="U154" s="70" t="s">
        <v>82</v>
      </c>
      <c r="V154" s="137">
        <v>2.0</v>
      </c>
      <c r="W154" s="113">
        <v>4000.0</v>
      </c>
      <c r="X154" s="67" t="s">
        <v>84</v>
      </c>
      <c r="Y154" s="73">
        <v>2.0</v>
      </c>
      <c r="Z154" s="74">
        <v>46038.0</v>
      </c>
      <c r="AA154" s="67">
        <f>DAY(Tabla1[F. INICIO])</f>
        <v>16</v>
      </c>
      <c r="AB154" s="75" t="str">
        <f>TEXT(' En tramite 23-26'!$Z154,"mmmm")</f>
        <v>enero</v>
      </c>
      <c r="AC154" s="67">
        <f>YEAR(' En tramite 23-26'!$Z154)</f>
        <v>2026</v>
      </c>
      <c r="AD154" s="67" t="s">
        <v>84</v>
      </c>
      <c r="AE154" s="73">
        <v>2.0</v>
      </c>
      <c r="AF154" s="73">
        <v>46038.0</v>
      </c>
      <c r="AG154" s="67" t="s">
        <v>84</v>
      </c>
      <c r="AH154" s="73">
        <v>2.0</v>
      </c>
      <c r="AI154" s="73">
        <v>46041.0</v>
      </c>
      <c r="AJ154" s="67">
        <f>DAY(' En tramite 23-26'!$AI154)</f>
        <v>19</v>
      </c>
      <c r="AK154" s="67" t="str">
        <f>TEXT(' En tramite 23-26'!$AI154,"mmmm")</f>
        <v>enero</v>
      </c>
      <c r="AL154" s="67">
        <f>YEAR(' En tramite 23-26'!$Z154)</f>
        <v>2026</v>
      </c>
      <c r="AM154" s="67" t="s">
        <v>84</v>
      </c>
      <c r="AN154" s="73">
        <v>2.0</v>
      </c>
      <c r="AO154" s="73">
        <v>46041.0</v>
      </c>
      <c r="AP154" s="67" t="s">
        <v>84</v>
      </c>
      <c r="AQ154" s="73">
        <v>2.0</v>
      </c>
      <c r="AR154" s="73">
        <v>46080.0</v>
      </c>
      <c r="AS154" s="73">
        <f>' En tramite 23-26'!$AI154+45</f>
        <v>46086</v>
      </c>
      <c r="AT154" s="67" t="s">
        <v>85</v>
      </c>
      <c r="AU154" s="67" t="s">
        <v>84</v>
      </c>
      <c r="AV154" s="67">
        <v>2.0</v>
      </c>
      <c r="AW154" s="73">
        <v>46122.0</v>
      </c>
      <c r="AX154" s="67" t="s">
        <v>86</v>
      </c>
      <c r="AY154" s="67" t="s">
        <v>84</v>
      </c>
      <c r="AZ154" s="67">
        <v>2.0</v>
      </c>
      <c r="BA154" s="73">
        <v>46122.0</v>
      </c>
      <c r="BB154" s="67" t="s">
        <v>84</v>
      </c>
      <c r="BC154" s="76">
        <v>2.0</v>
      </c>
      <c r="BD154" s="73">
        <v>46122.0</v>
      </c>
      <c r="BE154" s="67">
        <f>DAY(' En tramite 23-26'!$BD154)</f>
        <v>10</v>
      </c>
      <c r="BF154" s="73" t="str">
        <f>TEXT(' En tramite 23-26'!$BD154,"mmmm")</f>
        <v>abril</v>
      </c>
      <c r="BG154" s="67">
        <f>YEAR(' En tramite 23-26'!$BD154)</f>
        <v>2026</v>
      </c>
      <c r="BH154" s="67"/>
      <c r="BI154" s="67"/>
      <c r="BJ154" s="78" t="s">
        <v>274</v>
      </c>
      <c r="BK154" s="79" t="s">
        <v>275</v>
      </c>
      <c r="BL154" s="66"/>
      <c r="BM154" s="80"/>
    </row>
    <row r="155" ht="16.5" customHeight="1">
      <c r="A155" s="28" t="s">
        <v>1244</v>
      </c>
      <c r="B155" s="34" t="s">
        <v>852</v>
      </c>
      <c r="C155" s="13" t="s">
        <v>1245</v>
      </c>
      <c r="D155" s="18" t="s">
        <v>1246</v>
      </c>
      <c r="E155" s="15" t="s">
        <v>1247</v>
      </c>
      <c r="F155" s="16" t="s">
        <v>1248</v>
      </c>
      <c r="G155" s="16">
        <v>4.428179597E9</v>
      </c>
      <c r="H155" s="17" t="s">
        <v>1249</v>
      </c>
      <c r="I155" s="18" t="s">
        <v>839</v>
      </c>
      <c r="J155" s="18" t="s">
        <v>109</v>
      </c>
      <c r="K155" s="18" t="s">
        <v>129</v>
      </c>
      <c r="L155" s="19" t="s">
        <v>75</v>
      </c>
      <c r="M155" s="14" t="s">
        <v>14</v>
      </c>
      <c r="N155" s="18" t="s">
        <v>1250</v>
      </c>
      <c r="O155" s="18" t="s">
        <v>131</v>
      </c>
      <c r="P155" s="20" t="s">
        <v>78</v>
      </c>
      <c r="Q155" s="20">
        <v>4.422427001E9</v>
      </c>
      <c r="R155" s="20" t="s">
        <v>1251</v>
      </c>
      <c r="S155" s="35" t="s">
        <v>1252</v>
      </c>
      <c r="T155" s="22" t="s">
        <v>81</v>
      </c>
      <c r="U155" s="21" t="s">
        <v>82</v>
      </c>
      <c r="V155" s="91">
        <v>1.0</v>
      </c>
      <c r="W155" s="82" t="s">
        <v>83</v>
      </c>
      <c r="X155" s="20" t="s">
        <v>84</v>
      </c>
      <c r="Y155" s="24">
        <v>2.0</v>
      </c>
      <c r="Z155" s="25">
        <v>46127.0</v>
      </c>
      <c r="AA155" s="20">
        <f>DAY(Tabla1[F. INICIO])</f>
        <v>15</v>
      </c>
      <c r="AB155" s="26" t="str">
        <f>TEXT(' En tramite 23-26'!$Z155,"mmmm")</f>
        <v>abril</v>
      </c>
      <c r="AC155" s="20">
        <f>YEAR(' En tramite 23-26'!$Z155)</f>
        <v>2026</v>
      </c>
      <c r="AD155" s="20" t="s">
        <v>84</v>
      </c>
      <c r="AE155" s="24">
        <v>2.0</v>
      </c>
      <c r="AF155" s="24">
        <v>46127.0</v>
      </c>
      <c r="AG155" s="20" t="s">
        <v>84</v>
      </c>
      <c r="AH155" s="24">
        <v>2.0</v>
      </c>
      <c r="AI155" s="24">
        <v>46132.0</v>
      </c>
      <c r="AJ155" s="20">
        <f>DAY(' En tramite 23-26'!$AI155)</f>
        <v>20</v>
      </c>
      <c r="AK155" s="20" t="str">
        <f>TEXT(' En tramite 23-26'!$AI155,"mmmm")</f>
        <v>abril</v>
      </c>
      <c r="AL155" s="20">
        <f>YEAR(' En tramite 23-26'!$Z155)</f>
        <v>2026</v>
      </c>
      <c r="AM155" s="20" t="s">
        <v>84</v>
      </c>
      <c r="AN155" s="24">
        <v>2.0</v>
      </c>
      <c r="AO155" s="24">
        <v>46132.0</v>
      </c>
      <c r="AP155" s="20" t="s">
        <v>84</v>
      </c>
      <c r="AQ155" s="24">
        <v>2.0</v>
      </c>
      <c r="AR155" s="24">
        <v>46182.0</v>
      </c>
      <c r="AS155" s="24">
        <f>' En tramite 23-26'!$AI155+45</f>
        <v>46177</v>
      </c>
      <c r="AT155" s="20" t="s">
        <v>85</v>
      </c>
      <c r="AU155" s="20" t="s">
        <v>84</v>
      </c>
      <c r="AV155" s="20">
        <v>2.0</v>
      </c>
      <c r="AW155" s="24">
        <v>46220.0</v>
      </c>
      <c r="AX155" s="20" t="s">
        <v>86</v>
      </c>
      <c r="AY155" s="20" t="s">
        <v>84</v>
      </c>
      <c r="AZ155" s="20">
        <v>2.0</v>
      </c>
      <c r="BA155" s="24">
        <v>46220.0</v>
      </c>
      <c r="BB155" s="20" t="s">
        <v>84</v>
      </c>
      <c r="BC155" s="28">
        <v>2.0</v>
      </c>
      <c r="BD155" s="24">
        <v>46220.0</v>
      </c>
      <c r="BE155" s="20">
        <f>DAY(' En tramite 23-26'!$BD155)</f>
        <v>17</v>
      </c>
      <c r="BF155" s="24" t="str">
        <f>TEXT(' En tramite 23-26'!$BD155,"mmmm")</f>
        <v>julio</v>
      </c>
      <c r="BG155" s="20">
        <f>YEAR(' En tramite 23-26'!$BD155)</f>
        <v>2026</v>
      </c>
      <c r="BH155" s="29">
        <v>1.0</v>
      </c>
      <c r="BI155" s="26" t="s">
        <v>915</v>
      </c>
      <c r="BJ155" s="30" t="s">
        <v>88</v>
      </c>
      <c r="BK155" s="31" t="s">
        <v>89</v>
      </c>
      <c r="BL155" s="14"/>
      <c r="BM155" s="81"/>
    </row>
    <row r="156" ht="16.5" customHeight="1">
      <c r="A156" s="28" t="s">
        <v>1253</v>
      </c>
      <c r="B156" s="34" t="s">
        <v>861</v>
      </c>
      <c r="C156" s="13" t="s">
        <v>1254</v>
      </c>
      <c r="D156" s="18" t="s">
        <v>1255</v>
      </c>
      <c r="E156" s="15" t="s">
        <v>1256</v>
      </c>
      <c r="F156" s="16" t="s">
        <v>1257</v>
      </c>
      <c r="G156" s="16">
        <v>4.461189987E9</v>
      </c>
      <c r="H156" s="17" t="s">
        <v>1258</v>
      </c>
      <c r="I156" s="18" t="s">
        <v>952</v>
      </c>
      <c r="J156" s="18" t="s">
        <v>109</v>
      </c>
      <c r="K156" s="18" t="s">
        <v>141</v>
      </c>
      <c r="L156" s="19" t="s">
        <v>75</v>
      </c>
      <c r="M156" s="14" t="s">
        <v>14</v>
      </c>
      <c r="N156" s="18" t="s">
        <v>1259</v>
      </c>
      <c r="O156" s="18" t="s">
        <v>131</v>
      </c>
      <c r="P156" s="20" t="s">
        <v>78</v>
      </c>
      <c r="Q156" s="20">
        <v>4.422311661E9</v>
      </c>
      <c r="R156" s="20" t="s">
        <v>1260</v>
      </c>
      <c r="S156" s="35" t="s">
        <v>1261</v>
      </c>
      <c r="T156" s="22" t="s">
        <v>81</v>
      </c>
      <c r="U156" s="21" t="s">
        <v>82</v>
      </c>
      <c r="V156" s="91">
        <v>2.0</v>
      </c>
      <c r="W156" s="82">
        <v>2800.0</v>
      </c>
      <c r="X156" s="20" t="s">
        <v>84</v>
      </c>
      <c r="Y156" s="24">
        <v>2.0</v>
      </c>
      <c r="Z156" s="25">
        <v>46034.0</v>
      </c>
      <c r="AA156" s="20">
        <f>DAY(Tabla1[F. INICIO])</f>
        <v>12</v>
      </c>
      <c r="AB156" s="26" t="str">
        <f>TEXT(' En tramite 23-26'!$Z156,"mmmm")</f>
        <v>enero</v>
      </c>
      <c r="AC156" s="20">
        <f>YEAR(' En tramite 23-26'!$Z156)</f>
        <v>2026</v>
      </c>
      <c r="AD156" s="20" t="s">
        <v>84</v>
      </c>
      <c r="AE156" s="24">
        <v>2.0</v>
      </c>
      <c r="AF156" s="24">
        <v>46034.0</v>
      </c>
      <c r="AG156" s="20" t="s">
        <v>84</v>
      </c>
      <c r="AH156" s="20">
        <v>2.0</v>
      </c>
      <c r="AI156" s="24">
        <v>46034.0</v>
      </c>
      <c r="AJ156" s="20">
        <f>DAY(' En tramite 23-26'!$AI156)</f>
        <v>12</v>
      </c>
      <c r="AK156" s="20" t="str">
        <f>TEXT(' En tramite 23-26'!$AI156,"mmmm")</f>
        <v>enero</v>
      </c>
      <c r="AL156" s="20">
        <f>YEAR(' En tramite 23-26'!$Z156)</f>
        <v>2026</v>
      </c>
      <c r="AM156" s="20" t="s">
        <v>84</v>
      </c>
      <c r="AN156" s="24">
        <v>2.0</v>
      </c>
      <c r="AO156" s="24">
        <v>46034.0</v>
      </c>
      <c r="AP156" s="20" t="s">
        <v>84</v>
      </c>
      <c r="AQ156" s="24">
        <v>2.0</v>
      </c>
      <c r="AR156" s="24">
        <v>46076.0</v>
      </c>
      <c r="AS156" s="24">
        <f>' En tramite 23-26'!$AI156+45</f>
        <v>46079</v>
      </c>
      <c r="AT156" s="20" t="s">
        <v>85</v>
      </c>
      <c r="AU156" s="20" t="s">
        <v>84</v>
      </c>
      <c r="AV156" s="20">
        <v>2.0</v>
      </c>
      <c r="AW156" s="24">
        <v>46146.0</v>
      </c>
      <c r="AX156" s="20" t="s">
        <v>86</v>
      </c>
      <c r="AY156" s="20" t="s">
        <v>84</v>
      </c>
      <c r="AZ156" s="20">
        <v>2.0</v>
      </c>
      <c r="BA156" s="24">
        <v>46146.0</v>
      </c>
      <c r="BB156" s="20" t="s">
        <v>84</v>
      </c>
      <c r="BC156" s="28">
        <v>2.0</v>
      </c>
      <c r="BD156" s="24">
        <v>46146.0</v>
      </c>
      <c r="BE156" s="20">
        <f>DAY(' En tramite 23-26'!$BD156)</f>
        <v>4</v>
      </c>
      <c r="BF156" s="24" t="str">
        <f>TEXT(' En tramite 23-26'!$BD156,"mmmm")</f>
        <v>mayo</v>
      </c>
      <c r="BG156" s="20">
        <f>YEAR(' En tramite 23-26'!$BD156)</f>
        <v>2026</v>
      </c>
      <c r="BH156" s="29">
        <v>1.0</v>
      </c>
      <c r="BI156" s="26" t="s">
        <v>1262</v>
      </c>
      <c r="BJ156" s="30" t="s">
        <v>88</v>
      </c>
      <c r="BK156" s="31" t="s">
        <v>89</v>
      </c>
      <c r="BL156" s="14"/>
      <c r="BM156" s="81"/>
    </row>
    <row r="157" ht="16.5" customHeight="1">
      <c r="A157" s="28" t="s">
        <v>1263</v>
      </c>
      <c r="B157" s="34"/>
      <c r="C157" s="13"/>
      <c r="D157" s="62" t="s">
        <v>1264</v>
      </c>
      <c r="E157" s="15" t="s">
        <v>1265</v>
      </c>
      <c r="F157" s="63" t="s">
        <v>1266</v>
      </c>
      <c r="G157" s="63">
        <v>4.4615136E9</v>
      </c>
      <c r="H157" s="64" t="s">
        <v>1267</v>
      </c>
      <c r="I157" s="62" t="s">
        <v>993</v>
      </c>
      <c r="J157" s="62" t="s">
        <v>109</v>
      </c>
      <c r="K157" s="62" t="s">
        <v>155</v>
      </c>
      <c r="L157" s="65" t="s">
        <v>75</v>
      </c>
      <c r="M157" s="66" t="s">
        <v>14</v>
      </c>
      <c r="N157" s="62" t="s">
        <v>1268</v>
      </c>
      <c r="O157" s="62" t="s">
        <v>131</v>
      </c>
      <c r="P157" s="67" t="s">
        <v>78</v>
      </c>
      <c r="Q157" s="67">
        <v>4.4615136E9</v>
      </c>
      <c r="R157" s="67" t="s">
        <v>1269</v>
      </c>
      <c r="S157" s="68" t="s">
        <v>1270</v>
      </c>
      <c r="T157" s="69" t="s">
        <v>81</v>
      </c>
      <c r="U157" s="70" t="s">
        <v>82</v>
      </c>
      <c r="V157" s="104">
        <v>1.0</v>
      </c>
      <c r="W157" s="67" t="s">
        <v>83</v>
      </c>
      <c r="X157" s="67" t="s">
        <v>84</v>
      </c>
      <c r="Y157" s="73">
        <v>3.0</v>
      </c>
      <c r="Z157" s="74">
        <v>46107.0</v>
      </c>
      <c r="AA157" s="67">
        <f>DAY(Tabla1[F. INICIO])</f>
        <v>26</v>
      </c>
      <c r="AB157" s="75" t="str">
        <f>TEXT(' En tramite 23-26'!$Z157,"mmmm")</f>
        <v>marzo</v>
      </c>
      <c r="AC157" s="67">
        <f>YEAR(' En tramite 23-26'!$Z157)</f>
        <v>2026</v>
      </c>
      <c r="AD157" s="67" t="s">
        <v>84</v>
      </c>
      <c r="AE157" s="73">
        <v>3.0</v>
      </c>
      <c r="AF157" s="73">
        <v>46128.0</v>
      </c>
      <c r="AG157" s="67" t="s">
        <v>84</v>
      </c>
      <c r="AH157" s="67">
        <v>2.0</v>
      </c>
      <c r="AI157" s="73">
        <v>46129.0</v>
      </c>
      <c r="AJ157" s="67">
        <f>DAY(' En tramite 23-26'!$AI157)</f>
        <v>17</v>
      </c>
      <c r="AK157" s="67" t="str">
        <f>TEXT(' En tramite 23-26'!$AI157,"mmmm")</f>
        <v>abril</v>
      </c>
      <c r="AL157" s="67">
        <f>YEAR(' En tramite 23-26'!$Z157)</f>
        <v>2026</v>
      </c>
      <c r="AM157" s="67" t="s">
        <v>84</v>
      </c>
      <c r="AN157" s="73">
        <v>2.0</v>
      </c>
      <c r="AO157" s="73">
        <v>46129.0</v>
      </c>
      <c r="AP157" s="67" t="s">
        <v>84</v>
      </c>
      <c r="AQ157" s="73">
        <v>2.0</v>
      </c>
      <c r="AR157" s="73">
        <v>46171.0</v>
      </c>
      <c r="AS157" s="73">
        <f>' En tramite 23-26'!$AI157+45</f>
        <v>46174</v>
      </c>
      <c r="AT157" s="67" t="s">
        <v>85</v>
      </c>
      <c r="AU157" s="67" t="s">
        <v>84</v>
      </c>
      <c r="AV157" s="67">
        <v>2.0</v>
      </c>
      <c r="AW157" s="73">
        <f>' En tramite 23-26'!$AS157+45</f>
        <v>46219</v>
      </c>
      <c r="AX157" s="67" t="s">
        <v>86</v>
      </c>
      <c r="AY157" s="67" t="s">
        <v>84</v>
      </c>
      <c r="AZ157" s="67">
        <v>2.0</v>
      </c>
      <c r="BA157" s="73">
        <v>46219.0</v>
      </c>
      <c r="BB157" s="67" t="s">
        <v>84</v>
      </c>
      <c r="BC157" s="76">
        <v>2.0</v>
      </c>
      <c r="BD157" s="73">
        <v>46219.0</v>
      </c>
      <c r="BE157" s="67">
        <f>DAY(' En tramite 23-26'!$BD157)</f>
        <v>16</v>
      </c>
      <c r="BF157" s="73" t="str">
        <f>TEXT(' En tramite 23-26'!$BD157,"mmmm")</f>
        <v>julio</v>
      </c>
      <c r="BG157" s="67">
        <f>YEAR(' En tramite 23-26'!$BD157)</f>
        <v>2026</v>
      </c>
      <c r="BH157" s="67"/>
      <c r="BI157" s="67"/>
      <c r="BJ157" s="78" t="s">
        <v>274</v>
      </c>
      <c r="BK157" s="79" t="s">
        <v>275</v>
      </c>
      <c r="BL157" s="66"/>
      <c r="BM157" s="80"/>
    </row>
    <row r="158" ht="16.5" customHeight="1">
      <c r="A158" s="28" t="s">
        <v>1271</v>
      </c>
      <c r="B158" s="34" t="s">
        <v>873</v>
      </c>
      <c r="C158" s="13" t="s">
        <v>1272</v>
      </c>
      <c r="D158" s="18" t="s">
        <v>1273</v>
      </c>
      <c r="E158" s="15" t="s">
        <v>1274</v>
      </c>
      <c r="F158" s="16" t="s">
        <v>1275</v>
      </c>
      <c r="G158" s="16">
        <v>4.423276059E9</v>
      </c>
      <c r="H158" s="17" t="s">
        <v>1276</v>
      </c>
      <c r="I158" s="18" t="s">
        <v>839</v>
      </c>
      <c r="J158" s="18" t="s">
        <v>109</v>
      </c>
      <c r="K158" s="18" t="s">
        <v>129</v>
      </c>
      <c r="L158" s="19" t="s">
        <v>75</v>
      </c>
      <c r="M158" s="14" t="s">
        <v>14</v>
      </c>
      <c r="N158" s="18" t="s">
        <v>1277</v>
      </c>
      <c r="O158" s="18" t="s">
        <v>131</v>
      </c>
      <c r="P158" s="20" t="s">
        <v>78</v>
      </c>
      <c r="Q158" s="20">
        <v>4.421143901E9</v>
      </c>
      <c r="R158" s="20" t="s">
        <v>1278</v>
      </c>
      <c r="S158" s="35" t="s">
        <v>1279</v>
      </c>
      <c r="T158" s="22" t="s">
        <v>81</v>
      </c>
      <c r="U158" s="21" t="s">
        <v>100</v>
      </c>
      <c r="V158" s="100">
        <v>1.0</v>
      </c>
      <c r="W158" s="20" t="s">
        <v>83</v>
      </c>
      <c r="X158" s="20" t="s">
        <v>84</v>
      </c>
      <c r="Y158" s="24">
        <v>4.0</v>
      </c>
      <c r="Z158" s="25">
        <v>46104.0</v>
      </c>
      <c r="AA158" s="20">
        <f>DAY(Tabla1[F. INICIO])</f>
        <v>23</v>
      </c>
      <c r="AB158" s="26" t="str">
        <f>TEXT(' En tramite 23-26'!$Z158,"mmmm")</f>
        <v>marzo</v>
      </c>
      <c r="AC158" s="20">
        <f>YEAR(' En tramite 23-26'!$Z158)</f>
        <v>2026</v>
      </c>
      <c r="AD158" s="20" t="s">
        <v>84</v>
      </c>
      <c r="AE158" s="24">
        <v>4.0</v>
      </c>
      <c r="AF158" s="24">
        <v>46104.0</v>
      </c>
      <c r="AG158" s="20" t="s">
        <v>84</v>
      </c>
      <c r="AH158" s="24">
        <v>2.0</v>
      </c>
      <c r="AI158" s="24">
        <v>46104.0</v>
      </c>
      <c r="AJ158" s="20">
        <f>DAY(' En tramite 23-26'!$AI158)</f>
        <v>23</v>
      </c>
      <c r="AK158" s="20" t="str">
        <f>TEXT(' En tramite 23-26'!$AI158,"mmmm")</f>
        <v>marzo</v>
      </c>
      <c r="AL158" s="20">
        <f>YEAR(' En tramite 23-26'!$Z158)</f>
        <v>2026</v>
      </c>
      <c r="AM158" s="20" t="s">
        <v>84</v>
      </c>
      <c r="AN158" s="24">
        <v>2.0</v>
      </c>
      <c r="AO158" s="24">
        <v>46104.0</v>
      </c>
      <c r="AP158" s="20" t="s">
        <v>84</v>
      </c>
      <c r="AQ158" s="24">
        <v>2.0</v>
      </c>
      <c r="AR158" s="24">
        <v>46139.0</v>
      </c>
      <c r="AS158" s="24">
        <f>' En tramite 23-26'!$AI158+45</f>
        <v>46149</v>
      </c>
      <c r="AT158" s="20" t="s">
        <v>85</v>
      </c>
      <c r="AU158" s="20" t="s">
        <v>84</v>
      </c>
      <c r="AV158" s="20">
        <v>2.0</v>
      </c>
      <c r="AW158" s="24">
        <v>46196.0</v>
      </c>
      <c r="AX158" s="20" t="s">
        <v>86</v>
      </c>
      <c r="AY158" s="20" t="s">
        <v>84</v>
      </c>
      <c r="AZ158" s="20">
        <v>2.0</v>
      </c>
      <c r="BA158" s="24">
        <v>46196.0</v>
      </c>
      <c r="BB158" s="20" t="s">
        <v>84</v>
      </c>
      <c r="BC158" s="28">
        <v>2.0</v>
      </c>
      <c r="BD158" s="134">
        <v>46196.0</v>
      </c>
      <c r="BE158" s="20">
        <f>DAY(' En tramite 23-26'!$BD158)</f>
        <v>23</v>
      </c>
      <c r="BF158" s="24" t="str">
        <f>TEXT(' En tramite 23-26'!$BD158,"mmmm")</f>
        <v>junio</v>
      </c>
      <c r="BG158" s="20">
        <f>YEAR(' En tramite 23-26'!$BD158)</f>
        <v>2026</v>
      </c>
      <c r="BH158" s="29">
        <v>1.0</v>
      </c>
      <c r="BI158" s="26" t="s">
        <v>565</v>
      </c>
      <c r="BJ158" s="30" t="s">
        <v>88</v>
      </c>
      <c r="BK158" s="31" t="s">
        <v>89</v>
      </c>
      <c r="BL158" s="32">
        <v>46213.0</v>
      </c>
      <c r="BM158" s="33">
        <v>2.0</v>
      </c>
    </row>
    <row r="159" ht="16.5" customHeight="1">
      <c r="A159" s="28" t="s">
        <v>1280</v>
      </c>
      <c r="B159" s="34"/>
      <c r="C159" s="13"/>
      <c r="D159" s="41" t="s">
        <v>1281</v>
      </c>
      <c r="E159" s="15" t="s">
        <v>1282</v>
      </c>
      <c r="F159" s="42" t="s">
        <v>1283</v>
      </c>
      <c r="G159" s="42">
        <v>4.4234699E9</v>
      </c>
      <c r="H159" s="43" t="s">
        <v>1284</v>
      </c>
      <c r="I159" s="41" t="s">
        <v>1122</v>
      </c>
      <c r="J159" s="41" t="s">
        <v>73</v>
      </c>
      <c r="K159" s="41" t="s">
        <v>129</v>
      </c>
      <c r="L159" s="44" t="s">
        <v>200</v>
      </c>
      <c r="M159" s="13" t="s">
        <v>14</v>
      </c>
      <c r="N159" s="41" t="s">
        <v>1285</v>
      </c>
      <c r="O159" s="41" t="s">
        <v>131</v>
      </c>
      <c r="P159" s="44" t="s">
        <v>78</v>
      </c>
      <c r="Q159" s="44">
        <v>4.421275221E9</v>
      </c>
      <c r="R159" s="44" t="s">
        <v>1286</v>
      </c>
      <c r="S159" s="45" t="s">
        <v>1287</v>
      </c>
      <c r="T159" s="46" t="s">
        <v>81</v>
      </c>
      <c r="U159" s="47" t="s">
        <v>82</v>
      </c>
      <c r="V159" s="101">
        <v>0.0</v>
      </c>
      <c r="W159" s="44"/>
      <c r="X159" s="44" t="s">
        <v>84</v>
      </c>
      <c r="Y159" s="49">
        <v>5.0</v>
      </c>
      <c r="Z159" s="50">
        <v>46108.0</v>
      </c>
      <c r="AA159" s="44">
        <f>DAY(Tabla1[F. INICIO])</f>
        <v>27</v>
      </c>
      <c r="AB159" s="51" t="str">
        <f>TEXT(' En tramite 23-26'!$Z159,"mmmm")</f>
        <v>marzo</v>
      </c>
      <c r="AC159" s="44">
        <f>YEAR(' En tramite 23-26'!$Z159)</f>
        <v>2026</v>
      </c>
      <c r="AD159" s="44" t="s">
        <v>84</v>
      </c>
      <c r="AE159" s="49">
        <v>5.0</v>
      </c>
      <c r="AF159" s="49">
        <v>46108.0</v>
      </c>
      <c r="AG159" s="44" t="s">
        <v>84</v>
      </c>
      <c r="AH159" s="49">
        <v>2.0</v>
      </c>
      <c r="AI159" s="49">
        <v>46108.0</v>
      </c>
      <c r="AJ159" s="44">
        <f>DAY(' En tramite 23-26'!$AI159)</f>
        <v>27</v>
      </c>
      <c r="AK159" s="44" t="str">
        <f>TEXT(' En tramite 23-26'!$AI159,"mmmm")</f>
        <v>marzo</v>
      </c>
      <c r="AL159" s="44">
        <f>YEAR(' En tramite 23-26'!$Z159)</f>
        <v>2026</v>
      </c>
      <c r="AM159" s="44" t="s">
        <v>84</v>
      </c>
      <c r="AN159" s="49">
        <v>2.0</v>
      </c>
      <c r="AO159" s="49">
        <v>46108.0</v>
      </c>
      <c r="AP159" s="44"/>
      <c r="AQ159" s="49"/>
      <c r="AR159" s="49"/>
      <c r="AS159" s="103">
        <f>' En tramite 23-26'!$AI159+45</f>
        <v>46153</v>
      </c>
      <c r="AT159" s="44"/>
      <c r="AU159" s="44"/>
      <c r="AV159" s="44"/>
      <c r="AW159" s="49">
        <f>' En tramite 23-26'!$AS159+45</f>
        <v>46198</v>
      </c>
      <c r="AX159" s="44"/>
      <c r="AY159" s="44"/>
      <c r="AZ159" s="44"/>
      <c r="BA159" s="49"/>
      <c r="BB159" s="44"/>
      <c r="BC159" s="12"/>
      <c r="BD159" s="49"/>
      <c r="BE159" s="44">
        <f>DAY(' En tramite 23-26'!$BD159)</f>
        <v>30</v>
      </c>
      <c r="BF159" s="49" t="str">
        <f>TEXT(' En tramite 23-26'!$BD159,"mmmm")</f>
        <v>diciembre</v>
      </c>
      <c r="BG159" s="44">
        <f>YEAR(' En tramite 23-26'!$BD159)</f>
        <v>1899</v>
      </c>
      <c r="BH159" s="53"/>
      <c r="BI159" s="13"/>
      <c r="BJ159" s="44"/>
      <c r="BK159" s="54"/>
      <c r="BL159" s="13"/>
      <c r="BM159" s="58"/>
    </row>
    <row r="160" ht="16.5" customHeight="1">
      <c r="A160" s="28" t="s">
        <v>1288</v>
      </c>
      <c r="B160" s="34"/>
      <c r="C160" s="13"/>
      <c r="D160" s="41" t="s">
        <v>1289</v>
      </c>
      <c r="E160" s="15" t="s">
        <v>1290</v>
      </c>
      <c r="F160" s="42" t="s">
        <v>1291</v>
      </c>
      <c r="G160" s="42">
        <v>4.423777501E9</v>
      </c>
      <c r="H160" s="43" t="s">
        <v>1292</v>
      </c>
      <c r="I160" s="41" t="s">
        <v>1122</v>
      </c>
      <c r="J160" s="41" t="s">
        <v>73</v>
      </c>
      <c r="K160" s="41" t="s">
        <v>129</v>
      </c>
      <c r="L160" s="44" t="s">
        <v>200</v>
      </c>
      <c r="M160" s="13" t="s">
        <v>14</v>
      </c>
      <c r="N160" s="41" t="s">
        <v>1293</v>
      </c>
      <c r="O160" s="41" t="s">
        <v>131</v>
      </c>
      <c r="P160" s="44" t="s">
        <v>78</v>
      </c>
      <c r="Q160" s="44">
        <v>4.424719937E9</v>
      </c>
      <c r="R160" s="44" t="s">
        <v>1294</v>
      </c>
      <c r="S160" s="45" t="s">
        <v>1295</v>
      </c>
      <c r="T160" s="46" t="s">
        <v>81</v>
      </c>
      <c r="U160" s="47" t="s">
        <v>100</v>
      </c>
      <c r="V160" s="138">
        <v>0.0</v>
      </c>
      <c r="W160" s="44"/>
      <c r="X160" s="44" t="s">
        <v>84</v>
      </c>
      <c r="Y160" s="49">
        <v>6.0</v>
      </c>
      <c r="Z160" s="50">
        <v>46108.0</v>
      </c>
      <c r="AA160" s="44">
        <f>DAY(Tabla1[F. INICIO])</f>
        <v>27</v>
      </c>
      <c r="AB160" s="51" t="str">
        <f>TEXT(' En tramite 23-26'!$Z160,"mmmm")</f>
        <v>marzo</v>
      </c>
      <c r="AC160" s="44">
        <f>YEAR(' En tramite 23-26'!$Z160)</f>
        <v>2026</v>
      </c>
      <c r="AD160" s="44" t="s">
        <v>84</v>
      </c>
      <c r="AE160" s="49">
        <v>6.0</v>
      </c>
      <c r="AF160" s="49">
        <v>46108.0</v>
      </c>
      <c r="AG160" s="44" t="s">
        <v>84</v>
      </c>
      <c r="AH160" s="49">
        <v>2.0</v>
      </c>
      <c r="AI160" s="49">
        <v>46125.0</v>
      </c>
      <c r="AJ160" s="44">
        <f>DAY(' En tramite 23-26'!$AI160)</f>
        <v>13</v>
      </c>
      <c r="AK160" s="44" t="str">
        <f>TEXT(' En tramite 23-26'!$AI160,"mmmm")</f>
        <v>abril</v>
      </c>
      <c r="AL160" s="44">
        <f>YEAR(' En tramite 23-26'!$Z160)</f>
        <v>2026</v>
      </c>
      <c r="AM160" s="44"/>
      <c r="AN160" s="49"/>
      <c r="AO160" s="49"/>
      <c r="AP160" s="44" t="s">
        <v>84</v>
      </c>
      <c r="AQ160" s="49">
        <v>2.0</v>
      </c>
      <c r="AR160" s="49"/>
      <c r="AS160" s="103">
        <f>' En tramite 23-26'!$AI160+45</f>
        <v>46170</v>
      </c>
      <c r="AT160" s="44"/>
      <c r="AU160" s="44"/>
      <c r="AV160" s="44"/>
      <c r="AW160" s="49">
        <f>' En tramite 23-26'!$AS160+45</f>
        <v>46215</v>
      </c>
      <c r="AX160" s="44"/>
      <c r="AY160" s="44"/>
      <c r="AZ160" s="44"/>
      <c r="BA160" s="49"/>
      <c r="BB160" s="44"/>
      <c r="BC160" s="12"/>
      <c r="BD160" s="49"/>
      <c r="BE160" s="44">
        <f>DAY(' En tramite 23-26'!$BD160)</f>
        <v>30</v>
      </c>
      <c r="BF160" s="49" t="str">
        <f>TEXT(' En tramite 23-26'!$BD160,"mmmm")</f>
        <v>diciembre</v>
      </c>
      <c r="BG160" s="44">
        <f>YEAR(' En tramite 23-26'!$BD160)</f>
        <v>1899</v>
      </c>
      <c r="BH160" s="53"/>
      <c r="BI160" s="13"/>
      <c r="BJ160" s="44"/>
      <c r="BK160" s="54"/>
      <c r="BL160" s="13"/>
      <c r="BM160" s="58"/>
    </row>
    <row r="161" ht="16.5" customHeight="1">
      <c r="A161" s="28" t="s">
        <v>1296</v>
      </c>
      <c r="B161" s="34"/>
      <c r="C161" s="13"/>
      <c r="D161" s="41" t="s">
        <v>1297</v>
      </c>
      <c r="E161" s="15" t="s">
        <v>1298</v>
      </c>
      <c r="F161" s="42" t="s">
        <v>1299</v>
      </c>
      <c r="G161" s="42">
        <v>4.421563923E9</v>
      </c>
      <c r="H161" s="43" t="s">
        <v>1300</v>
      </c>
      <c r="I161" s="41" t="s">
        <v>1122</v>
      </c>
      <c r="J161" s="41" t="s">
        <v>73</v>
      </c>
      <c r="K161" s="41" t="s">
        <v>129</v>
      </c>
      <c r="L161" s="44" t="s">
        <v>200</v>
      </c>
      <c r="M161" s="13" t="s">
        <v>14</v>
      </c>
      <c r="N161" s="41" t="s">
        <v>1293</v>
      </c>
      <c r="O161" s="41" t="s">
        <v>131</v>
      </c>
      <c r="P161" s="44" t="s">
        <v>78</v>
      </c>
      <c r="Q161" s="44">
        <v>4.424719937E9</v>
      </c>
      <c r="R161" s="44" t="s">
        <v>1294</v>
      </c>
      <c r="S161" s="45" t="s">
        <v>1295</v>
      </c>
      <c r="T161" s="46" t="s">
        <v>81</v>
      </c>
      <c r="U161" s="47" t="s">
        <v>100</v>
      </c>
      <c r="V161" s="138">
        <v>0.0</v>
      </c>
      <c r="W161" s="44"/>
      <c r="X161" s="44" t="s">
        <v>84</v>
      </c>
      <c r="Y161" s="49">
        <v>6.0</v>
      </c>
      <c r="Z161" s="50">
        <v>46108.0</v>
      </c>
      <c r="AA161" s="44">
        <f>DAY(Tabla1[F. INICIO])</f>
        <v>27</v>
      </c>
      <c r="AB161" s="51" t="str">
        <f>TEXT(' En tramite 23-26'!$Z161,"mmmm")</f>
        <v>marzo</v>
      </c>
      <c r="AC161" s="44">
        <f>YEAR(' En tramite 23-26'!$Z161)</f>
        <v>2026</v>
      </c>
      <c r="AD161" s="44" t="s">
        <v>84</v>
      </c>
      <c r="AE161" s="49">
        <v>6.0</v>
      </c>
      <c r="AF161" s="49">
        <v>46108.0</v>
      </c>
      <c r="AG161" s="44" t="s">
        <v>84</v>
      </c>
      <c r="AH161" s="49">
        <v>2.0</v>
      </c>
      <c r="AI161" s="49">
        <v>46125.0</v>
      </c>
      <c r="AJ161" s="44">
        <f>DAY(' En tramite 23-26'!$AI161)</f>
        <v>13</v>
      </c>
      <c r="AK161" s="44" t="str">
        <f>TEXT(' En tramite 23-26'!$AI161,"mmmm")</f>
        <v>abril</v>
      </c>
      <c r="AL161" s="44">
        <f>YEAR(' En tramite 23-26'!$Z161)</f>
        <v>2026</v>
      </c>
      <c r="AM161" s="44"/>
      <c r="AN161" s="49"/>
      <c r="AO161" s="44"/>
      <c r="AP161" s="44" t="s">
        <v>84</v>
      </c>
      <c r="AQ161" s="49">
        <v>2.0</v>
      </c>
      <c r="AR161" s="44"/>
      <c r="AS161" s="49">
        <f>' En tramite 23-26'!$AI161+45</f>
        <v>46170</v>
      </c>
      <c r="AT161" s="44"/>
      <c r="AU161" s="44"/>
      <c r="AV161" s="44"/>
      <c r="AW161" s="49">
        <f>' En tramite 23-26'!$AS161+45</f>
        <v>46215</v>
      </c>
      <c r="AX161" s="44"/>
      <c r="AY161" s="44"/>
      <c r="AZ161" s="44"/>
      <c r="BA161" s="44"/>
      <c r="BB161" s="44"/>
      <c r="BC161" s="12"/>
      <c r="BD161" s="44"/>
      <c r="BE161" s="44">
        <f>DAY(' En tramite 23-26'!$BD161)</f>
        <v>30</v>
      </c>
      <c r="BF161" s="49" t="str">
        <f>TEXT(' En tramite 23-26'!$BD161,"mmmm")</f>
        <v>diciembre</v>
      </c>
      <c r="BG161" s="44">
        <f>YEAR(' En tramite 23-26'!$BD161)</f>
        <v>1899</v>
      </c>
      <c r="BH161" s="44"/>
      <c r="BI161" s="44"/>
      <c r="BJ161" s="34"/>
      <c r="BK161" s="54"/>
      <c r="BL161" s="13"/>
      <c r="BM161" s="58"/>
    </row>
    <row r="162" ht="16.5" customHeight="1">
      <c r="A162" s="28" t="s">
        <v>1301</v>
      </c>
      <c r="B162" s="34" t="s">
        <v>881</v>
      </c>
      <c r="C162" s="13" t="s">
        <v>1302</v>
      </c>
      <c r="D162" s="18" t="s">
        <v>1303</v>
      </c>
      <c r="E162" s="15" t="s">
        <v>1304</v>
      </c>
      <c r="F162" s="16" t="s">
        <v>1305</v>
      </c>
      <c r="G162" s="16">
        <v>4.424087168E9</v>
      </c>
      <c r="H162" s="17" t="s">
        <v>1306</v>
      </c>
      <c r="I162" s="18" t="s">
        <v>822</v>
      </c>
      <c r="J162" s="18" t="s">
        <v>109</v>
      </c>
      <c r="K162" s="18" t="s">
        <v>110</v>
      </c>
      <c r="L162" s="19" t="s">
        <v>75</v>
      </c>
      <c r="M162" s="14" t="s">
        <v>142</v>
      </c>
      <c r="N162" s="18" t="s">
        <v>355</v>
      </c>
      <c r="O162" s="18" t="s">
        <v>97</v>
      </c>
      <c r="P162" s="20" t="s">
        <v>1307</v>
      </c>
      <c r="Q162" s="20">
        <v>4.421477241E9</v>
      </c>
      <c r="R162" s="18" t="s">
        <v>98</v>
      </c>
      <c r="S162" s="35" t="s">
        <v>114</v>
      </c>
      <c r="T162" s="22" t="s">
        <v>81</v>
      </c>
      <c r="U162" s="21" t="s">
        <v>82</v>
      </c>
      <c r="V162" s="86">
        <v>1.0</v>
      </c>
      <c r="W162" s="20" t="s">
        <v>83</v>
      </c>
      <c r="X162" s="20" t="s">
        <v>84</v>
      </c>
      <c r="Y162" s="24">
        <v>8.0</v>
      </c>
      <c r="Z162" s="25">
        <v>46097.0</v>
      </c>
      <c r="AA162" s="20">
        <f>DAY(Tabla1[F. INICIO])</f>
        <v>16</v>
      </c>
      <c r="AB162" s="26" t="str">
        <f>TEXT(' En tramite 23-26'!$Z162,"mmmm")</f>
        <v>marzo</v>
      </c>
      <c r="AC162" s="20">
        <f>YEAR(' En tramite 23-26'!$Z162)</f>
        <v>2026</v>
      </c>
      <c r="AD162" s="20" t="s">
        <v>84</v>
      </c>
      <c r="AE162" s="24">
        <v>8.0</v>
      </c>
      <c r="AF162" s="24">
        <v>46097.0</v>
      </c>
      <c r="AG162" s="20" t="s">
        <v>84</v>
      </c>
      <c r="AH162" s="24">
        <v>2.0</v>
      </c>
      <c r="AI162" s="24">
        <v>46094.0</v>
      </c>
      <c r="AJ162" s="20">
        <f>DAY(' En tramite 23-26'!$AI162)</f>
        <v>13</v>
      </c>
      <c r="AK162" s="20" t="str">
        <f>TEXT(' En tramite 23-26'!$AI162,"mmmm")</f>
        <v>marzo</v>
      </c>
      <c r="AL162" s="20">
        <f>YEAR(' En tramite 23-26'!$Z162)</f>
        <v>2026</v>
      </c>
      <c r="AM162" s="20" t="s">
        <v>84</v>
      </c>
      <c r="AN162" s="24">
        <v>2.0</v>
      </c>
      <c r="AO162" s="24">
        <v>46097.0</v>
      </c>
      <c r="AP162" s="20" t="s">
        <v>84</v>
      </c>
      <c r="AQ162" s="24">
        <v>2.0</v>
      </c>
      <c r="AR162" s="24">
        <v>46139.0</v>
      </c>
      <c r="AS162" s="24">
        <f>' En tramite 23-26'!$AI162+45</f>
        <v>46139</v>
      </c>
      <c r="AT162" s="20" t="s">
        <v>85</v>
      </c>
      <c r="AU162" s="20" t="s">
        <v>84</v>
      </c>
      <c r="AV162" s="20">
        <v>2.0</v>
      </c>
      <c r="AW162" s="24">
        <v>46188.0</v>
      </c>
      <c r="AX162" s="20" t="s">
        <v>86</v>
      </c>
      <c r="AY162" s="20" t="s">
        <v>84</v>
      </c>
      <c r="AZ162" s="20">
        <v>2.0</v>
      </c>
      <c r="BA162" s="24">
        <v>46188.0</v>
      </c>
      <c r="BB162" s="20" t="s">
        <v>84</v>
      </c>
      <c r="BC162" s="28">
        <v>2.0</v>
      </c>
      <c r="BD162" s="134">
        <v>46188.0</v>
      </c>
      <c r="BE162" s="20">
        <f>DAY(' En tramite 23-26'!$BD162)</f>
        <v>15</v>
      </c>
      <c r="BF162" s="24" t="str">
        <f>TEXT(' En tramite 23-26'!$BD162,"mmmm")</f>
        <v>junio</v>
      </c>
      <c r="BG162" s="20">
        <f>YEAR(' En tramite 23-26'!$BD162)</f>
        <v>2026</v>
      </c>
      <c r="BH162" s="29">
        <v>1.0</v>
      </c>
      <c r="BI162" s="26" t="s">
        <v>87</v>
      </c>
      <c r="BJ162" s="30" t="s">
        <v>88</v>
      </c>
      <c r="BK162" s="31" t="s">
        <v>89</v>
      </c>
      <c r="BL162" s="14"/>
      <c r="BM162" s="81"/>
    </row>
    <row r="163" ht="16.5" customHeight="1">
      <c r="A163" s="28" t="s">
        <v>1308</v>
      </c>
      <c r="B163" s="34" t="s">
        <v>891</v>
      </c>
      <c r="C163" s="13" t="s">
        <v>1309</v>
      </c>
      <c r="D163" s="18" t="s">
        <v>1310</v>
      </c>
      <c r="E163" s="15" t="s">
        <v>1311</v>
      </c>
      <c r="F163" s="16" t="s">
        <v>1312</v>
      </c>
      <c r="G163" s="16">
        <v>4.2204348E8</v>
      </c>
      <c r="H163" s="17" t="s">
        <v>1313</v>
      </c>
      <c r="I163" s="18" t="s">
        <v>822</v>
      </c>
      <c r="J163" s="18" t="s">
        <v>109</v>
      </c>
      <c r="K163" s="18" t="s">
        <v>110</v>
      </c>
      <c r="L163" s="19" t="s">
        <v>75</v>
      </c>
      <c r="M163" s="14" t="s">
        <v>142</v>
      </c>
      <c r="N163" s="18" t="s">
        <v>355</v>
      </c>
      <c r="O163" s="18" t="s">
        <v>97</v>
      </c>
      <c r="P163" s="20" t="s">
        <v>1307</v>
      </c>
      <c r="Q163" s="20">
        <v>4.421477241E9</v>
      </c>
      <c r="R163" s="18" t="s">
        <v>98</v>
      </c>
      <c r="S163" s="35" t="s">
        <v>114</v>
      </c>
      <c r="T163" s="22" t="s">
        <v>81</v>
      </c>
      <c r="U163" s="21" t="s">
        <v>82</v>
      </c>
      <c r="V163" s="86">
        <v>1.0</v>
      </c>
      <c r="W163" s="20" t="s">
        <v>83</v>
      </c>
      <c r="X163" s="20" t="s">
        <v>84</v>
      </c>
      <c r="Y163" s="24">
        <v>9.0</v>
      </c>
      <c r="Z163" s="25">
        <v>46097.0</v>
      </c>
      <c r="AA163" s="20">
        <f>DAY(Tabla1[F. INICIO])</f>
        <v>16</v>
      </c>
      <c r="AB163" s="26" t="str">
        <f>TEXT(' En tramite 23-26'!$Z163,"mmmm")</f>
        <v>marzo</v>
      </c>
      <c r="AC163" s="20">
        <f>YEAR(' En tramite 23-26'!$Z163)</f>
        <v>2026</v>
      </c>
      <c r="AD163" s="20" t="s">
        <v>84</v>
      </c>
      <c r="AE163" s="24">
        <v>9.0</v>
      </c>
      <c r="AF163" s="24">
        <v>46097.0</v>
      </c>
      <c r="AG163" s="20" t="s">
        <v>84</v>
      </c>
      <c r="AH163" s="24">
        <v>2.0</v>
      </c>
      <c r="AI163" s="24">
        <v>46094.0</v>
      </c>
      <c r="AJ163" s="20">
        <f>DAY(' En tramite 23-26'!$AI163)</f>
        <v>13</v>
      </c>
      <c r="AK163" s="20" t="str">
        <f>TEXT(' En tramite 23-26'!$AI163,"mmmm")</f>
        <v>marzo</v>
      </c>
      <c r="AL163" s="20">
        <f>YEAR(' En tramite 23-26'!$Z163)</f>
        <v>2026</v>
      </c>
      <c r="AM163" s="20" t="s">
        <v>84</v>
      </c>
      <c r="AN163" s="24">
        <v>2.0</v>
      </c>
      <c r="AO163" s="24">
        <v>46094.0</v>
      </c>
      <c r="AP163" s="20" t="s">
        <v>84</v>
      </c>
      <c r="AQ163" s="24">
        <v>2.0</v>
      </c>
      <c r="AR163" s="24">
        <v>46139.0</v>
      </c>
      <c r="AS163" s="24">
        <f>' En tramite 23-26'!$AI163+45</f>
        <v>46139</v>
      </c>
      <c r="AT163" s="20" t="s">
        <v>85</v>
      </c>
      <c r="AU163" s="20" t="s">
        <v>84</v>
      </c>
      <c r="AV163" s="20">
        <v>2.0</v>
      </c>
      <c r="AW163" s="24">
        <v>46188.0</v>
      </c>
      <c r="AX163" s="20" t="s">
        <v>86</v>
      </c>
      <c r="AY163" s="20" t="s">
        <v>84</v>
      </c>
      <c r="AZ163" s="20">
        <v>2.0</v>
      </c>
      <c r="BA163" s="24">
        <v>46188.0</v>
      </c>
      <c r="BB163" s="20" t="s">
        <v>84</v>
      </c>
      <c r="BC163" s="28">
        <v>2.0</v>
      </c>
      <c r="BD163" s="134">
        <v>46188.0</v>
      </c>
      <c r="BE163" s="20">
        <f>DAY(' En tramite 23-26'!$BD163)</f>
        <v>15</v>
      </c>
      <c r="BF163" s="24" t="str">
        <f>TEXT(' En tramite 23-26'!$BD163,"mmmm")</f>
        <v>junio</v>
      </c>
      <c r="BG163" s="20">
        <f>YEAR(' En tramite 23-26'!$BD163)</f>
        <v>2026</v>
      </c>
      <c r="BH163" s="29">
        <v>1.0</v>
      </c>
      <c r="BI163" s="26" t="s">
        <v>87</v>
      </c>
      <c r="BJ163" s="30" t="s">
        <v>88</v>
      </c>
      <c r="BK163" s="31" t="s">
        <v>89</v>
      </c>
      <c r="BL163" s="14"/>
      <c r="BM163" s="81"/>
    </row>
    <row r="164" ht="16.5" customHeight="1">
      <c r="A164" s="28" t="s">
        <v>1314</v>
      </c>
      <c r="B164" s="34"/>
      <c r="C164" s="13"/>
      <c r="D164" s="62" t="s">
        <v>1315</v>
      </c>
      <c r="E164" s="15" t="s">
        <v>1316</v>
      </c>
      <c r="F164" s="63" t="s">
        <v>1317</v>
      </c>
      <c r="G164" s="63">
        <v>4.461057458E9</v>
      </c>
      <c r="H164" s="64" t="s">
        <v>1318</v>
      </c>
      <c r="I164" s="62" t="s">
        <v>993</v>
      </c>
      <c r="J164" s="62" t="s">
        <v>109</v>
      </c>
      <c r="K164" s="62" t="s">
        <v>155</v>
      </c>
      <c r="L164" s="67" t="s">
        <v>200</v>
      </c>
      <c r="M164" s="66" t="s">
        <v>14</v>
      </c>
      <c r="N164" s="62" t="s">
        <v>1319</v>
      </c>
      <c r="O164" s="62" t="s">
        <v>77</v>
      </c>
      <c r="P164" s="67" t="s">
        <v>78</v>
      </c>
      <c r="Q164" s="67">
        <v>4.421958709E9</v>
      </c>
      <c r="R164" s="67" t="s">
        <v>1320</v>
      </c>
      <c r="S164" s="68" t="s">
        <v>1321</v>
      </c>
      <c r="T164" s="69" t="s">
        <v>81</v>
      </c>
      <c r="U164" s="70" t="s">
        <v>82</v>
      </c>
      <c r="V164" s="98">
        <v>2.0</v>
      </c>
      <c r="W164" s="113">
        <v>2000.0</v>
      </c>
      <c r="X164" s="67" t="s">
        <v>84</v>
      </c>
      <c r="Y164" s="73">
        <v>10.0</v>
      </c>
      <c r="Z164" s="74">
        <v>46132.0</v>
      </c>
      <c r="AA164" s="67">
        <f>DAY(Tabla1[F. INICIO])</f>
        <v>20</v>
      </c>
      <c r="AB164" s="75" t="str">
        <f>TEXT(' En tramite 23-26'!$Z164,"mmmm")</f>
        <v>abril</v>
      </c>
      <c r="AC164" s="67">
        <f>YEAR(' En tramite 23-26'!$Z164)</f>
        <v>2026</v>
      </c>
      <c r="AD164" s="67" t="s">
        <v>84</v>
      </c>
      <c r="AE164" s="73">
        <v>10.0</v>
      </c>
      <c r="AF164" s="73">
        <v>46132.0</v>
      </c>
      <c r="AG164" s="67" t="s">
        <v>84</v>
      </c>
      <c r="AH164" s="73">
        <v>2.0</v>
      </c>
      <c r="AI164" s="73">
        <v>46132.0</v>
      </c>
      <c r="AJ164" s="67">
        <f>DAY(' En tramite 23-26'!$AI164)</f>
        <v>20</v>
      </c>
      <c r="AK164" s="67" t="str">
        <f>TEXT(' En tramite 23-26'!$AI164,"mmmm")</f>
        <v>abril</v>
      </c>
      <c r="AL164" s="67">
        <f>YEAR(' En tramite 23-26'!$Z164)</f>
        <v>2026</v>
      </c>
      <c r="AM164" s="67" t="s">
        <v>84</v>
      </c>
      <c r="AN164" s="73">
        <v>2.0</v>
      </c>
      <c r="AO164" s="73">
        <v>46132.0</v>
      </c>
      <c r="AP164" s="67" t="s">
        <v>84</v>
      </c>
      <c r="AQ164" s="73">
        <v>2.0</v>
      </c>
      <c r="AR164" s="73">
        <v>46191.0</v>
      </c>
      <c r="AS164" s="73">
        <f>' En tramite 23-26'!$AI164+45</f>
        <v>46177</v>
      </c>
      <c r="AT164" s="67" t="s">
        <v>85</v>
      </c>
      <c r="AU164" s="67" t="s">
        <v>84</v>
      </c>
      <c r="AV164" s="67">
        <v>2.0</v>
      </c>
      <c r="AW164" s="73">
        <v>46223.0</v>
      </c>
      <c r="AX164" s="67" t="s">
        <v>86</v>
      </c>
      <c r="AY164" s="67" t="s">
        <v>84</v>
      </c>
      <c r="AZ164" s="67">
        <v>2.0</v>
      </c>
      <c r="BA164" s="73">
        <v>46223.0</v>
      </c>
      <c r="BB164" s="67" t="s">
        <v>84</v>
      </c>
      <c r="BC164" s="76">
        <v>2.0</v>
      </c>
      <c r="BD164" s="73">
        <v>46223.0</v>
      </c>
      <c r="BE164" s="67">
        <f>DAY(' En tramite 23-26'!$BD164)</f>
        <v>20</v>
      </c>
      <c r="BF164" s="73" t="str">
        <f>TEXT(' En tramite 23-26'!$BD164,"mmmm")</f>
        <v>julio</v>
      </c>
      <c r="BG164" s="67">
        <f>YEAR(' En tramite 23-26'!$BD164)</f>
        <v>2026</v>
      </c>
      <c r="BH164" s="77"/>
      <c r="BI164" s="66"/>
      <c r="BJ164" s="78" t="s">
        <v>274</v>
      </c>
      <c r="BK164" s="79" t="s">
        <v>275</v>
      </c>
      <c r="BL164" s="66"/>
      <c r="BM164" s="80"/>
    </row>
    <row r="165" ht="16.5" customHeight="1">
      <c r="A165" s="28" t="s">
        <v>1322</v>
      </c>
      <c r="B165" s="34"/>
      <c r="C165" s="13"/>
      <c r="D165" s="41" t="s">
        <v>1323</v>
      </c>
      <c r="E165" s="15" t="s">
        <v>1324</v>
      </c>
      <c r="F165" s="42" t="s">
        <v>1325</v>
      </c>
      <c r="G165" s="139">
        <v>4.421065628E9</v>
      </c>
      <c r="H165" s="43" t="s">
        <v>1326</v>
      </c>
      <c r="I165" s="41" t="s">
        <v>897</v>
      </c>
      <c r="J165" s="41" t="s">
        <v>109</v>
      </c>
      <c r="K165" s="41" t="s">
        <v>74</v>
      </c>
      <c r="L165" s="44" t="s">
        <v>200</v>
      </c>
      <c r="M165" s="13" t="s">
        <v>14</v>
      </c>
      <c r="N165" s="41" t="s">
        <v>1327</v>
      </c>
      <c r="O165" s="41" t="s">
        <v>131</v>
      </c>
      <c r="P165" s="44" t="s">
        <v>78</v>
      </c>
      <c r="Q165" s="44">
        <v>4.425950438E9</v>
      </c>
      <c r="R165" s="44" t="s">
        <v>1328</v>
      </c>
      <c r="S165" s="45" t="s">
        <v>1329</v>
      </c>
      <c r="T165" s="46" t="s">
        <v>81</v>
      </c>
      <c r="U165" s="47" t="s">
        <v>82</v>
      </c>
      <c r="V165" s="95">
        <v>1.0</v>
      </c>
      <c r="W165" s="44" t="s">
        <v>83</v>
      </c>
      <c r="X165" s="44" t="s">
        <v>84</v>
      </c>
      <c r="Y165" s="49">
        <v>11.0</v>
      </c>
      <c r="Z165" s="50">
        <v>46129.0</v>
      </c>
      <c r="AA165" s="44">
        <f>DAY(Tabla1[F. INICIO])</f>
        <v>17</v>
      </c>
      <c r="AB165" s="51" t="str">
        <f>TEXT(' En tramite 23-26'!$Z165,"mmmm")</f>
        <v>abril</v>
      </c>
      <c r="AC165" s="44">
        <f>YEAR(' En tramite 23-26'!$Z165)</f>
        <v>2026</v>
      </c>
      <c r="AD165" s="44" t="s">
        <v>84</v>
      </c>
      <c r="AE165" s="49">
        <v>11.0</v>
      </c>
      <c r="AF165" s="49">
        <v>46129.0</v>
      </c>
      <c r="AG165" s="44" t="s">
        <v>84</v>
      </c>
      <c r="AH165" s="49">
        <v>2.0</v>
      </c>
      <c r="AI165" s="49">
        <v>46129.0</v>
      </c>
      <c r="AJ165" s="44">
        <f>DAY(' En tramite 23-26'!$AI165)</f>
        <v>17</v>
      </c>
      <c r="AK165" s="44" t="str">
        <f>TEXT(' En tramite 23-26'!$AI165,"mmmm")</f>
        <v>abril</v>
      </c>
      <c r="AL165" s="44">
        <f>YEAR(' En tramite 23-26'!$Z165)</f>
        <v>2026</v>
      </c>
      <c r="AM165" s="44" t="s">
        <v>84</v>
      </c>
      <c r="AN165" s="49">
        <v>2.0</v>
      </c>
      <c r="AO165" s="49">
        <v>46129.0</v>
      </c>
      <c r="AP165" s="44"/>
      <c r="AQ165" s="49"/>
      <c r="AR165" s="49"/>
      <c r="AS165" s="103">
        <f>' En tramite 23-26'!$AI165+45</f>
        <v>46174</v>
      </c>
      <c r="AT165" s="44"/>
      <c r="AU165" s="44"/>
      <c r="AV165" s="44"/>
      <c r="AW165" s="49">
        <f>' En tramite 23-26'!$AS165+45</f>
        <v>46219</v>
      </c>
      <c r="AX165" s="44"/>
      <c r="AY165" s="44"/>
      <c r="AZ165" s="44"/>
      <c r="BA165" s="49"/>
      <c r="BB165" s="44"/>
      <c r="BC165" s="12"/>
      <c r="BD165" s="49"/>
      <c r="BE165" s="44">
        <f>DAY(' En tramite 23-26'!$BD165)</f>
        <v>30</v>
      </c>
      <c r="BF165" s="49" t="str">
        <f>TEXT(' En tramite 23-26'!$BD165,"mmmm")</f>
        <v>diciembre</v>
      </c>
      <c r="BG165" s="44">
        <f>YEAR(' En tramite 23-26'!$BD165)</f>
        <v>1899</v>
      </c>
      <c r="BH165" s="53"/>
      <c r="BI165" s="13"/>
      <c r="BJ165" s="44"/>
      <c r="BK165" s="54"/>
      <c r="BL165" s="13"/>
      <c r="BM165" s="58"/>
    </row>
    <row r="166" ht="16.5" customHeight="1">
      <c r="A166" s="28" t="s">
        <v>1330</v>
      </c>
      <c r="B166" s="34"/>
      <c r="C166" s="13"/>
      <c r="D166" s="41" t="s">
        <v>1331</v>
      </c>
      <c r="E166" s="15" t="s">
        <v>1332</v>
      </c>
      <c r="F166" s="42" t="s">
        <v>1333</v>
      </c>
      <c r="G166" s="42">
        <v>4.422393766E9</v>
      </c>
      <c r="H166" s="43" t="s">
        <v>1334</v>
      </c>
      <c r="I166" s="41" t="s">
        <v>897</v>
      </c>
      <c r="J166" s="41" t="s">
        <v>109</v>
      </c>
      <c r="K166" s="41" t="s">
        <v>74</v>
      </c>
      <c r="L166" s="44" t="s">
        <v>200</v>
      </c>
      <c r="M166" s="13" t="s">
        <v>14</v>
      </c>
      <c r="N166" s="41" t="s">
        <v>1335</v>
      </c>
      <c r="O166" s="41" t="s">
        <v>77</v>
      </c>
      <c r="P166" s="44" t="s">
        <v>78</v>
      </c>
      <c r="Q166" s="44">
        <v>4.421171207E9</v>
      </c>
      <c r="R166" s="44" t="s">
        <v>1336</v>
      </c>
      <c r="S166" s="45" t="s">
        <v>1194</v>
      </c>
      <c r="T166" s="46" t="s">
        <v>81</v>
      </c>
      <c r="U166" s="47" t="s">
        <v>100</v>
      </c>
      <c r="V166" s="95">
        <v>0.0</v>
      </c>
      <c r="W166" s="44"/>
      <c r="X166" s="44" t="s">
        <v>84</v>
      </c>
      <c r="Y166" s="49">
        <v>12.0</v>
      </c>
      <c r="Z166" s="50">
        <v>46107.0</v>
      </c>
      <c r="AA166" s="44">
        <f>DAY(Tabla1[F. INICIO])</f>
        <v>26</v>
      </c>
      <c r="AB166" s="51" t="str">
        <f>TEXT(' En tramite 23-26'!$Z166,"mmmm")</f>
        <v>marzo</v>
      </c>
      <c r="AC166" s="44">
        <f>YEAR(' En tramite 23-26'!$Z166)</f>
        <v>2026</v>
      </c>
      <c r="AD166" s="44" t="s">
        <v>84</v>
      </c>
      <c r="AE166" s="49">
        <v>12.0</v>
      </c>
      <c r="AF166" s="49">
        <v>46107.0</v>
      </c>
      <c r="AG166" s="44"/>
      <c r="AH166" s="49"/>
      <c r="AI166" s="49"/>
      <c r="AJ166" s="44">
        <f>DAY(' En tramite 23-26'!$AI166)</f>
        <v>30</v>
      </c>
      <c r="AK166" s="44" t="str">
        <f>TEXT(' En tramite 23-26'!$AI166,"mmmm")</f>
        <v>diciembre</v>
      </c>
      <c r="AL166" s="44">
        <f>YEAR(' En tramite 23-26'!$Z166)</f>
        <v>2026</v>
      </c>
      <c r="AM166" s="44"/>
      <c r="AN166" s="49"/>
      <c r="AO166" s="49"/>
      <c r="AP166" s="44"/>
      <c r="AQ166" s="49"/>
      <c r="AR166" s="49"/>
      <c r="AS166" s="103">
        <f>' En tramite 23-26'!$AI166+45</f>
        <v>45</v>
      </c>
      <c r="AT166" s="44"/>
      <c r="AU166" s="44"/>
      <c r="AV166" s="44"/>
      <c r="AW166" s="49">
        <f>' En tramite 23-26'!$AS166+45</f>
        <v>90</v>
      </c>
      <c r="AX166" s="44"/>
      <c r="AY166" s="44"/>
      <c r="AZ166" s="44"/>
      <c r="BA166" s="49"/>
      <c r="BB166" s="44"/>
      <c r="BC166" s="12"/>
      <c r="BD166" s="49"/>
      <c r="BE166" s="44">
        <f>DAY(' En tramite 23-26'!$BD166)</f>
        <v>30</v>
      </c>
      <c r="BF166" s="49" t="str">
        <f>TEXT(' En tramite 23-26'!$BD166,"mmmm")</f>
        <v>diciembre</v>
      </c>
      <c r="BG166" s="44">
        <f>YEAR(' En tramite 23-26'!$BD166)</f>
        <v>1899</v>
      </c>
      <c r="BH166" s="53"/>
      <c r="BI166" s="13"/>
      <c r="BJ166" s="44"/>
      <c r="BK166" s="54"/>
      <c r="BL166" s="13"/>
      <c r="BM166" s="58"/>
      <c r="BN166" s="87" t="s">
        <v>1337</v>
      </c>
    </row>
    <row r="167" ht="16.5" customHeight="1">
      <c r="A167" s="28" t="s">
        <v>1338</v>
      </c>
      <c r="B167" s="34"/>
      <c r="C167" s="13"/>
      <c r="D167" s="41" t="s">
        <v>1339</v>
      </c>
      <c r="E167" s="15" t="s">
        <v>1340</v>
      </c>
      <c r="F167" s="42" t="s">
        <v>1341</v>
      </c>
      <c r="G167" s="42">
        <v>4.426197732E9</v>
      </c>
      <c r="H167" s="43" t="s">
        <v>1342</v>
      </c>
      <c r="I167" s="41" t="s">
        <v>1122</v>
      </c>
      <c r="J167" s="41" t="s">
        <v>73</v>
      </c>
      <c r="K167" s="41" t="s">
        <v>129</v>
      </c>
      <c r="L167" s="44" t="s">
        <v>200</v>
      </c>
      <c r="M167" s="13" t="s">
        <v>14</v>
      </c>
      <c r="N167" s="41" t="s">
        <v>631</v>
      </c>
      <c r="O167" s="41" t="s">
        <v>77</v>
      </c>
      <c r="P167" s="44" t="s">
        <v>78</v>
      </c>
      <c r="Q167" s="44">
        <v>4.426323635E9</v>
      </c>
      <c r="R167" s="44" t="s">
        <v>1343</v>
      </c>
      <c r="S167" s="45" t="s">
        <v>633</v>
      </c>
      <c r="T167" s="46" t="s">
        <v>81</v>
      </c>
      <c r="U167" s="47" t="s">
        <v>100</v>
      </c>
      <c r="V167" s="95">
        <v>0.0</v>
      </c>
      <c r="W167" s="44"/>
      <c r="X167" s="44" t="s">
        <v>84</v>
      </c>
      <c r="Y167" s="49">
        <v>13.0</v>
      </c>
      <c r="Z167" s="50">
        <v>46133.0</v>
      </c>
      <c r="AA167" s="44">
        <f>DAY(Tabla1[F. INICIO])</f>
        <v>21</v>
      </c>
      <c r="AB167" s="51" t="str">
        <f>TEXT(' En tramite 23-26'!$Z167,"mmmm")</f>
        <v>abril</v>
      </c>
      <c r="AC167" s="44">
        <f>YEAR(' En tramite 23-26'!$Z167)</f>
        <v>2026</v>
      </c>
      <c r="AD167" s="44" t="s">
        <v>84</v>
      </c>
      <c r="AE167" s="49">
        <v>13.0</v>
      </c>
      <c r="AF167" s="49">
        <v>46133.0</v>
      </c>
      <c r="AG167" s="44"/>
      <c r="AH167" s="44"/>
      <c r="AI167" s="44"/>
      <c r="AJ167" s="44">
        <f>DAY(' En tramite 23-26'!$AI167)</f>
        <v>30</v>
      </c>
      <c r="AK167" s="44" t="str">
        <f>TEXT(' En tramite 23-26'!$AI167,"mmmm")</f>
        <v>diciembre</v>
      </c>
      <c r="AL167" s="44">
        <f>YEAR(' En tramite 23-26'!$Z167)</f>
        <v>2026</v>
      </c>
      <c r="AM167" s="44"/>
      <c r="AN167" s="49"/>
      <c r="AO167" s="44"/>
      <c r="AP167" s="44"/>
      <c r="AQ167" s="49"/>
      <c r="AR167" s="44"/>
      <c r="AS167" s="103">
        <f>' En tramite 23-26'!$AI167+45</f>
        <v>45</v>
      </c>
      <c r="AT167" s="44"/>
      <c r="AU167" s="44"/>
      <c r="AV167" s="44"/>
      <c r="AW167" s="49">
        <f>' En tramite 23-26'!$AS167+45</f>
        <v>90</v>
      </c>
      <c r="AX167" s="44"/>
      <c r="AY167" s="44"/>
      <c r="AZ167" s="44"/>
      <c r="BA167" s="44"/>
      <c r="BB167" s="44"/>
      <c r="BC167" s="12"/>
      <c r="BD167" s="44"/>
      <c r="BE167" s="44">
        <f>DAY(' En tramite 23-26'!$BD167)</f>
        <v>30</v>
      </c>
      <c r="BF167" s="49" t="str">
        <f>TEXT(' En tramite 23-26'!$BD167,"mmmm")</f>
        <v>diciembre</v>
      </c>
      <c r="BG167" s="44">
        <f>YEAR(' En tramite 23-26'!$BD167)</f>
        <v>1899</v>
      </c>
      <c r="BH167" s="44"/>
      <c r="BI167" s="44"/>
      <c r="BJ167" s="44"/>
      <c r="BK167" s="54"/>
      <c r="BL167" s="13"/>
      <c r="BM167" s="58"/>
    </row>
    <row r="168" ht="16.5" customHeight="1">
      <c r="A168" s="28" t="s">
        <v>1344</v>
      </c>
      <c r="B168" s="34"/>
      <c r="C168" s="13"/>
      <c r="D168" s="41" t="s">
        <v>1345</v>
      </c>
      <c r="E168" s="15" t="s">
        <v>1346</v>
      </c>
      <c r="F168" s="42" t="s">
        <v>1347</v>
      </c>
      <c r="G168" s="42">
        <v>4.421870556E9</v>
      </c>
      <c r="H168" s="43" t="s">
        <v>1348</v>
      </c>
      <c r="I168" s="41" t="s">
        <v>1122</v>
      </c>
      <c r="J168" s="41" t="s">
        <v>73</v>
      </c>
      <c r="K168" s="41" t="s">
        <v>129</v>
      </c>
      <c r="L168" s="44" t="s">
        <v>200</v>
      </c>
      <c r="M168" s="13" t="s">
        <v>14</v>
      </c>
      <c r="N168" s="41" t="s">
        <v>631</v>
      </c>
      <c r="O168" s="41" t="s">
        <v>77</v>
      </c>
      <c r="P168" s="44" t="s">
        <v>78</v>
      </c>
      <c r="Q168" s="44">
        <v>4.426323635E9</v>
      </c>
      <c r="R168" s="44" t="s">
        <v>1343</v>
      </c>
      <c r="S168" s="45" t="s">
        <v>633</v>
      </c>
      <c r="T168" s="46" t="s">
        <v>81</v>
      </c>
      <c r="U168" s="47" t="s">
        <v>82</v>
      </c>
      <c r="V168" s="95">
        <v>1.0</v>
      </c>
      <c r="W168" s="44" t="s">
        <v>83</v>
      </c>
      <c r="X168" s="44" t="s">
        <v>84</v>
      </c>
      <c r="Y168" s="49">
        <v>13.0</v>
      </c>
      <c r="Z168" s="50">
        <v>46133.0</v>
      </c>
      <c r="AA168" s="44">
        <f>DAY(Tabla1[F. INICIO])</f>
        <v>21</v>
      </c>
      <c r="AB168" s="51" t="str">
        <f>TEXT(' En tramite 23-26'!$Z168,"mmmm")</f>
        <v>abril</v>
      </c>
      <c r="AC168" s="44">
        <f>YEAR(' En tramite 23-26'!$Z168)</f>
        <v>2026</v>
      </c>
      <c r="AD168" s="44" t="s">
        <v>84</v>
      </c>
      <c r="AE168" s="49">
        <v>13.0</v>
      </c>
      <c r="AF168" s="49">
        <v>46133.0</v>
      </c>
      <c r="AG168" s="44" t="s">
        <v>84</v>
      </c>
      <c r="AH168" s="49" t="s">
        <v>1349</v>
      </c>
      <c r="AI168" s="49"/>
      <c r="AJ168" s="44"/>
      <c r="AK168" s="44"/>
      <c r="AL168" s="44"/>
      <c r="AM168" s="44"/>
      <c r="AN168" s="49"/>
      <c r="AO168" s="49"/>
      <c r="AP168" s="44"/>
      <c r="AQ168" s="49"/>
      <c r="AR168" s="49"/>
      <c r="AS168" s="57">
        <f>' En tramite 23-26'!$AI168+45</f>
        <v>45</v>
      </c>
      <c r="AT168" s="44"/>
      <c r="AU168" s="44"/>
      <c r="AV168" s="44"/>
      <c r="AW168" s="49">
        <f>' En tramite 23-26'!$AS168+45</f>
        <v>90</v>
      </c>
      <c r="AX168" s="44"/>
      <c r="AY168" s="44"/>
      <c r="AZ168" s="44"/>
      <c r="BA168" s="49"/>
      <c r="BB168" s="44"/>
      <c r="BC168" s="12"/>
      <c r="BD168" s="49"/>
      <c r="BE168" s="44">
        <f>DAY(' En tramite 23-26'!$BD168)</f>
        <v>30</v>
      </c>
      <c r="BF168" s="49" t="str">
        <f>TEXT(' En tramite 23-26'!$BD168,"mmmm")</f>
        <v>diciembre</v>
      </c>
      <c r="BG168" s="44">
        <f>YEAR(' En tramite 23-26'!$BD168)</f>
        <v>1899</v>
      </c>
      <c r="BH168" s="53"/>
      <c r="BI168" s="13"/>
      <c r="BJ168" s="44"/>
      <c r="BK168" s="54"/>
      <c r="BL168" s="13"/>
      <c r="BM168" s="58"/>
    </row>
    <row r="169" ht="16.5" customHeight="1">
      <c r="A169" s="28" t="s">
        <v>1350</v>
      </c>
      <c r="B169" s="34"/>
      <c r="C169" s="13"/>
      <c r="D169" s="13" t="s">
        <v>1351</v>
      </c>
      <c r="E169" s="15" t="s">
        <v>1352</v>
      </c>
      <c r="F169" s="42" t="s">
        <v>1353</v>
      </c>
      <c r="G169" s="41">
        <v>4.421971889E9</v>
      </c>
      <c r="H169" s="47" t="s">
        <v>1354</v>
      </c>
      <c r="I169" s="41" t="s">
        <v>952</v>
      </c>
      <c r="J169" s="41" t="s">
        <v>109</v>
      </c>
      <c r="K169" s="41" t="s">
        <v>141</v>
      </c>
      <c r="L169" s="44" t="s">
        <v>200</v>
      </c>
      <c r="M169" s="13" t="s">
        <v>14</v>
      </c>
      <c r="N169" s="13" t="s">
        <v>1355</v>
      </c>
      <c r="O169" s="41" t="s">
        <v>131</v>
      </c>
      <c r="P169" s="44" t="s">
        <v>78</v>
      </c>
      <c r="Q169" s="44">
        <v>4.422122191E9</v>
      </c>
      <c r="R169" s="13" t="s">
        <v>1356</v>
      </c>
      <c r="S169" s="45" t="s">
        <v>1357</v>
      </c>
      <c r="T169" s="46" t="s">
        <v>81</v>
      </c>
      <c r="U169" s="47" t="s">
        <v>82</v>
      </c>
      <c r="V169" s="95">
        <v>1.0</v>
      </c>
      <c r="W169" s="44" t="s">
        <v>83</v>
      </c>
      <c r="X169" s="44" t="s">
        <v>84</v>
      </c>
      <c r="Y169" s="49">
        <v>15.0</v>
      </c>
      <c r="Z169" s="50">
        <v>46133.0</v>
      </c>
      <c r="AA169" s="44">
        <f>DAY(Tabla1[F. INICIO])</f>
        <v>21</v>
      </c>
      <c r="AB169" s="51" t="str">
        <f>TEXT(' En tramite 23-26'!$Z169,"mmmm")</f>
        <v>abril</v>
      </c>
      <c r="AC169" s="44">
        <f>YEAR(' En tramite 23-26'!$Z169)</f>
        <v>2026</v>
      </c>
      <c r="AD169" s="44" t="s">
        <v>84</v>
      </c>
      <c r="AE169" s="49">
        <v>15.0</v>
      </c>
      <c r="AF169" s="49">
        <v>46133.0</v>
      </c>
      <c r="AG169" s="44" t="s">
        <v>84</v>
      </c>
      <c r="AH169" s="49">
        <v>2.0</v>
      </c>
      <c r="AI169" s="49">
        <v>46134.0</v>
      </c>
      <c r="AJ169" s="44">
        <f>DAY(' En tramite 23-26'!$AI169)</f>
        <v>22</v>
      </c>
      <c r="AK169" s="44" t="str">
        <f>TEXT(' En tramite 23-26'!$AI169,"mmmm")</f>
        <v>abril</v>
      </c>
      <c r="AL169" s="44">
        <f>YEAR(' En tramite 23-26'!$Z169)</f>
        <v>2026</v>
      </c>
      <c r="AM169" s="44" t="s">
        <v>84</v>
      </c>
      <c r="AN169" s="49">
        <v>2.0</v>
      </c>
      <c r="AO169" s="49">
        <v>46134.0</v>
      </c>
      <c r="AP169" s="44"/>
      <c r="AQ169" s="49"/>
      <c r="AR169" s="55"/>
      <c r="AS169" s="57">
        <f>' En tramite 23-26'!$AI169+45</f>
        <v>46179</v>
      </c>
      <c r="AT169" s="44"/>
      <c r="AU169" s="44"/>
      <c r="AV169" s="44"/>
      <c r="AW169" s="49">
        <f>' En tramite 23-26'!$AS169+45</f>
        <v>46224</v>
      </c>
      <c r="AX169" s="44"/>
      <c r="AY169" s="44"/>
      <c r="AZ169" s="44"/>
      <c r="BA169" s="49"/>
      <c r="BB169" s="44"/>
      <c r="BC169" s="12"/>
      <c r="BD169" s="49"/>
      <c r="BE169" s="44">
        <f>DAY(' En tramite 23-26'!$BD169)</f>
        <v>30</v>
      </c>
      <c r="BF169" s="49" t="str">
        <f>TEXT(' En tramite 23-26'!$BD169,"mmmm")</f>
        <v>diciembre</v>
      </c>
      <c r="BG169" s="44">
        <f>YEAR(' En tramite 23-26'!$BD169)</f>
        <v>1899</v>
      </c>
      <c r="BH169" s="53"/>
      <c r="BI169" s="13"/>
      <c r="BJ169" s="44"/>
      <c r="BK169" s="54"/>
      <c r="BL169" s="13"/>
      <c r="BM169" s="58"/>
    </row>
    <row r="170" ht="16.5" customHeight="1">
      <c r="A170" s="28" t="s">
        <v>1358</v>
      </c>
      <c r="B170" s="34"/>
      <c r="C170" s="13"/>
      <c r="D170" s="41" t="s">
        <v>1359</v>
      </c>
      <c r="E170" s="15" t="s">
        <v>1360</v>
      </c>
      <c r="F170" s="42" t="s">
        <v>1361</v>
      </c>
      <c r="G170" s="41">
        <v>6.12107113E9</v>
      </c>
      <c r="H170" s="47" t="s">
        <v>1362</v>
      </c>
      <c r="I170" s="41" t="s">
        <v>952</v>
      </c>
      <c r="J170" s="41" t="s">
        <v>109</v>
      </c>
      <c r="K170" s="41" t="s">
        <v>141</v>
      </c>
      <c r="L170" s="44" t="s">
        <v>200</v>
      </c>
      <c r="M170" s="13" t="s">
        <v>14</v>
      </c>
      <c r="N170" s="13" t="s">
        <v>1355</v>
      </c>
      <c r="O170" s="41" t="s">
        <v>131</v>
      </c>
      <c r="P170" s="44" t="s">
        <v>78</v>
      </c>
      <c r="Q170" s="44">
        <v>4.422122191E9</v>
      </c>
      <c r="R170" s="13" t="s">
        <v>1356</v>
      </c>
      <c r="S170" s="45" t="s">
        <v>1357</v>
      </c>
      <c r="T170" s="46" t="s">
        <v>81</v>
      </c>
      <c r="U170" s="47" t="s">
        <v>100</v>
      </c>
      <c r="V170" s="95">
        <v>1.0</v>
      </c>
      <c r="W170" s="44" t="s">
        <v>83</v>
      </c>
      <c r="X170" s="44" t="s">
        <v>84</v>
      </c>
      <c r="Y170" s="49">
        <v>16.0</v>
      </c>
      <c r="Z170" s="50">
        <v>46133.0</v>
      </c>
      <c r="AA170" s="44">
        <f>DAY(Tabla1[F. INICIO])</f>
        <v>21</v>
      </c>
      <c r="AB170" s="51" t="str">
        <f>TEXT(' En tramite 23-26'!$Z170,"mmmm")</f>
        <v>abril</v>
      </c>
      <c r="AC170" s="44">
        <f>YEAR(' En tramite 23-26'!$Z170)</f>
        <v>2026</v>
      </c>
      <c r="AD170" s="44" t="s">
        <v>84</v>
      </c>
      <c r="AE170" s="49">
        <v>46133.0</v>
      </c>
      <c r="AF170" s="55">
        <v>46133.0</v>
      </c>
      <c r="AG170" s="44" t="s">
        <v>84</v>
      </c>
      <c r="AH170" s="49">
        <v>2.0</v>
      </c>
      <c r="AI170" s="55">
        <v>46134.0</v>
      </c>
      <c r="AJ170" s="44">
        <f>DAY(' En tramite 23-26'!$AI170)</f>
        <v>22</v>
      </c>
      <c r="AK170" s="44" t="str">
        <f>TEXT(' En tramite 23-26'!$AI170,"mmmm")</f>
        <v>abril</v>
      </c>
      <c r="AL170" s="44">
        <f>YEAR(' En tramite 23-26'!$Z170)</f>
        <v>2026</v>
      </c>
      <c r="AM170" s="44" t="s">
        <v>84</v>
      </c>
      <c r="AN170" s="49">
        <v>2.0</v>
      </c>
      <c r="AO170" s="49">
        <v>46134.0</v>
      </c>
      <c r="AP170" s="44"/>
      <c r="AQ170" s="49"/>
      <c r="AR170" s="55"/>
      <c r="AS170" s="57">
        <f>' En tramite 23-26'!$AI170+45</f>
        <v>46179</v>
      </c>
      <c r="AT170" s="44"/>
      <c r="AU170" s="44"/>
      <c r="AV170" s="44"/>
      <c r="AW170" s="49">
        <f>' En tramite 23-26'!$AS170+45</f>
        <v>46224</v>
      </c>
      <c r="AX170" s="13"/>
      <c r="AY170" s="44"/>
      <c r="AZ170" s="44"/>
      <c r="BA170" s="55"/>
      <c r="BB170" s="44"/>
      <c r="BC170" s="12"/>
      <c r="BD170" s="55"/>
      <c r="BE170" s="44">
        <f>DAY(' En tramite 23-26'!$BD170)</f>
        <v>30</v>
      </c>
      <c r="BF170" s="49" t="str">
        <f>TEXT(' En tramite 23-26'!$BD170,"mmmm")</f>
        <v>diciembre</v>
      </c>
      <c r="BG170" s="44">
        <f>YEAR(' En tramite 23-26'!$BD170)</f>
        <v>1899</v>
      </c>
      <c r="BH170" s="53"/>
      <c r="BI170" s="13"/>
      <c r="BJ170" s="44"/>
      <c r="BK170" s="54"/>
      <c r="BL170" s="96"/>
      <c r="BM170" s="97"/>
    </row>
    <row r="171" ht="16.5" customHeight="1">
      <c r="A171" s="28" t="s">
        <v>1363</v>
      </c>
      <c r="B171" s="34"/>
      <c r="C171" s="13"/>
      <c r="D171" s="62" t="s">
        <v>1364</v>
      </c>
      <c r="E171" s="15" t="s">
        <v>1365</v>
      </c>
      <c r="F171" s="63" t="s">
        <v>1366</v>
      </c>
      <c r="G171" s="62">
        <v>4.428127292E9</v>
      </c>
      <c r="H171" s="70" t="s">
        <v>1367</v>
      </c>
      <c r="I171" s="62" t="s">
        <v>839</v>
      </c>
      <c r="J171" s="62" t="s">
        <v>109</v>
      </c>
      <c r="K171" s="62" t="s">
        <v>129</v>
      </c>
      <c r="L171" s="65" t="s">
        <v>75</v>
      </c>
      <c r="M171" s="66" t="s">
        <v>14</v>
      </c>
      <c r="N171" s="62" t="s">
        <v>1368</v>
      </c>
      <c r="O171" s="62" t="s">
        <v>77</v>
      </c>
      <c r="P171" s="67" t="s">
        <v>78</v>
      </c>
      <c r="Q171" s="67">
        <v>4.428127292E9</v>
      </c>
      <c r="R171" s="67" t="s">
        <v>1369</v>
      </c>
      <c r="S171" s="68" t="s">
        <v>1370</v>
      </c>
      <c r="T171" s="69" t="s">
        <v>81</v>
      </c>
      <c r="U171" s="70" t="s">
        <v>82</v>
      </c>
      <c r="V171" s="98">
        <v>2.0</v>
      </c>
      <c r="W171" s="113">
        <v>3000.0</v>
      </c>
      <c r="X171" s="67" t="s">
        <v>84</v>
      </c>
      <c r="Y171" s="73">
        <v>17.0</v>
      </c>
      <c r="Z171" s="74">
        <v>46135.0</v>
      </c>
      <c r="AA171" s="67">
        <f>DAY(Tabla1[F. INICIO])</f>
        <v>23</v>
      </c>
      <c r="AB171" s="75" t="str">
        <f>TEXT(' En tramite 23-26'!$Z171,"mmmm")</f>
        <v>abril</v>
      </c>
      <c r="AC171" s="67">
        <f>YEAR(' En tramite 23-26'!$Z171)</f>
        <v>2026</v>
      </c>
      <c r="AD171" s="67" t="s">
        <v>84</v>
      </c>
      <c r="AE171" s="73">
        <v>46135.0</v>
      </c>
      <c r="AF171" s="84">
        <v>46135.0</v>
      </c>
      <c r="AG171" s="67" t="s">
        <v>84</v>
      </c>
      <c r="AH171" s="73">
        <v>2.0</v>
      </c>
      <c r="AI171" s="84">
        <v>46136.0</v>
      </c>
      <c r="AJ171" s="67">
        <f>DAY(' En tramite 23-26'!$AI171)</f>
        <v>24</v>
      </c>
      <c r="AK171" s="67" t="str">
        <f>TEXT(' En tramite 23-26'!$AI171,"mmmm")</f>
        <v>abril</v>
      </c>
      <c r="AL171" s="67">
        <f>YEAR(' En tramite 23-26'!$Z171)</f>
        <v>2026</v>
      </c>
      <c r="AM171" s="67" t="s">
        <v>84</v>
      </c>
      <c r="AN171" s="73">
        <v>2.0</v>
      </c>
      <c r="AO171" s="84">
        <v>46136.0</v>
      </c>
      <c r="AP171" s="67" t="s">
        <v>84</v>
      </c>
      <c r="AQ171" s="73">
        <v>2.0</v>
      </c>
      <c r="AR171" s="84">
        <v>46150.0</v>
      </c>
      <c r="AS171" s="73">
        <f>' En tramite 23-26'!$AI171+45</f>
        <v>46181</v>
      </c>
      <c r="AT171" s="67" t="s">
        <v>85</v>
      </c>
      <c r="AU171" s="67" t="s">
        <v>84</v>
      </c>
      <c r="AV171" s="67">
        <v>2.0</v>
      </c>
      <c r="AW171" s="73">
        <v>46227.0</v>
      </c>
      <c r="AX171" s="66" t="s">
        <v>86</v>
      </c>
      <c r="AY171" s="67" t="s">
        <v>84</v>
      </c>
      <c r="AZ171" s="67">
        <v>2.0</v>
      </c>
      <c r="BA171" s="84">
        <v>46227.0</v>
      </c>
      <c r="BB171" s="67" t="s">
        <v>84</v>
      </c>
      <c r="BC171" s="67">
        <v>2.0</v>
      </c>
      <c r="BD171" s="84">
        <v>46227.0</v>
      </c>
      <c r="BE171" s="67">
        <f>DAY(' En tramite 23-26'!$BD171)</f>
        <v>24</v>
      </c>
      <c r="BF171" s="73" t="str">
        <f>TEXT(' En tramite 23-26'!$BD171,"mmmm")</f>
        <v>julio</v>
      </c>
      <c r="BG171" s="67">
        <f>YEAR(' En tramite 23-26'!$BD171)</f>
        <v>2026</v>
      </c>
      <c r="BH171" s="77"/>
      <c r="BI171" s="66"/>
      <c r="BJ171" s="78" t="s">
        <v>274</v>
      </c>
      <c r="BK171" s="79" t="s">
        <v>275</v>
      </c>
      <c r="BL171" s="66"/>
      <c r="BM171" s="80"/>
    </row>
    <row r="172" ht="16.5" customHeight="1">
      <c r="A172" s="28" t="s">
        <v>1371</v>
      </c>
      <c r="B172" s="34"/>
      <c r="C172" s="13"/>
      <c r="D172" s="66" t="s">
        <v>1372</v>
      </c>
      <c r="E172" s="15" t="s">
        <v>1373</v>
      </c>
      <c r="F172" s="63" t="s">
        <v>1374</v>
      </c>
      <c r="G172" s="62">
        <v>4.421414027E9</v>
      </c>
      <c r="H172" s="70" t="s">
        <v>1375</v>
      </c>
      <c r="I172" s="62" t="s">
        <v>839</v>
      </c>
      <c r="J172" s="62" t="s">
        <v>109</v>
      </c>
      <c r="K172" s="62" t="s">
        <v>129</v>
      </c>
      <c r="L172" s="65" t="s">
        <v>75</v>
      </c>
      <c r="M172" s="66" t="s">
        <v>14</v>
      </c>
      <c r="N172" s="62" t="s">
        <v>1368</v>
      </c>
      <c r="O172" s="62" t="s">
        <v>77</v>
      </c>
      <c r="P172" s="67" t="s">
        <v>78</v>
      </c>
      <c r="Q172" s="67">
        <v>4.428127292E9</v>
      </c>
      <c r="R172" s="67" t="s">
        <v>1369</v>
      </c>
      <c r="S172" s="68" t="s">
        <v>1370</v>
      </c>
      <c r="T172" s="69" t="s">
        <v>81</v>
      </c>
      <c r="U172" s="70" t="s">
        <v>82</v>
      </c>
      <c r="V172" s="98">
        <v>2.0</v>
      </c>
      <c r="W172" s="113">
        <v>3000.0</v>
      </c>
      <c r="X172" s="67" t="s">
        <v>84</v>
      </c>
      <c r="Y172" s="73">
        <v>17.0</v>
      </c>
      <c r="Z172" s="74">
        <v>46135.0</v>
      </c>
      <c r="AA172" s="67">
        <f>DAY(Tabla1[F. INICIO])</f>
        <v>23</v>
      </c>
      <c r="AB172" s="75" t="str">
        <f>TEXT(' En tramite 23-26'!$Z172,"mmmm")</f>
        <v>abril</v>
      </c>
      <c r="AC172" s="67">
        <f>YEAR(' En tramite 23-26'!$Z172)</f>
        <v>2026</v>
      </c>
      <c r="AD172" s="67" t="s">
        <v>84</v>
      </c>
      <c r="AE172" s="73">
        <v>46135.0</v>
      </c>
      <c r="AF172" s="84">
        <v>46135.0</v>
      </c>
      <c r="AG172" s="67" t="s">
        <v>84</v>
      </c>
      <c r="AH172" s="73">
        <v>2.0</v>
      </c>
      <c r="AI172" s="84">
        <v>46136.0</v>
      </c>
      <c r="AJ172" s="67">
        <f>DAY(' En tramite 23-26'!$AI172)</f>
        <v>24</v>
      </c>
      <c r="AK172" s="67" t="str">
        <f>TEXT(' En tramite 23-26'!$AI172,"mmmm")</f>
        <v>abril</v>
      </c>
      <c r="AL172" s="67">
        <f>YEAR(' En tramite 23-26'!$Z172)</f>
        <v>2026</v>
      </c>
      <c r="AM172" s="67" t="s">
        <v>84</v>
      </c>
      <c r="AN172" s="73">
        <v>2.0</v>
      </c>
      <c r="AO172" s="84">
        <v>46136.0</v>
      </c>
      <c r="AP172" s="67" t="s">
        <v>84</v>
      </c>
      <c r="AQ172" s="73">
        <v>2.0</v>
      </c>
      <c r="AR172" s="84">
        <v>46181.0</v>
      </c>
      <c r="AS172" s="73">
        <f>' En tramite 23-26'!$AI172+45</f>
        <v>46181</v>
      </c>
      <c r="AT172" s="67" t="s">
        <v>85</v>
      </c>
      <c r="AU172" s="67" t="s">
        <v>84</v>
      </c>
      <c r="AV172" s="67">
        <v>2.0</v>
      </c>
      <c r="AW172" s="73">
        <v>46227.0</v>
      </c>
      <c r="AX172" s="66" t="s">
        <v>86</v>
      </c>
      <c r="AY172" s="67" t="s">
        <v>84</v>
      </c>
      <c r="AZ172" s="67">
        <v>2.0</v>
      </c>
      <c r="BA172" s="84">
        <v>46227.0</v>
      </c>
      <c r="BB172" s="67" t="s">
        <v>84</v>
      </c>
      <c r="BC172" s="76">
        <v>2.0</v>
      </c>
      <c r="BD172" s="84">
        <v>46227.0</v>
      </c>
      <c r="BE172" s="67">
        <f>DAY(' En tramite 23-26'!$BD172)</f>
        <v>24</v>
      </c>
      <c r="BF172" s="73" t="str">
        <f>TEXT(' En tramite 23-26'!$BD172,"mmmm")</f>
        <v>julio</v>
      </c>
      <c r="BG172" s="67">
        <f>YEAR(' En tramite 23-26'!$BD172)</f>
        <v>2026</v>
      </c>
      <c r="BH172" s="77"/>
      <c r="BI172" s="66"/>
      <c r="BJ172" s="78" t="s">
        <v>274</v>
      </c>
      <c r="BK172" s="79" t="s">
        <v>275</v>
      </c>
      <c r="BL172" s="66"/>
      <c r="BM172" s="80"/>
    </row>
    <row r="173" ht="16.5" customHeight="1">
      <c r="A173" s="28" t="s">
        <v>1376</v>
      </c>
      <c r="B173" s="34"/>
      <c r="C173" s="13"/>
      <c r="D173" s="140" t="s">
        <v>1377</v>
      </c>
      <c r="E173" s="15" t="s">
        <v>1378</v>
      </c>
      <c r="F173" s="141" t="s">
        <v>1379</v>
      </c>
      <c r="G173" s="140">
        <v>4.423230533E9</v>
      </c>
      <c r="H173" s="142" t="s">
        <v>1380</v>
      </c>
      <c r="I173" s="140" t="s">
        <v>857</v>
      </c>
      <c r="J173" s="140" t="s">
        <v>73</v>
      </c>
      <c r="K173" s="140" t="s">
        <v>155</v>
      </c>
      <c r="L173" s="143" t="s">
        <v>200</v>
      </c>
      <c r="M173" s="144" t="s">
        <v>14</v>
      </c>
      <c r="N173" s="140" t="s">
        <v>1381</v>
      </c>
      <c r="O173" s="140" t="s">
        <v>97</v>
      </c>
      <c r="P173" s="143" t="s">
        <v>78</v>
      </c>
      <c r="Q173" s="143">
        <v>4.427212479E9</v>
      </c>
      <c r="R173" s="143" t="s">
        <v>1382</v>
      </c>
      <c r="S173" s="145" t="s">
        <v>1383</v>
      </c>
      <c r="T173" s="146" t="s">
        <v>81</v>
      </c>
      <c r="U173" s="142" t="s">
        <v>82</v>
      </c>
      <c r="V173" s="147">
        <v>0.0</v>
      </c>
      <c r="W173" s="143"/>
      <c r="X173" s="143" t="s">
        <v>84</v>
      </c>
      <c r="Y173" s="148">
        <v>17.0</v>
      </c>
      <c r="Z173" s="149">
        <v>46135.0</v>
      </c>
      <c r="AA173" s="143">
        <f>DAY(Tabla1[F. INICIO])</f>
        <v>23</v>
      </c>
      <c r="AB173" s="150" t="str">
        <f>TEXT(' En tramite 23-26'!$Z173,"mmmm")</f>
        <v>abril</v>
      </c>
      <c r="AC173" s="143">
        <f>YEAR(' En tramite 23-26'!$Z173)</f>
        <v>2026</v>
      </c>
      <c r="AD173" s="143" t="s">
        <v>84</v>
      </c>
      <c r="AE173" s="148">
        <v>46135.0</v>
      </c>
      <c r="AF173" s="151">
        <v>46135.0</v>
      </c>
      <c r="AG173" s="143"/>
      <c r="AH173" s="148"/>
      <c r="AI173" s="151"/>
      <c r="AJ173" s="143"/>
      <c r="AK173" s="143"/>
      <c r="AL173" s="143"/>
      <c r="AM173" s="143"/>
      <c r="AN173" s="148"/>
      <c r="AO173" s="151"/>
      <c r="AP173" s="143"/>
      <c r="AQ173" s="148"/>
      <c r="AR173" s="151"/>
      <c r="AS173" s="152">
        <f>' En tramite 23-26'!$AI173+45</f>
        <v>45</v>
      </c>
      <c r="AT173" s="143"/>
      <c r="AU173" s="143"/>
      <c r="AV173" s="143"/>
      <c r="AW173" s="148">
        <f>' En tramite 23-26'!$AS173+45</f>
        <v>90</v>
      </c>
      <c r="AX173" s="144"/>
      <c r="AY173" s="143"/>
      <c r="AZ173" s="143"/>
      <c r="BA173" s="151"/>
      <c r="BB173" s="143"/>
      <c r="BC173" s="153"/>
      <c r="BD173" s="151"/>
      <c r="BE173" s="143">
        <f>DAY(' En tramite 23-26'!$BD173)</f>
        <v>30</v>
      </c>
      <c r="BF173" s="148" t="str">
        <f>TEXT(' En tramite 23-26'!$BD173,"mmmm")</f>
        <v>diciembre</v>
      </c>
      <c r="BG173" s="143">
        <f>YEAR(' En tramite 23-26'!$BD173)</f>
        <v>1899</v>
      </c>
      <c r="BH173" s="154"/>
      <c r="BI173" s="144"/>
      <c r="BJ173" s="143"/>
      <c r="BK173" s="155" t="s">
        <v>1384</v>
      </c>
      <c r="BL173" s="144"/>
      <c r="BM173" s="156"/>
    </row>
    <row r="174" ht="16.5" customHeight="1">
      <c r="A174" s="28" t="s">
        <v>1385</v>
      </c>
      <c r="B174" s="34"/>
      <c r="C174" s="13"/>
      <c r="D174" s="62" t="s">
        <v>1386</v>
      </c>
      <c r="E174" s="15" t="s">
        <v>1387</v>
      </c>
      <c r="F174" s="63" t="s">
        <v>1388</v>
      </c>
      <c r="G174" s="62">
        <v>4.428476031E9</v>
      </c>
      <c r="H174" s="70" t="s">
        <v>1389</v>
      </c>
      <c r="I174" s="62" t="s">
        <v>839</v>
      </c>
      <c r="J174" s="62" t="s">
        <v>109</v>
      </c>
      <c r="K174" s="62" t="s">
        <v>129</v>
      </c>
      <c r="L174" s="65" t="s">
        <v>75</v>
      </c>
      <c r="M174" s="66" t="s">
        <v>14</v>
      </c>
      <c r="N174" s="62" t="s">
        <v>1390</v>
      </c>
      <c r="O174" s="62"/>
      <c r="P174" s="67" t="s">
        <v>78</v>
      </c>
      <c r="Q174" s="67">
        <v>4.422324815E9</v>
      </c>
      <c r="R174" s="67" t="s">
        <v>1391</v>
      </c>
      <c r="S174" s="68" t="s">
        <v>1392</v>
      </c>
      <c r="T174" s="69" t="s">
        <v>81</v>
      </c>
      <c r="U174" s="70" t="s">
        <v>82</v>
      </c>
      <c r="V174" s="98">
        <v>0.0</v>
      </c>
      <c r="W174" s="67"/>
      <c r="X174" s="67" t="s">
        <v>84</v>
      </c>
      <c r="Y174" s="73">
        <v>20.0</v>
      </c>
      <c r="Z174" s="74">
        <v>46114.0</v>
      </c>
      <c r="AA174" s="67">
        <f>DAY(Tabla1[F. INICIO])</f>
        <v>2</v>
      </c>
      <c r="AB174" s="75" t="str">
        <f>TEXT(' En tramite 23-26'!$Z174,"mmmm")</f>
        <v>abril</v>
      </c>
      <c r="AC174" s="67">
        <f>YEAR(' En tramite 23-26'!$Z174)</f>
        <v>2026</v>
      </c>
      <c r="AD174" s="67" t="s">
        <v>84</v>
      </c>
      <c r="AE174" s="73">
        <v>46137.0</v>
      </c>
      <c r="AF174" s="84">
        <v>46114.0</v>
      </c>
      <c r="AG174" s="67" t="s">
        <v>84</v>
      </c>
      <c r="AH174" s="73">
        <v>2.0</v>
      </c>
      <c r="AI174" s="84">
        <v>46114.0</v>
      </c>
      <c r="AJ174" s="67">
        <f>DAY(' En tramite 23-26'!$AI174)</f>
        <v>2</v>
      </c>
      <c r="AK174" s="67" t="str">
        <f>TEXT(' En tramite 23-26'!$AI174,"mmmm")</f>
        <v>abril</v>
      </c>
      <c r="AL174" s="67">
        <f>YEAR(' En tramite 23-26'!$Z174)</f>
        <v>2026</v>
      </c>
      <c r="AM174" s="67" t="s">
        <v>84</v>
      </c>
      <c r="AN174" s="73">
        <v>2.0</v>
      </c>
      <c r="AO174" s="84">
        <v>46114.0</v>
      </c>
      <c r="AP174" s="67" t="s">
        <v>84</v>
      </c>
      <c r="AQ174" s="73">
        <v>2.0</v>
      </c>
      <c r="AR174" s="84">
        <v>46160.0</v>
      </c>
      <c r="AS174" s="73">
        <v>46160.0</v>
      </c>
      <c r="AT174" s="67" t="s">
        <v>85</v>
      </c>
      <c r="AU174" s="67" t="s">
        <v>84</v>
      </c>
      <c r="AV174" s="67">
        <v>2.0</v>
      </c>
      <c r="AW174" s="73">
        <v>46204.0</v>
      </c>
      <c r="AX174" s="66" t="s">
        <v>86</v>
      </c>
      <c r="AY174" s="67" t="s">
        <v>84</v>
      </c>
      <c r="AZ174" s="67">
        <v>2.0</v>
      </c>
      <c r="BA174" s="84">
        <v>46204.0</v>
      </c>
      <c r="BB174" s="67" t="s">
        <v>84</v>
      </c>
      <c r="BC174" s="76">
        <v>2.0</v>
      </c>
      <c r="BD174" s="84">
        <v>46204.0</v>
      </c>
      <c r="BE174" s="67">
        <f>DAY(' En tramite 23-26'!$BD174)</f>
        <v>1</v>
      </c>
      <c r="BF174" s="73" t="str">
        <f>TEXT(' En tramite 23-26'!$BD174,"mmmm")</f>
        <v>julio</v>
      </c>
      <c r="BG174" s="67">
        <f>YEAR(' En tramite 23-26'!$BD174)</f>
        <v>2026</v>
      </c>
      <c r="BH174" s="77"/>
      <c r="BI174" s="66"/>
      <c r="BJ174" s="78" t="s">
        <v>274</v>
      </c>
      <c r="BK174" s="157"/>
      <c r="BL174" s="66"/>
      <c r="BM174" s="80"/>
    </row>
    <row r="175" ht="16.5" customHeight="1">
      <c r="A175" s="28" t="s">
        <v>1393</v>
      </c>
      <c r="B175" s="34"/>
      <c r="C175" s="13"/>
      <c r="D175" s="62" t="s">
        <v>1394</v>
      </c>
      <c r="E175" s="158" t="s">
        <v>1395</v>
      </c>
      <c r="F175" s="63" t="s">
        <v>1396</v>
      </c>
      <c r="G175" s="62">
        <v>4.428229985E9</v>
      </c>
      <c r="H175" s="70" t="s">
        <v>1397</v>
      </c>
      <c r="I175" s="62" t="s">
        <v>993</v>
      </c>
      <c r="J175" s="62" t="s">
        <v>109</v>
      </c>
      <c r="K175" s="62" t="s">
        <v>155</v>
      </c>
      <c r="L175" s="67" t="s">
        <v>200</v>
      </c>
      <c r="M175" s="66" t="s">
        <v>14</v>
      </c>
      <c r="N175" s="62" t="s">
        <v>1398</v>
      </c>
      <c r="O175" s="62" t="s">
        <v>77</v>
      </c>
      <c r="P175" s="67" t="s">
        <v>78</v>
      </c>
      <c r="Q175" s="67">
        <v>4.424992128E9</v>
      </c>
      <c r="R175" s="67" t="s">
        <v>1399</v>
      </c>
      <c r="S175" s="68" t="s">
        <v>1400</v>
      </c>
      <c r="T175" s="69" t="s">
        <v>81</v>
      </c>
      <c r="U175" s="70" t="s">
        <v>82</v>
      </c>
      <c r="V175" s="98">
        <v>1.0</v>
      </c>
      <c r="W175" s="67" t="s">
        <v>83</v>
      </c>
      <c r="X175" s="67" t="s">
        <v>84</v>
      </c>
      <c r="Y175" s="73">
        <v>21.0</v>
      </c>
      <c r="Z175" s="74">
        <v>46136.0</v>
      </c>
      <c r="AA175" s="67">
        <f>DAY(Tabla1[F. INICIO])</f>
        <v>24</v>
      </c>
      <c r="AB175" s="75" t="str">
        <f>TEXT(' En tramite 23-26'!$Z175,"mmmm")</f>
        <v>abril</v>
      </c>
      <c r="AC175" s="67">
        <f>YEAR(' En tramite 23-26'!$Z175)</f>
        <v>2026</v>
      </c>
      <c r="AD175" s="67" t="s">
        <v>84</v>
      </c>
      <c r="AE175" s="73">
        <v>46136.0</v>
      </c>
      <c r="AF175" s="84">
        <v>46136.0</v>
      </c>
      <c r="AG175" s="67" t="s">
        <v>84</v>
      </c>
      <c r="AH175" s="73">
        <v>2.0</v>
      </c>
      <c r="AI175" s="84">
        <v>46139.0</v>
      </c>
      <c r="AJ175" s="67">
        <f>DAY(' En tramite 23-26'!$AI175)</f>
        <v>27</v>
      </c>
      <c r="AK175" s="67" t="str">
        <f>TEXT(' En tramite 23-26'!$AI175,"mmmm")</f>
        <v>abril</v>
      </c>
      <c r="AL175" s="67">
        <f>YEAR(' En tramite 23-26'!$Z175)</f>
        <v>2026</v>
      </c>
      <c r="AM175" s="67" t="s">
        <v>84</v>
      </c>
      <c r="AN175" s="73">
        <v>2.0</v>
      </c>
      <c r="AO175" s="84">
        <v>46139.0</v>
      </c>
      <c r="AP175" s="67" t="s">
        <v>84</v>
      </c>
      <c r="AQ175" s="73">
        <v>2.0</v>
      </c>
      <c r="AR175" s="84">
        <v>46188.0</v>
      </c>
      <c r="AS175" s="99">
        <f>' En tramite 23-26'!$AI175+45</f>
        <v>46184</v>
      </c>
      <c r="AT175" s="67" t="s">
        <v>85</v>
      </c>
      <c r="AU175" s="67" t="s">
        <v>84</v>
      </c>
      <c r="AV175" s="67">
        <v>2.0</v>
      </c>
      <c r="AW175" s="73">
        <v>46230.0</v>
      </c>
      <c r="AX175" s="66" t="s">
        <v>86</v>
      </c>
      <c r="AY175" s="67" t="s">
        <v>84</v>
      </c>
      <c r="AZ175" s="67">
        <v>2.0</v>
      </c>
      <c r="BA175" s="84">
        <v>46248.0</v>
      </c>
      <c r="BB175" s="67" t="s">
        <v>84</v>
      </c>
      <c r="BC175" s="76">
        <v>2.0</v>
      </c>
      <c r="BD175" s="84">
        <v>46230.0</v>
      </c>
      <c r="BE175" s="67">
        <f>DAY(' En tramite 23-26'!$BD175)</f>
        <v>27</v>
      </c>
      <c r="BF175" s="73" t="str">
        <f>TEXT(' En tramite 23-26'!$BD175,"mmmm")</f>
        <v>julio</v>
      </c>
      <c r="BG175" s="67">
        <f>YEAR(' En tramite 23-26'!$BD175)</f>
        <v>2026</v>
      </c>
      <c r="BH175" s="77"/>
      <c r="BI175" s="66"/>
      <c r="BJ175" s="67"/>
      <c r="BK175" s="157"/>
      <c r="BL175" s="66"/>
      <c r="BM175" s="80"/>
    </row>
    <row r="176" ht="16.5" customHeight="1">
      <c r="A176" s="28" t="s">
        <v>1401</v>
      </c>
      <c r="B176" s="34"/>
      <c r="C176" s="13"/>
      <c r="D176" s="41" t="s">
        <v>1402</v>
      </c>
      <c r="E176" s="15" t="s">
        <v>1403</v>
      </c>
      <c r="F176" s="42" t="s">
        <v>1404</v>
      </c>
      <c r="G176" s="41">
        <v>4.422878837E9</v>
      </c>
      <c r="H176" s="47" t="s">
        <v>1405</v>
      </c>
      <c r="I176" s="41" t="s">
        <v>1406</v>
      </c>
      <c r="J176" s="41" t="s">
        <v>109</v>
      </c>
      <c r="K176" s="41" t="s">
        <v>74</v>
      </c>
      <c r="L176" s="44" t="s">
        <v>200</v>
      </c>
      <c r="M176" s="13" t="s">
        <v>95</v>
      </c>
      <c r="N176" s="41" t="s">
        <v>726</v>
      </c>
      <c r="O176" s="41" t="s">
        <v>97</v>
      </c>
      <c r="P176" s="44" t="s">
        <v>95</v>
      </c>
      <c r="Q176" s="44">
        <v>4.423622063E9</v>
      </c>
      <c r="R176" s="41" t="s">
        <v>98</v>
      </c>
      <c r="S176" s="47" t="s">
        <v>99</v>
      </c>
      <c r="T176" s="46" t="s">
        <v>81</v>
      </c>
      <c r="U176" s="47" t="s">
        <v>100</v>
      </c>
      <c r="V176" s="101">
        <v>1.0</v>
      </c>
      <c r="W176" s="44" t="s">
        <v>83</v>
      </c>
      <c r="X176" s="44" t="s">
        <v>84</v>
      </c>
      <c r="Y176" s="49">
        <v>21.0</v>
      </c>
      <c r="Z176" s="50">
        <v>46105.0</v>
      </c>
      <c r="AA176" s="44">
        <f>DAY(Tabla1[F. INICIO])</f>
        <v>24</v>
      </c>
      <c r="AB176" s="51" t="str">
        <f>TEXT(' En tramite 23-26'!$Z176,"mmmm")</f>
        <v>marzo</v>
      </c>
      <c r="AC176" s="44">
        <f>YEAR(' En tramite 23-26'!$Z176)</f>
        <v>2026</v>
      </c>
      <c r="AD176" s="44" t="s">
        <v>84</v>
      </c>
      <c r="AE176" s="49">
        <v>46136.0</v>
      </c>
      <c r="AF176" s="55">
        <v>46105.0</v>
      </c>
      <c r="AG176" s="44"/>
      <c r="AH176" s="49"/>
      <c r="AI176" s="55"/>
      <c r="AJ176" s="44"/>
      <c r="AK176" s="44"/>
      <c r="AL176" s="44"/>
      <c r="AM176" s="44"/>
      <c r="AN176" s="49"/>
      <c r="AO176" s="55"/>
      <c r="AP176" s="44"/>
      <c r="AQ176" s="49"/>
      <c r="AR176" s="55"/>
      <c r="AS176" s="57">
        <f>' En tramite 23-26'!$AI176+45</f>
        <v>45</v>
      </c>
      <c r="AT176" s="44"/>
      <c r="AU176" s="44"/>
      <c r="AV176" s="44"/>
      <c r="AW176" s="49">
        <f>' En tramite 23-26'!$AS176+45</f>
        <v>90</v>
      </c>
      <c r="AX176" s="13"/>
      <c r="AY176" s="44"/>
      <c r="AZ176" s="44"/>
      <c r="BA176" s="55"/>
      <c r="BB176" s="44"/>
      <c r="BC176" s="12"/>
      <c r="BD176" s="55"/>
      <c r="BE176" s="44">
        <f>DAY(' En tramite 23-26'!$BD176)</f>
        <v>30</v>
      </c>
      <c r="BF176" s="49" t="str">
        <f>TEXT(' En tramite 23-26'!$BD176,"mmmm")</f>
        <v>diciembre</v>
      </c>
      <c r="BG176" s="44">
        <f>YEAR(' En tramite 23-26'!$BD176)</f>
        <v>1899</v>
      </c>
      <c r="BH176" s="53"/>
      <c r="BI176" s="13"/>
      <c r="BJ176" s="44"/>
      <c r="BK176" s="54"/>
      <c r="BL176" s="13"/>
      <c r="BM176" s="58"/>
    </row>
    <row r="177" ht="16.5" customHeight="1">
      <c r="A177" s="28" t="s">
        <v>1407</v>
      </c>
      <c r="B177" s="34" t="s">
        <v>900</v>
      </c>
      <c r="C177" s="13" t="s">
        <v>1408</v>
      </c>
      <c r="D177" s="18" t="s">
        <v>1409</v>
      </c>
      <c r="E177" s="15" t="s">
        <v>1410</v>
      </c>
      <c r="F177" s="16" t="s">
        <v>1411</v>
      </c>
      <c r="G177" s="18">
        <v>4.426045456E9</v>
      </c>
      <c r="H177" s="21" t="s">
        <v>1412</v>
      </c>
      <c r="I177" s="18" t="s">
        <v>1406</v>
      </c>
      <c r="J177" s="18" t="s">
        <v>109</v>
      </c>
      <c r="K177" s="18" t="s">
        <v>74</v>
      </c>
      <c r="L177" s="19" t="s">
        <v>75</v>
      </c>
      <c r="M177" s="14" t="s">
        <v>95</v>
      </c>
      <c r="N177" s="18" t="s">
        <v>96</v>
      </c>
      <c r="O177" s="18" t="s">
        <v>97</v>
      </c>
      <c r="P177" s="20" t="s">
        <v>95</v>
      </c>
      <c r="Q177" s="20">
        <v>4.423622063E9</v>
      </c>
      <c r="R177" s="18" t="s">
        <v>98</v>
      </c>
      <c r="S177" s="21" t="s">
        <v>99</v>
      </c>
      <c r="T177" s="22" t="s">
        <v>81</v>
      </c>
      <c r="U177" s="21" t="s">
        <v>100</v>
      </c>
      <c r="V177" s="91">
        <v>1.0</v>
      </c>
      <c r="W177" s="20" t="s">
        <v>83</v>
      </c>
      <c r="X177" s="20" t="s">
        <v>84</v>
      </c>
      <c r="Y177" s="24">
        <v>2.0</v>
      </c>
      <c r="Z177" s="25">
        <v>45992.0</v>
      </c>
      <c r="AA177" s="20">
        <f>DAY(Tabla1[F. INICIO])</f>
        <v>1</v>
      </c>
      <c r="AB177" s="26" t="str">
        <f>TEXT(' En tramite 23-26'!$Z177,"mmmm")</f>
        <v>diciembre</v>
      </c>
      <c r="AC177" s="20">
        <f>YEAR(' En tramite 23-26'!$Z177)</f>
        <v>2025</v>
      </c>
      <c r="AD177" s="20" t="s">
        <v>84</v>
      </c>
      <c r="AE177" s="24">
        <v>2.0</v>
      </c>
      <c r="AF177" s="32">
        <v>45992.0</v>
      </c>
      <c r="AG177" s="20" t="s">
        <v>84</v>
      </c>
      <c r="AH177" s="24">
        <v>2.0</v>
      </c>
      <c r="AI177" s="32">
        <v>46357.0</v>
      </c>
      <c r="AJ177" s="20">
        <f>DAY(' En tramite 23-26'!$AI177)</f>
        <v>1</v>
      </c>
      <c r="AK177" s="20" t="str">
        <f>TEXT(' En tramite 23-26'!$AI177,"mmmm")</f>
        <v>diciembre</v>
      </c>
      <c r="AL177" s="20">
        <f>YEAR(' En tramite 23-26'!$Z177)</f>
        <v>2025</v>
      </c>
      <c r="AM177" s="20" t="s">
        <v>84</v>
      </c>
      <c r="AN177" s="24">
        <v>2.0</v>
      </c>
      <c r="AO177" s="32">
        <v>46357.0</v>
      </c>
      <c r="AP177" s="20" t="s">
        <v>84</v>
      </c>
      <c r="AQ177" s="24">
        <v>2.0</v>
      </c>
      <c r="AR177" s="32">
        <v>46047.0</v>
      </c>
      <c r="AS177" s="24">
        <f>' En tramite 23-26'!$AI177+45</f>
        <v>46402</v>
      </c>
      <c r="AT177" s="20" t="s">
        <v>85</v>
      </c>
      <c r="AU177" s="20" t="s">
        <v>84</v>
      </c>
      <c r="AV177" s="20">
        <v>2.0</v>
      </c>
      <c r="AW177" s="24">
        <v>46103.0</v>
      </c>
      <c r="AX177" s="14" t="s">
        <v>86</v>
      </c>
      <c r="AY177" s="20" t="s">
        <v>84</v>
      </c>
      <c r="AZ177" s="20">
        <v>2.0</v>
      </c>
      <c r="BA177" s="32">
        <v>46103.0</v>
      </c>
      <c r="BB177" s="20" t="s">
        <v>84</v>
      </c>
      <c r="BC177" s="28">
        <v>2.0</v>
      </c>
      <c r="BD177" s="24">
        <v>46099.0</v>
      </c>
      <c r="BE177" s="20">
        <f>DAY(' En tramite 23-26'!$BD177)</f>
        <v>18</v>
      </c>
      <c r="BF177" s="24" t="str">
        <f>TEXT(' En tramite 23-26'!$BD177,"mmmm")</f>
        <v>marzo</v>
      </c>
      <c r="BG177" s="20">
        <f>YEAR(' En tramite 23-26'!$BD177)</f>
        <v>2026</v>
      </c>
      <c r="BH177" s="29">
        <v>1.0</v>
      </c>
      <c r="BI177" s="26" t="s">
        <v>583</v>
      </c>
      <c r="BJ177" s="30" t="s">
        <v>88</v>
      </c>
      <c r="BK177" s="31" t="s">
        <v>89</v>
      </c>
      <c r="BL177" s="32">
        <v>46237.0</v>
      </c>
      <c r="BM177" s="33">
        <v>2.0</v>
      </c>
    </row>
    <row r="178" ht="16.5" customHeight="1">
      <c r="A178" s="28" t="s">
        <v>1413</v>
      </c>
      <c r="B178" s="34"/>
      <c r="C178" s="13"/>
      <c r="D178" s="41" t="s">
        <v>1414</v>
      </c>
      <c r="E178" s="15" t="s">
        <v>1415</v>
      </c>
      <c r="F178" s="42" t="s">
        <v>1416</v>
      </c>
      <c r="G178" s="41">
        <v>4.426614203E9</v>
      </c>
      <c r="H178" s="47" t="s">
        <v>1417</v>
      </c>
      <c r="I178" s="41" t="s">
        <v>1122</v>
      </c>
      <c r="J178" s="41" t="s">
        <v>73</v>
      </c>
      <c r="K178" s="41" t="s">
        <v>129</v>
      </c>
      <c r="L178" s="44" t="s">
        <v>200</v>
      </c>
      <c r="M178" s="13" t="s">
        <v>14</v>
      </c>
      <c r="N178" s="41" t="s">
        <v>631</v>
      </c>
      <c r="O178" s="41" t="s">
        <v>131</v>
      </c>
      <c r="P178" s="44" t="s">
        <v>78</v>
      </c>
      <c r="Q178" s="44">
        <v>4.426614203E9</v>
      </c>
      <c r="R178" s="44" t="s">
        <v>1343</v>
      </c>
      <c r="S178" s="45" t="s">
        <v>1418</v>
      </c>
      <c r="T178" s="46" t="s">
        <v>81</v>
      </c>
      <c r="U178" s="47" t="s">
        <v>82</v>
      </c>
      <c r="V178" s="95">
        <v>0.0</v>
      </c>
      <c r="W178" s="44"/>
      <c r="X178" s="44" t="s">
        <v>84</v>
      </c>
      <c r="Y178" s="49">
        <v>2.0</v>
      </c>
      <c r="Z178" s="50">
        <v>46140.0</v>
      </c>
      <c r="AA178" s="44">
        <f>DAY(Tabla1[F. INICIO])</f>
        <v>28</v>
      </c>
      <c r="AB178" s="51" t="str">
        <f>TEXT(' En tramite 23-26'!$Z178,"mmmm")</f>
        <v>abril</v>
      </c>
      <c r="AC178" s="44">
        <f>YEAR(' En tramite 23-26'!$Z178)</f>
        <v>2026</v>
      </c>
      <c r="AD178" s="44" t="s">
        <v>84</v>
      </c>
      <c r="AE178" s="49">
        <v>2.0</v>
      </c>
      <c r="AF178" s="55">
        <v>46140.0</v>
      </c>
      <c r="AG178" s="44"/>
      <c r="AH178" s="49"/>
      <c r="AI178" s="55"/>
      <c r="AJ178" s="44"/>
      <c r="AK178" s="44"/>
      <c r="AL178" s="44"/>
      <c r="AM178" s="44"/>
      <c r="AN178" s="49"/>
      <c r="AO178" s="55"/>
      <c r="AP178" s="44"/>
      <c r="AQ178" s="49"/>
      <c r="AR178" s="55"/>
      <c r="AS178" s="57">
        <f>' En tramite 23-26'!$AI178+45</f>
        <v>45</v>
      </c>
      <c r="AT178" s="44"/>
      <c r="AU178" s="44"/>
      <c r="AV178" s="44"/>
      <c r="AW178" s="49">
        <f>' En tramite 23-26'!$AS178+45</f>
        <v>90</v>
      </c>
      <c r="AX178" s="13"/>
      <c r="AY178" s="44"/>
      <c r="AZ178" s="44"/>
      <c r="BA178" s="55"/>
      <c r="BB178" s="44"/>
      <c r="BC178" s="12"/>
      <c r="BD178" s="55"/>
      <c r="BE178" s="44">
        <f>DAY(' En tramite 23-26'!$BD178)</f>
        <v>30</v>
      </c>
      <c r="BF178" s="49" t="str">
        <f>TEXT(' En tramite 23-26'!$BD178,"mmmm")</f>
        <v>diciembre</v>
      </c>
      <c r="BG178" s="44">
        <f>YEAR(' En tramite 23-26'!$BD178)</f>
        <v>1899</v>
      </c>
      <c r="BH178" s="53"/>
      <c r="BI178" s="13"/>
      <c r="BJ178" s="44"/>
      <c r="BK178" s="54"/>
      <c r="BL178" s="13"/>
      <c r="BM178" s="58"/>
    </row>
    <row r="179" ht="16.5" customHeight="1">
      <c r="A179" s="28" t="s">
        <v>1419</v>
      </c>
      <c r="B179" s="34"/>
      <c r="C179" s="13"/>
      <c r="D179" s="41" t="s">
        <v>1420</v>
      </c>
      <c r="E179" s="15" t="s">
        <v>1421</v>
      </c>
      <c r="F179" s="42" t="s">
        <v>1422</v>
      </c>
      <c r="G179" s="41">
        <v>4.461180997E9</v>
      </c>
      <c r="H179" s="47" t="s">
        <v>1423</v>
      </c>
      <c r="I179" s="41" t="s">
        <v>897</v>
      </c>
      <c r="J179" s="41" t="s">
        <v>109</v>
      </c>
      <c r="K179" s="41" t="s">
        <v>74</v>
      </c>
      <c r="L179" s="44" t="s">
        <v>200</v>
      </c>
      <c r="M179" s="13" t="s">
        <v>95</v>
      </c>
      <c r="N179" s="41" t="s">
        <v>726</v>
      </c>
      <c r="O179" s="41" t="s">
        <v>97</v>
      </c>
      <c r="P179" s="44" t="s">
        <v>95</v>
      </c>
      <c r="Q179" s="44">
        <v>4.423622063E9</v>
      </c>
      <c r="R179" s="41" t="s">
        <v>98</v>
      </c>
      <c r="S179" s="47" t="s">
        <v>99</v>
      </c>
      <c r="T179" s="46" t="s">
        <v>81</v>
      </c>
      <c r="U179" s="47" t="s">
        <v>100</v>
      </c>
      <c r="V179" s="101">
        <v>1.0</v>
      </c>
      <c r="W179" s="111" t="s">
        <v>83</v>
      </c>
      <c r="X179" s="44" t="s">
        <v>84</v>
      </c>
      <c r="Y179" s="49">
        <v>2.0</v>
      </c>
      <c r="Z179" s="50">
        <v>46140.0</v>
      </c>
      <c r="AA179" s="44">
        <f>DAY(Tabla1[F. INICIO])</f>
        <v>28</v>
      </c>
      <c r="AB179" s="51" t="str">
        <f>TEXT(' En tramite 23-26'!$Z179,"mmmm")</f>
        <v>abril</v>
      </c>
      <c r="AC179" s="44">
        <f>YEAR(' En tramite 23-26'!$Z179)</f>
        <v>2026</v>
      </c>
      <c r="AD179" s="44" t="s">
        <v>84</v>
      </c>
      <c r="AE179" s="49">
        <v>2.0</v>
      </c>
      <c r="AF179" s="55">
        <v>46140.0</v>
      </c>
      <c r="AG179" s="44" t="s">
        <v>84</v>
      </c>
      <c r="AH179" s="49">
        <v>2.0</v>
      </c>
      <c r="AI179" s="55">
        <v>46140.0</v>
      </c>
      <c r="AJ179" s="44">
        <f>DAY(' En tramite 23-26'!$AI179)</f>
        <v>28</v>
      </c>
      <c r="AK179" s="44" t="str">
        <f>TEXT(' En tramite 23-26'!$AI179,"mmmm")</f>
        <v>abril</v>
      </c>
      <c r="AL179" s="44">
        <f>YEAR(' En tramite 23-26'!$Z179)</f>
        <v>2026</v>
      </c>
      <c r="AM179" s="44" t="s">
        <v>84</v>
      </c>
      <c r="AN179" s="49">
        <v>2.0</v>
      </c>
      <c r="AO179" s="55">
        <v>46140.0</v>
      </c>
      <c r="AP179" s="44"/>
      <c r="AQ179" s="49"/>
      <c r="AR179" s="55"/>
      <c r="AS179" s="57">
        <f>' En tramite 23-26'!$AI179+45</f>
        <v>46185</v>
      </c>
      <c r="AT179" s="44"/>
      <c r="AU179" s="44"/>
      <c r="AV179" s="44"/>
      <c r="AW179" s="49">
        <f>' En tramite 23-26'!$AS179+45</f>
        <v>46230</v>
      </c>
      <c r="AX179" s="13"/>
      <c r="AY179" s="44"/>
      <c r="AZ179" s="44"/>
      <c r="BA179" s="55"/>
      <c r="BB179" s="44"/>
      <c r="BC179" s="12"/>
      <c r="BD179" s="55"/>
      <c r="BE179" s="44">
        <f>DAY(' En tramite 23-26'!$BD179)</f>
        <v>30</v>
      </c>
      <c r="BF179" s="49" t="str">
        <f>TEXT(' En tramite 23-26'!$BD179,"mmmm")</f>
        <v>diciembre</v>
      </c>
      <c r="BG179" s="44">
        <f>YEAR(' En tramite 23-26'!$BD179)</f>
        <v>1899</v>
      </c>
      <c r="BH179" s="53"/>
      <c r="BI179" s="13"/>
      <c r="BJ179" s="44"/>
      <c r="BK179" s="54"/>
      <c r="BL179" s="13"/>
      <c r="BM179" s="58"/>
    </row>
    <row r="180" ht="16.5" customHeight="1">
      <c r="A180" s="28" t="s">
        <v>1424</v>
      </c>
      <c r="B180" s="34"/>
      <c r="C180" s="13"/>
      <c r="D180" s="62" t="s">
        <v>1425</v>
      </c>
      <c r="E180" s="15" t="s">
        <v>1426</v>
      </c>
      <c r="F180" s="63" t="s">
        <v>1427</v>
      </c>
      <c r="G180" s="62">
        <v>4.428698454E9</v>
      </c>
      <c r="H180" s="70" t="s">
        <v>1428</v>
      </c>
      <c r="I180" s="62" t="s">
        <v>897</v>
      </c>
      <c r="J180" s="62" t="s">
        <v>109</v>
      </c>
      <c r="K180" s="62" t="s">
        <v>74</v>
      </c>
      <c r="L180" s="65" t="s">
        <v>75</v>
      </c>
      <c r="M180" s="66" t="s">
        <v>14</v>
      </c>
      <c r="N180" s="62" t="s">
        <v>1429</v>
      </c>
      <c r="O180" s="62" t="s">
        <v>131</v>
      </c>
      <c r="P180" s="67" t="s">
        <v>78</v>
      </c>
      <c r="Q180" s="67">
        <v>4.421866842E9</v>
      </c>
      <c r="R180" s="67" t="s">
        <v>1430</v>
      </c>
      <c r="S180" s="68" t="s">
        <v>1431</v>
      </c>
      <c r="T180" s="69" t="s">
        <v>81</v>
      </c>
      <c r="U180" s="70" t="s">
        <v>100</v>
      </c>
      <c r="V180" s="137">
        <v>1.0</v>
      </c>
      <c r="W180" s="67" t="s">
        <v>83</v>
      </c>
      <c r="X180" s="67" t="s">
        <v>84</v>
      </c>
      <c r="Y180" s="73">
        <v>2.0</v>
      </c>
      <c r="Z180" s="159">
        <v>46001.0</v>
      </c>
      <c r="AA180" s="67">
        <f>DAY(Tabla1[F. INICIO])</f>
        <v>10</v>
      </c>
      <c r="AB180" s="160" t="str">
        <f>TEXT(' En tramite 23-26'!$Z180,"mmmm")</f>
        <v>diciembre</v>
      </c>
      <c r="AC180" s="67">
        <f>YEAR(' En tramite 23-26'!$Z180)</f>
        <v>2025</v>
      </c>
      <c r="AD180" s="67" t="s">
        <v>84</v>
      </c>
      <c r="AE180" s="73">
        <v>2.0</v>
      </c>
      <c r="AF180" s="84">
        <v>46001.0</v>
      </c>
      <c r="AG180" s="67" t="s">
        <v>84</v>
      </c>
      <c r="AH180" s="73">
        <v>3.0</v>
      </c>
      <c r="AI180" s="84">
        <v>46001.0</v>
      </c>
      <c r="AJ180" s="67">
        <f>DAY(' En tramite 23-26'!$AI180)</f>
        <v>10</v>
      </c>
      <c r="AK180" s="67" t="str">
        <f>TEXT(' En tramite 23-26'!$AI180,"mmmm")</f>
        <v>diciembre</v>
      </c>
      <c r="AL180" s="67">
        <f>YEAR(' En tramite 23-26'!$Z180)</f>
        <v>2025</v>
      </c>
      <c r="AM180" s="67" t="s">
        <v>220</v>
      </c>
      <c r="AN180" s="73">
        <v>1.0</v>
      </c>
      <c r="AO180" s="84">
        <v>46001.0</v>
      </c>
      <c r="AP180" s="67" t="s">
        <v>84</v>
      </c>
      <c r="AQ180" s="73">
        <v>2.0</v>
      </c>
      <c r="AR180" s="84">
        <v>46047.0</v>
      </c>
      <c r="AS180" s="73">
        <f>' En tramite 23-26'!$AI180+45</f>
        <v>46046</v>
      </c>
      <c r="AT180" s="67" t="s">
        <v>85</v>
      </c>
      <c r="AU180" s="67" t="s">
        <v>84</v>
      </c>
      <c r="AV180" s="67">
        <v>2.0</v>
      </c>
      <c r="AW180" s="73">
        <f>' En tramite 23-26'!$AS180+45</f>
        <v>46091</v>
      </c>
      <c r="AX180" s="66" t="s">
        <v>86</v>
      </c>
      <c r="AY180" s="67" t="s">
        <v>84</v>
      </c>
      <c r="AZ180" s="67">
        <v>2.0</v>
      </c>
      <c r="BA180" s="84">
        <v>46091.0</v>
      </c>
      <c r="BB180" s="67" t="s">
        <v>84</v>
      </c>
      <c r="BC180" s="76">
        <v>2.0</v>
      </c>
      <c r="BD180" s="84">
        <v>46091.0</v>
      </c>
      <c r="BE180" s="67">
        <f>DAY(' En tramite 23-26'!$BD180)</f>
        <v>10</v>
      </c>
      <c r="BF180" s="73" t="str">
        <f>TEXT(' En tramite 23-26'!$BD180,"mmmm")</f>
        <v>marzo</v>
      </c>
      <c r="BG180" s="67">
        <f>YEAR(' En tramite 23-26'!$BD180)</f>
        <v>2026</v>
      </c>
      <c r="BH180" s="77"/>
      <c r="BI180" s="66"/>
      <c r="BJ180" s="78" t="s">
        <v>274</v>
      </c>
      <c r="BK180" s="79" t="s">
        <v>275</v>
      </c>
      <c r="BL180" s="66"/>
      <c r="BM180" s="80"/>
    </row>
    <row r="181" ht="16.5" customHeight="1">
      <c r="A181" s="28" t="s">
        <v>1432</v>
      </c>
      <c r="B181" s="34"/>
      <c r="C181" s="13"/>
      <c r="D181" s="41" t="s">
        <v>1433</v>
      </c>
      <c r="E181" s="15" t="s">
        <v>1434</v>
      </c>
      <c r="F181" s="42" t="s">
        <v>1435</v>
      </c>
      <c r="G181" s="41">
        <v>4.424490598E9</v>
      </c>
      <c r="H181" s="47" t="s">
        <v>1436</v>
      </c>
      <c r="I181" s="41" t="s">
        <v>897</v>
      </c>
      <c r="J181" s="41" t="s">
        <v>109</v>
      </c>
      <c r="K181" s="41" t="s">
        <v>74</v>
      </c>
      <c r="L181" s="44" t="s">
        <v>200</v>
      </c>
      <c r="M181" s="13" t="s">
        <v>95</v>
      </c>
      <c r="N181" s="41" t="s">
        <v>726</v>
      </c>
      <c r="O181" s="41" t="s">
        <v>97</v>
      </c>
      <c r="P181" s="44" t="s">
        <v>95</v>
      </c>
      <c r="Q181" s="44">
        <v>4.423622063E9</v>
      </c>
      <c r="R181" s="41" t="s">
        <v>98</v>
      </c>
      <c r="S181" s="47" t="s">
        <v>99</v>
      </c>
      <c r="T181" s="46" t="s">
        <v>81</v>
      </c>
      <c r="U181" s="47" t="s">
        <v>100</v>
      </c>
      <c r="V181" s="101">
        <v>1.0</v>
      </c>
      <c r="W181" s="111" t="s">
        <v>83</v>
      </c>
      <c r="X181" s="44" t="s">
        <v>84</v>
      </c>
      <c r="Y181" s="49">
        <v>2.0</v>
      </c>
      <c r="Z181" s="50">
        <v>46140.0</v>
      </c>
      <c r="AA181" s="44">
        <f>DAY(Tabla1[F. INICIO])</f>
        <v>28</v>
      </c>
      <c r="AB181" s="51" t="str">
        <f>TEXT(' En tramite 23-26'!$Z181,"mmmm")</f>
        <v>abril</v>
      </c>
      <c r="AC181" s="44">
        <f>YEAR(' En tramite 23-26'!$Z181)</f>
        <v>2026</v>
      </c>
      <c r="AD181" s="44" t="s">
        <v>84</v>
      </c>
      <c r="AE181" s="49">
        <v>2.0</v>
      </c>
      <c r="AF181" s="55">
        <v>46140.0</v>
      </c>
      <c r="AG181" s="44"/>
      <c r="AH181" s="49"/>
      <c r="AI181" s="55"/>
      <c r="AJ181" s="44"/>
      <c r="AK181" s="44"/>
      <c r="AL181" s="44"/>
      <c r="AM181" s="44"/>
      <c r="AN181" s="49"/>
      <c r="AO181" s="55"/>
      <c r="AP181" s="44"/>
      <c r="AQ181" s="49"/>
      <c r="AR181" s="55"/>
      <c r="AS181" s="57">
        <f>' En tramite 23-26'!$AI181+45</f>
        <v>45</v>
      </c>
      <c r="AT181" s="44"/>
      <c r="AU181" s="44"/>
      <c r="AV181" s="44"/>
      <c r="AW181" s="49">
        <f>' En tramite 23-26'!$AS181+45</f>
        <v>90</v>
      </c>
      <c r="AX181" s="13"/>
      <c r="AY181" s="44"/>
      <c r="AZ181" s="44"/>
      <c r="BA181" s="55"/>
      <c r="BB181" s="44"/>
      <c r="BC181" s="12"/>
      <c r="BD181" s="55"/>
      <c r="BE181" s="44">
        <f>DAY(' En tramite 23-26'!$BD181)</f>
        <v>30</v>
      </c>
      <c r="BF181" s="49" t="str">
        <f>TEXT(' En tramite 23-26'!$BD181,"mmmm")</f>
        <v>diciembre</v>
      </c>
      <c r="BG181" s="44">
        <f>YEAR(' En tramite 23-26'!$BD181)</f>
        <v>1899</v>
      </c>
      <c r="BH181" s="53"/>
      <c r="BI181" s="13"/>
      <c r="BJ181" s="44"/>
      <c r="BK181" s="54"/>
      <c r="BL181" s="13"/>
      <c r="BM181" s="58"/>
    </row>
    <row r="182" ht="16.5" customHeight="1">
      <c r="A182" s="28" t="s">
        <v>1437</v>
      </c>
      <c r="B182" s="34"/>
      <c r="C182" s="13"/>
      <c r="D182" s="41" t="s">
        <v>1438</v>
      </c>
      <c r="E182" s="15" t="s">
        <v>1439</v>
      </c>
      <c r="F182" s="42" t="s">
        <v>1440</v>
      </c>
      <c r="G182" s="41">
        <v>4.462958583E9</v>
      </c>
      <c r="H182" s="47" t="s">
        <v>1441</v>
      </c>
      <c r="I182" s="41" t="s">
        <v>897</v>
      </c>
      <c r="J182" s="41" t="s">
        <v>109</v>
      </c>
      <c r="K182" s="41" t="s">
        <v>74</v>
      </c>
      <c r="L182" s="44" t="s">
        <v>200</v>
      </c>
      <c r="M182" s="13" t="s">
        <v>14</v>
      </c>
      <c r="N182" s="41" t="s">
        <v>1442</v>
      </c>
      <c r="O182" s="41" t="s">
        <v>131</v>
      </c>
      <c r="P182" s="44" t="s">
        <v>78</v>
      </c>
      <c r="Q182" s="44">
        <v>4.426101402E9</v>
      </c>
      <c r="R182" s="44" t="s">
        <v>1443</v>
      </c>
      <c r="S182" s="45" t="s">
        <v>1444</v>
      </c>
      <c r="T182" s="46" t="s">
        <v>81</v>
      </c>
      <c r="U182" s="47" t="s">
        <v>100</v>
      </c>
      <c r="V182" s="95">
        <v>0.0</v>
      </c>
      <c r="W182" s="44"/>
      <c r="X182" s="44" t="s">
        <v>84</v>
      </c>
      <c r="Y182" s="49">
        <v>2.0</v>
      </c>
      <c r="Z182" s="161">
        <v>46142.0</v>
      </c>
      <c r="AA182" s="44">
        <f>DAY(Tabla1[F. INICIO])</f>
        <v>30</v>
      </c>
      <c r="AB182" s="162" t="str">
        <f>TEXT(' En tramite 23-26'!$Z182,"mmmm")</f>
        <v>abril</v>
      </c>
      <c r="AC182" s="44">
        <f>YEAR(' En tramite 23-26'!$Z182)</f>
        <v>2026</v>
      </c>
      <c r="AD182" s="44" t="s">
        <v>84</v>
      </c>
      <c r="AE182" s="49">
        <v>2.0</v>
      </c>
      <c r="AF182" s="49">
        <v>46142.0</v>
      </c>
      <c r="AG182" s="44" t="s">
        <v>84</v>
      </c>
      <c r="AH182" s="49">
        <v>2.0</v>
      </c>
      <c r="AI182" s="55">
        <v>46142.0</v>
      </c>
      <c r="AJ182" s="44">
        <f>DAY(' En tramite 23-26'!$AI182)</f>
        <v>30</v>
      </c>
      <c r="AK182" s="44" t="str">
        <f>TEXT(' En tramite 23-26'!$AI182,"mmmm")</f>
        <v>abril</v>
      </c>
      <c r="AL182" s="44">
        <f>YEAR(' En tramite 23-26'!$Z182)</f>
        <v>2026</v>
      </c>
      <c r="AM182" s="44" t="s">
        <v>84</v>
      </c>
      <c r="AN182" s="49">
        <v>5.0</v>
      </c>
      <c r="AO182" s="55">
        <v>46142.0</v>
      </c>
      <c r="AP182" s="44"/>
      <c r="AQ182" s="49"/>
      <c r="AR182" s="55"/>
      <c r="AS182" s="57">
        <f>' En tramite 23-26'!$AI182+45</f>
        <v>46187</v>
      </c>
      <c r="AT182" s="44"/>
      <c r="AU182" s="44"/>
      <c r="AV182" s="44"/>
      <c r="AW182" s="49">
        <f>' En tramite 23-26'!$AS182+45</f>
        <v>46232</v>
      </c>
      <c r="AX182" s="13"/>
      <c r="AY182" s="44"/>
      <c r="AZ182" s="44"/>
      <c r="BA182" s="55"/>
      <c r="BB182" s="44"/>
      <c r="BC182" s="12"/>
      <c r="BD182" s="55"/>
      <c r="BE182" s="44">
        <f>DAY(' En tramite 23-26'!$BD182)</f>
        <v>30</v>
      </c>
      <c r="BF182" s="49" t="str">
        <f>TEXT(' En tramite 23-26'!$BD182,"mmmm")</f>
        <v>diciembre</v>
      </c>
      <c r="BG182" s="44">
        <f>YEAR(' En tramite 23-26'!$BD182)</f>
        <v>1899</v>
      </c>
      <c r="BH182" s="53"/>
      <c r="BI182" s="13"/>
      <c r="BJ182" s="44"/>
      <c r="BK182" s="54"/>
      <c r="BL182" s="13"/>
      <c r="BM182" s="58"/>
    </row>
    <row r="183" ht="16.5" customHeight="1">
      <c r="A183" s="28" t="s">
        <v>1445</v>
      </c>
      <c r="B183" s="34"/>
      <c r="C183" s="13"/>
      <c r="D183" s="51" t="s">
        <v>1446</v>
      </c>
      <c r="E183" s="15" t="s">
        <v>1447</v>
      </c>
      <c r="F183" s="42" t="s">
        <v>1448</v>
      </c>
      <c r="G183" s="41">
        <v>4.424658507E9</v>
      </c>
      <c r="H183" s="47" t="s">
        <v>1449</v>
      </c>
      <c r="I183" s="41" t="s">
        <v>985</v>
      </c>
      <c r="J183" s="41" t="s">
        <v>73</v>
      </c>
      <c r="K183" s="41" t="s">
        <v>74</v>
      </c>
      <c r="L183" s="44" t="s">
        <v>200</v>
      </c>
      <c r="M183" s="13" t="s">
        <v>14</v>
      </c>
      <c r="N183" s="41" t="s">
        <v>1450</v>
      </c>
      <c r="O183" s="41" t="s">
        <v>131</v>
      </c>
      <c r="P183" s="44" t="s">
        <v>78</v>
      </c>
      <c r="Q183" s="44">
        <v>4.42382427E9</v>
      </c>
      <c r="R183" s="44" t="s">
        <v>1451</v>
      </c>
      <c r="S183" s="45" t="s">
        <v>1452</v>
      </c>
      <c r="T183" s="46" t="s">
        <v>81</v>
      </c>
      <c r="U183" s="47" t="s">
        <v>100</v>
      </c>
      <c r="V183" s="95">
        <v>0.0</v>
      </c>
      <c r="W183" s="44"/>
      <c r="X183" s="44" t="s">
        <v>84</v>
      </c>
      <c r="Y183" s="49">
        <v>2.0</v>
      </c>
      <c r="Z183" s="161">
        <v>46147.0</v>
      </c>
      <c r="AA183" s="44">
        <f>DAY(Tabla1[F. INICIO])</f>
        <v>5</v>
      </c>
      <c r="AB183" s="162" t="str">
        <f>TEXT(' En tramite 23-26'!$Z183,"mmmm")</f>
        <v>mayo</v>
      </c>
      <c r="AC183" s="44">
        <f>YEAR(' En tramite 23-26'!$Z183)</f>
        <v>2026</v>
      </c>
      <c r="AD183" s="44" t="s">
        <v>84</v>
      </c>
      <c r="AE183" s="49">
        <v>2.0</v>
      </c>
      <c r="AF183" s="49">
        <v>46147.0</v>
      </c>
      <c r="AG183" s="44"/>
      <c r="AH183" s="49"/>
      <c r="AI183" s="55"/>
      <c r="AJ183" s="44"/>
      <c r="AK183" s="44"/>
      <c r="AL183" s="44"/>
      <c r="AM183" s="44"/>
      <c r="AN183" s="49"/>
      <c r="AO183" s="55"/>
      <c r="AP183" s="44"/>
      <c r="AQ183" s="49"/>
      <c r="AR183" s="55"/>
      <c r="AS183" s="57">
        <f>' En tramite 23-26'!$AI183+45</f>
        <v>45</v>
      </c>
      <c r="AT183" s="44"/>
      <c r="AU183" s="44"/>
      <c r="AV183" s="44"/>
      <c r="AW183" s="49">
        <f>' En tramite 23-26'!$AS183+45</f>
        <v>90</v>
      </c>
      <c r="AX183" s="13"/>
      <c r="AY183" s="44"/>
      <c r="AZ183" s="44"/>
      <c r="BA183" s="55"/>
      <c r="BB183" s="44"/>
      <c r="BC183" s="12"/>
      <c r="BD183" s="55"/>
      <c r="BE183" s="44">
        <f>DAY(' En tramite 23-26'!$BD183)</f>
        <v>30</v>
      </c>
      <c r="BF183" s="49" t="str">
        <f>TEXT(' En tramite 23-26'!$BD183,"mmmm")</f>
        <v>diciembre</v>
      </c>
      <c r="BG183" s="44">
        <f>YEAR(' En tramite 23-26'!$BD183)</f>
        <v>1899</v>
      </c>
      <c r="BH183" s="53"/>
      <c r="BI183" s="13"/>
      <c r="BJ183" s="44"/>
      <c r="BK183" s="54"/>
      <c r="BL183" s="13"/>
      <c r="BM183" s="58"/>
    </row>
    <row r="184" ht="16.5" customHeight="1">
      <c r="A184" s="28" t="s">
        <v>1453</v>
      </c>
      <c r="B184" s="34"/>
      <c r="C184" s="13"/>
      <c r="D184" s="41" t="s">
        <v>1454</v>
      </c>
      <c r="E184" s="15" t="s">
        <v>1455</v>
      </c>
      <c r="F184" s="42">
        <v>2.342207006E10</v>
      </c>
      <c r="G184" s="41">
        <v>4.427111125E9</v>
      </c>
      <c r="H184" s="47" t="s">
        <v>1456</v>
      </c>
      <c r="I184" s="41" t="s">
        <v>952</v>
      </c>
      <c r="J184" s="41" t="s">
        <v>109</v>
      </c>
      <c r="K184" s="41" t="s">
        <v>141</v>
      </c>
      <c r="L184" s="44" t="s">
        <v>200</v>
      </c>
      <c r="M184" s="13" t="s">
        <v>14</v>
      </c>
      <c r="N184" s="41" t="s">
        <v>1457</v>
      </c>
      <c r="O184" s="41" t="s">
        <v>131</v>
      </c>
      <c r="P184" s="44" t="s">
        <v>78</v>
      </c>
      <c r="Q184" s="44">
        <v>4.428290912E9</v>
      </c>
      <c r="R184" s="44" t="s">
        <v>1458</v>
      </c>
      <c r="S184" s="45" t="s">
        <v>1459</v>
      </c>
      <c r="T184" s="46" t="s">
        <v>81</v>
      </c>
      <c r="U184" s="47" t="s">
        <v>100</v>
      </c>
      <c r="V184" s="95">
        <v>0.0</v>
      </c>
      <c r="W184" s="44"/>
      <c r="X184" s="44" t="s">
        <v>84</v>
      </c>
      <c r="Y184" s="49">
        <v>2.0</v>
      </c>
      <c r="Z184" s="50">
        <v>46141.0</v>
      </c>
      <c r="AA184" s="44">
        <f>DAY(Tabla1[F. INICIO])</f>
        <v>29</v>
      </c>
      <c r="AB184" s="51" t="str">
        <f>TEXT(' En tramite 23-26'!$Z184,"mmmm")</f>
        <v>abril</v>
      </c>
      <c r="AC184" s="44">
        <f>YEAR(' En tramite 23-26'!$Z184)</f>
        <v>2026</v>
      </c>
      <c r="AD184" s="44"/>
      <c r="AE184" s="55"/>
      <c r="AF184" s="55"/>
      <c r="AG184" s="44"/>
      <c r="AH184" s="49"/>
      <c r="AI184" s="55"/>
      <c r="AJ184" s="44"/>
      <c r="AK184" s="44"/>
      <c r="AL184" s="44"/>
      <c r="AM184" s="44"/>
      <c r="AN184" s="49"/>
      <c r="AO184" s="55"/>
      <c r="AP184" s="44"/>
      <c r="AQ184" s="49"/>
      <c r="AR184" s="55"/>
      <c r="AS184" s="57">
        <f>' En tramite 23-26'!$AI184+45</f>
        <v>45</v>
      </c>
      <c r="AT184" s="44"/>
      <c r="AU184" s="44"/>
      <c r="AV184" s="44"/>
      <c r="AW184" s="49">
        <f>' En tramite 23-26'!$AS184+45</f>
        <v>90</v>
      </c>
      <c r="AX184" s="13"/>
      <c r="AY184" s="44"/>
      <c r="AZ184" s="44"/>
      <c r="BA184" s="55"/>
      <c r="BB184" s="44"/>
      <c r="BC184" s="12"/>
      <c r="BD184" s="55"/>
      <c r="BE184" s="44">
        <f>DAY(' En tramite 23-26'!$BD184)</f>
        <v>30</v>
      </c>
      <c r="BF184" s="49" t="str">
        <f>TEXT(' En tramite 23-26'!$BD184,"mmmm")</f>
        <v>diciembre</v>
      </c>
      <c r="BG184" s="44">
        <f>YEAR(' En tramite 23-26'!$BD184)</f>
        <v>1899</v>
      </c>
      <c r="BH184" s="53"/>
      <c r="BI184" s="13"/>
      <c r="BJ184" s="44"/>
      <c r="BK184" s="54"/>
      <c r="BL184" s="13"/>
      <c r="BM184" s="58"/>
    </row>
    <row r="185" ht="16.5" customHeight="1">
      <c r="A185" s="28" t="s">
        <v>1460</v>
      </c>
      <c r="B185" s="34"/>
      <c r="C185" s="13"/>
      <c r="D185" s="41" t="s">
        <v>1461</v>
      </c>
      <c r="E185" s="15" t="s">
        <v>1462</v>
      </c>
      <c r="F185" s="42" t="s">
        <v>1463</v>
      </c>
      <c r="G185" s="41">
        <v>4.422838482E9</v>
      </c>
      <c r="H185" s="47" t="s">
        <v>1464</v>
      </c>
      <c r="I185" s="41" t="s">
        <v>839</v>
      </c>
      <c r="J185" s="41" t="s">
        <v>109</v>
      </c>
      <c r="K185" s="41" t="s">
        <v>129</v>
      </c>
      <c r="L185" s="44" t="s">
        <v>200</v>
      </c>
      <c r="M185" s="13" t="s">
        <v>14</v>
      </c>
      <c r="N185" s="41" t="s">
        <v>1465</v>
      </c>
      <c r="O185" s="41" t="s">
        <v>77</v>
      </c>
      <c r="P185" s="44" t="s">
        <v>78</v>
      </c>
      <c r="Q185" s="44">
        <v>4.424614366E9</v>
      </c>
      <c r="R185" s="44" t="s">
        <v>1466</v>
      </c>
      <c r="S185" s="45" t="s">
        <v>1467</v>
      </c>
      <c r="T185" s="46" t="s">
        <v>81</v>
      </c>
      <c r="U185" s="47" t="s">
        <v>100</v>
      </c>
      <c r="V185" s="95">
        <v>0.0</v>
      </c>
      <c r="W185" s="44"/>
      <c r="X185" s="44" t="s">
        <v>84</v>
      </c>
      <c r="Y185" s="49">
        <v>2.0</v>
      </c>
      <c r="Z185" s="161">
        <v>46142.0</v>
      </c>
      <c r="AA185" s="44">
        <f>DAY(Tabla1[F. INICIO])</f>
        <v>30</v>
      </c>
      <c r="AB185" s="162" t="str">
        <f>TEXT(' En tramite 23-26'!$Z185,"mmmm")</f>
        <v>abril</v>
      </c>
      <c r="AC185" s="44">
        <f>YEAR(' En tramite 23-26'!$Z185)</f>
        <v>2026</v>
      </c>
      <c r="AD185" s="44" t="s">
        <v>84</v>
      </c>
      <c r="AE185" s="49">
        <v>2.0</v>
      </c>
      <c r="AF185" s="49">
        <v>46142.0</v>
      </c>
      <c r="AG185" s="44"/>
      <c r="AH185" s="49"/>
      <c r="AI185" s="55"/>
      <c r="AJ185" s="44"/>
      <c r="AK185" s="44"/>
      <c r="AL185" s="44"/>
      <c r="AM185" s="44"/>
      <c r="AN185" s="49"/>
      <c r="AO185" s="55"/>
      <c r="AP185" s="44"/>
      <c r="AQ185" s="49"/>
      <c r="AR185" s="55"/>
      <c r="AS185" s="57">
        <f>' En tramite 23-26'!$AI185+45</f>
        <v>45</v>
      </c>
      <c r="AT185" s="44"/>
      <c r="AU185" s="44"/>
      <c r="AV185" s="44"/>
      <c r="AW185" s="49">
        <f>' En tramite 23-26'!$AS185+45</f>
        <v>90</v>
      </c>
      <c r="AX185" s="13"/>
      <c r="AY185" s="44"/>
      <c r="AZ185" s="44"/>
      <c r="BA185" s="55"/>
      <c r="BB185" s="44"/>
      <c r="BC185" s="12"/>
      <c r="BD185" s="55"/>
      <c r="BE185" s="44">
        <f>DAY(' En tramite 23-26'!$BD185)</f>
        <v>30</v>
      </c>
      <c r="BF185" s="49" t="str">
        <f>TEXT(' En tramite 23-26'!$BD185,"mmmm")</f>
        <v>diciembre</v>
      </c>
      <c r="BG185" s="44">
        <f>YEAR(' En tramite 23-26'!$BD185)</f>
        <v>1899</v>
      </c>
      <c r="BH185" s="53"/>
      <c r="BI185" s="13"/>
      <c r="BJ185" s="44"/>
      <c r="BK185" s="54"/>
      <c r="BL185" s="13"/>
      <c r="BM185" s="58"/>
    </row>
    <row r="186" ht="16.5" customHeight="1">
      <c r="A186" s="28" t="s">
        <v>1468</v>
      </c>
      <c r="B186" s="34"/>
      <c r="C186" s="13"/>
      <c r="D186" s="66" t="s">
        <v>1469</v>
      </c>
      <c r="E186" s="15" t="s">
        <v>1470</v>
      </c>
      <c r="F186" s="63" t="s">
        <v>1471</v>
      </c>
      <c r="G186" s="62" t="s">
        <v>1194</v>
      </c>
      <c r="H186" s="70" t="s">
        <v>1472</v>
      </c>
      <c r="I186" s="62" t="s">
        <v>800</v>
      </c>
      <c r="J186" s="62" t="s">
        <v>73</v>
      </c>
      <c r="K186" s="62" t="s">
        <v>74</v>
      </c>
      <c r="L186" s="65" t="s">
        <v>75</v>
      </c>
      <c r="M186" s="66" t="s">
        <v>14</v>
      </c>
      <c r="N186" s="62" t="s">
        <v>1473</v>
      </c>
      <c r="O186" s="62" t="s">
        <v>77</v>
      </c>
      <c r="P186" s="67" t="s">
        <v>78</v>
      </c>
      <c r="Q186" s="67">
        <v>4.426023889E9</v>
      </c>
      <c r="R186" s="67" t="s">
        <v>1474</v>
      </c>
      <c r="S186" s="68" t="s">
        <v>1475</v>
      </c>
      <c r="T186" s="69" t="s">
        <v>81</v>
      </c>
      <c r="U186" s="70" t="s">
        <v>100</v>
      </c>
      <c r="V186" s="98">
        <v>1.0</v>
      </c>
      <c r="W186" s="67" t="s">
        <v>83</v>
      </c>
      <c r="X186" s="67" t="s">
        <v>84</v>
      </c>
      <c r="Y186" s="73">
        <v>2.0</v>
      </c>
      <c r="Z186" s="159">
        <v>46147.0</v>
      </c>
      <c r="AA186" s="67">
        <f>DAY(Tabla1[F. INICIO])</f>
        <v>5</v>
      </c>
      <c r="AB186" s="160" t="str">
        <f>TEXT(' En tramite 23-26'!$Z186,"mmmm")</f>
        <v>mayo</v>
      </c>
      <c r="AC186" s="67">
        <f>YEAR(' En tramite 23-26'!$Z186)</f>
        <v>2026</v>
      </c>
      <c r="AD186" s="67" t="s">
        <v>84</v>
      </c>
      <c r="AE186" s="73">
        <v>2.0</v>
      </c>
      <c r="AF186" s="84">
        <v>46147.0</v>
      </c>
      <c r="AG186" s="67" t="s">
        <v>84</v>
      </c>
      <c r="AH186" s="73">
        <v>9.0</v>
      </c>
      <c r="AI186" s="84">
        <v>46147.0</v>
      </c>
      <c r="AJ186" s="67">
        <f>DAY(' En tramite 23-26'!$AI186)</f>
        <v>5</v>
      </c>
      <c r="AK186" s="67" t="str">
        <f>TEXT(' En tramite 23-26'!$AI186,"mmmm")</f>
        <v>mayo</v>
      </c>
      <c r="AL186" s="67">
        <f>YEAR(' En tramite 23-26'!$Z186)</f>
        <v>2026</v>
      </c>
      <c r="AM186" s="67" t="s">
        <v>84</v>
      </c>
      <c r="AN186" s="73">
        <v>9.0</v>
      </c>
      <c r="AO186" s="84">
        <v>46147.0</v>
      </c>
      <c r="AP186" s="67" t="s">
        <v>84</v>
      </c>
      <c r="AQ186" s="73">
        <v>2.0</v>
      </c>
      <c r="AR186" s="84">
        <v>46188.0</v>
      </c>
      <c r="AS186" s="73">
        <f>' En tramite 23-26'!$AI186+45</f>
        <v>46192</v>
      </c>
      <c r="AT186" s="67" t="s">
        <v>85</v>
      </c>
      <c r="AU186" s="67" t="s">
        <v>84</v>
      </c>
      <c r="AV186" s="67">
        <v>2.0</v>
      </c>
      <c r="AW186" s="73">
        <v>46239.0</v>
      </c>
      <c r="AX186" s="66" t="s">
        <v>86</v>
      </c>
      <c r="AY186" s="67" t="s">
        <v>84</v>
      </c>
      <c r="AZ186" s="67">
        <v>2.0</v>
      </c>
      <c r="BA186" s="84">
        <v>46239.0</v>
      </c>
      <c r="BB186" s="67" t="s">
        <v>84</v>
      </c>
      <c r="BC186" s="76">
        <v>2.0</v>
      </c>
      <c r="BD186" s="84">
        <v>46239.0</v>
      </c>
      <c r="BE186" s="67">
        <f>DAY(' En tramite 23-26'!$BD186)</f>
        <v>5</v>
      </c>
      <c r="BF186" s="73" t="str">
        <f>TEXT(' En tramite 23-26'!$BD186,"mmmm")</f>
        <v>agosto</v>
      </c>
      <c r="BG186" s="67">
        <f>YEAR(' En tramite 23-26'!$BD186)</f>
        <v>2026</v>
      </c>
      <c r="BH186" s="77"/>
      <c r="BI186" s="75"/>
      <c r="BJ186" s="78" t="s">
        <v>274</v>
      </c>
      <c r="BK186" s="79" t="s">
        <v>275</v>
      </c>
      <c r="BL186" s="66"/>
      <c r="BM186" s="80"/>
    </row>
    <row r="187" ht="16.5" customHeight="1">
      <c r="A187" s="28" t="s">
        <v>1476</v>
      </c>
      <c r="B187" s="34"/>
      <c r="C187" s="13"/>
      <c r="D187" s="41" t="s">
        <v>1477</v>
      </c>
      <c r="E187" s="15" t="s">
        <v>1478</v>
      </c>
      <c r="F187" s="42" t="s">
        <v>1479</v>
      </c>
      <c r="G187" s="41">
        <v>4.426151732E9</v>
      </c>
      <c r="H187" s="47" t="s">
        <v>1480</v>
      </c>
      <c r="I187" s="41" t="s">
        <v>993</v>
      </c>
      <c r="J187" s="41" t="s">
        <v>109</v>
      </c>
      <c r="K187" s="41" t="s">
        <v>155</v>
      </c>
      <c r="L187" s="44" t="s">
        <v>200</v>
      </c>
      <c r="M187" s="13" t="s">
        <v>14</v>
      </c>
      <c r="N187" s="41" t="s">
        <v>1481</v>
      </c>
      <c r="O187" s="41" t="s">
        <v>77</v>
      </c>
      <c r="P187" s="44" t="s">
        <v>78</v>
      </c>
      <c r="Q187" s="44">
        <v>4.422193188E9</v>
      </c>
      <c r="R187" s="44" t="s">
        <v>1482</v>
      </c>
      <c r="S187" s="45" t="s">
        <v>1483</v>
      </c>
      <c r="T187" s="46" t="s">
        <v>81</v>
      </c>
      <c r="U187" s="47" t="s">
        <v>82</v>
      </c>
      <c r="V187" s="95">
        <v>0.0</v>
      </c>
      <c r="W187" s="44"/>
      <c r="X187" s="44" t="s">
        <v>84</v>
      </c>
      <c r="Y187" s="49">
        <v>3.0</v>
      </c>
      <c r="Z187" s="50">
        <v>46142.0</v>
      </c>
      <c r="AA187" s="163">
        <f>DAY(Tabla1[F. INICIO])</f>
        <v>30</v>
      </c>
      <c r="AB187" s="51" t="str">
        <f>TEXT(' En tramite 23-26'!$Z187,"mmmm")</f>
        <v>abril</v>
      </c>
      <c r="AC187" s="44">
        <f>YEAR(' En tramite 23-26'!$Z187)</f>
        <v>2026</v>
      </c>
      <c r="AD187" s="44" t="s">
        <v>84</v>
      </c>
      <c r="AE187" s="49">
        <v>3.0</v>
      </c>
      <c r="AF187" s="55">
        <v>46142.0</v>
      </c>
      <c r="AG187" s="44"/>
      <c r="AH187" s="49"/>
      <c r="AI187" s="55"/>
      <c r="AJ187" s="44"/>
      <c r="AK187" s="44"/>
      <c r="AL187" s="44"/>
      <c r="AM187" s="44"/>
      <c r="AN187" s="49"/>
      <c r="AO187" s="55"/>
      <c r="AP187" s="44"/>
      <c r="AQ187" s="49"/>
      <c r="AR187" s="55"/>
      <c r="AS187" s="57">
        <f>' En tramite 23-26'!$AI187+45</f>
        <v>45</v>
      </c>
      <c r="AT187" s="44"/>
      <c r="AU187" s="44"/>
      <c r="AV187" s="44"/>
      <c r="AW187" s="49">
        <f>' En tramite 23-26'!$AS187+45</f>
        <v>90</v>
      </c>
      <c r="AX187" s="13"/>
      <c r="AY187" s="44"/>
      <c r="AZ187" s="44"/>
      <c r="BA187" s="55"/>
      <c r="BB187" s="44"/>
      <c r="BC187" s="12"/>
      <c r="BD187" s="55"/>
      <c r="BE187" s="44">
        <f>DAY(' En tramite 23-26'!$BD187)</f>
        <v>30</v>
      </c>
      <c r="BF187" s="49" t="str">
        <f>TEXT(' En tramite 23-26'!$BD187,"mmmm")</f>
        <v>diciembre</v>
      </c>
      <c r="BG187" s="44">
        <f>YEAR(' En tramite 23-26'!$BD187)</f>
        <v>1899</v>
      </c>
      <c r="BH187" s="53"/>
      <c r="BI187" s="13"/>
      <c r="BJ187" s="44"/>
      <c r="BK187" s="54"/>
      <c r="BL187" s="13"/>
      <c r="BM187" s="58"/>
    </row>
    <row r="188" ht="16.5" customHeight="1">
      <c r="A188" s="28" t="s">
        <v>1484</v>
      </c>
      <c r="B188" s="34"/>
      <c r="C188" s="13"/>
      <c r="D188" s="62" t="s">
        <v>1485</v>
      </c>
      <c r="E188" s="15" t="s">
        <v>1486</v>
      </c>
      <c r="F188" s="63" t="s">
        <v>1487</v>
      </c>
      <c r="G188" s="62">
        <v>3.342903612E9</v>
      </c>
      <c r="H188" s="70" t="s">
        <v>1488</v>
      </c>
      <c r="I188" s="62" t="s">
        <v>897</v>
      </c>
      <c r="J188" s="62" t="s">
        <v>109</v>
      </c>
      <c r="K188" s="62" t="s">
        <v>74</v>
      </c>
      <c r="L188" s="67" t="s">
        <v>200</v>
      </c>
      <c r="M188" s="66" t="s">
        <v>14</v>
      </c>
      <c r="N188" s="62" t="s">
        <v>1489</v>
      </c>
      <c r="O188" s="62" t="s">
        <v>131</v>
      </c>
      <c r="P188" s="67" t="s">
        <v>78</v>
      </c>
      <c r="Q188" s="67">
        <v>4.422281507E9</v>
      </c>
      <c r="R188" s="67" t="s">
        <v>1490</v>
      </c>
      <c r="S188" s="68" t="s">
        <v>1491</v>
      </c>
      <c r="T188" s="69" t="s">
        <v>81</v>
      </c>
      <c r="U188" s="70" t="s">
        <v>100</v>
      </c>
      <c r="V188" s="98">
        <v>0.0</v>
      </c>
      <c r="W188" s="67"/>
      <c r="X188" s="67" t="s">
        <v>84</v>
      </c>
      <c r="Y188" s="73">
        <v>4.0</v>
      </c>
      <c r="Z188" s="74">
        <v>46150.0</v>
      </c>
      <c r="AA188" s="164">
        <f>DAY(Tabla1[F. INICIO])</f>
        <v>8</v>
      </c>
      <c r="AB188" s="75" t="str">
        <f>TEXT(' En tramite 23-26'!$Z188,"mmmm")</f>
        <v>mayo</v>
      </c>
      <c r="AC188" s="67">
        <f>YEAR(' En tramite 23-26'!$Z188)</f>
        <v>2026</v>
      </c>
      <c r="AD188" s="67" t="s">
        <v>84</v>
      </c>
      <c r="AE188" s="73">
        <v>4.0</v>
      </c>
      <c r="AF188" s="84">
        <v>46153.0</v>
      </c>
      <c r="AG188" s="67" t="s">
        <v>84</v>
      </c>
      <c r="AH188" s="73">
        <v>2.0</v>
      </c>
      <c r="AI188" s="84">
        <v>46154.0</v>
      </c>
      <c r="AJ188" s="67">
        <f>DAY(' En tramite 23-26'!$AI188)</f>
        <v>12</v>
      </c>
      <c r="AK188" s="67" t="str">
        <f>TEXT(' En tramite 23-26'!$AI188,"mmmm")</f>
        <v>mayo</v>
      </c>
      <c r="AL188" s="67">
        <f>YEAR(' En tramite 23-26'!$Z188)</f>
        <v>2026</v>
      </c>
      <c r="AM188" s="67" t="s">
        <v>84</v>
      </c>
      <c r="AN188" s="73">
        <v>2.0</v>
      </c>
      <c r="AO188" s="84">
        <v>46154.0</v>
      </c>
      <c r="AP188" s="67" t="s">
        <v>84</v>
      </c>
      <c r="AQ188" s="73">
        <v>2.0</v>
      </c>
      <c r="AR188" s="84">
        <v>46195.0</v>
      </c>
      <c r="AS188" s="99">
        <f>' En tramite 23-26'!$AI188+45</f>
        <v>46199</v>
      </c>
      <c r="AT188" s="67" t="s">
        <v>85</v>
      </c>
      <c r="AU188" s="67" t="s">
        <v>84</v>
      </c>
      <c r="AV188" s="67">
        <v>2.0</v>
      </c>
      <c r="AW188" s="73">
        <f>' En tramite 23-26'!$AS188+45</f>
        <v>46244</v>
      </c>
      <c r="AX188" s="66" t="s">
        <v>86</v>
      </c>
      <c r="AY188" s="67" t="s">
        <v>84</v>
      </c>
      <c r="AZ188" s="67">
        <v>2.0</v>
      </c>
      <c r="BA188" s="84">
        <v>46237.0</v>
      </c>
      <c r="BB188" s="67" t="s">
        <v>84</v>
      </c>
      <c r="BC188" s="76">
        <v>2.0</v>
      </c>
      <c r="BD188" s="84">
        <v>46237.0</v>
      </c>
      <c r="BE188" s="67">
        <f>DAY(' En tramite 23-26'!$BD188)</f>
        <v>3</v>
      </c>
      <c r="BF188" s="73" t="str">
        <f>TEXT(' En tramite 23-26'!$BD188,"mmmm")</f>
        <v>agosto</v>
      </c>
      <c r="BG188" s="67">
        <f>YEAR(' En tramite 23-26'!$BD188)</f>
        <v>2026</v>
      </c>
      <c r="BH188" s="77"/>
      <c r="BI188" s="66"/>
      <c r="BJ188" s="78" t="s">
        <v>274</v>
      </c>
      <c r="BK188" s="79" t="s">
        <v>275</v>
      </c>
      <c r="BL188" s="66"/>
      <c r="BM188" s="80"/>
    </row>
    <row r="189" ht="16.5" customHeight="1">
      <c r="A189" s="28" t="s">
        <v>1492</v>
      </c>
      <c r="B189" s="34"/>
      <c r="C189" s="13"/>
      <c r="D189" s="41" t="s">
        <v>1493</v>
      </c>
      <c r="E189" s="15" t="s">
        <v>1494</v>
      </c>
      <c r="F189" s="42" t="s">
        <v>1495</v>
      </c>
      <c r="G189" s="41">
        <v>4.428785815E9</v>
      </c>
      <c r="H189" s="47" t="s">
        <v>1496</v>
      </c>
      <c r="I189" s="41" t="s">
        <v>993</v>
      </c>
      <c r="J189" s="41" t="s">
        <v>109</v>
      </c>
      <c r="K189" s="41" t="s">
        <v>155</v>
      </c>
      <c r="L189" s="44" t="s">
        <v>200</v>
      </c>
      <c r="M189" s="13" t="s">
        <v>14</v>
      </c>
      <c r="N189" s="41" t="s">
        <v>1465</v>
      </c>
      <c r="O189" s="41" t="s">
        <v>131</v>
      </c>
      <c r="P189" s="44" t="s">
        <v>78</v>
      </c>
      <c r="Q189" s="44">
        <v>4.424614366E9</v>
      </c>
      <c r="R189" s="44" t="s">
        <v>1466</v>
      </c>
      <c r="S189" s="45" t="s">
        <v>1467</v>
      </c>
      <c r="T189" s="46" t="s">
        <v>81</v>
      </c>
      <c r="U189" s="47" t="s">
        <v>82</v>
      </c>
      <c r="V189" s="95">
        <v>0.0</v>
      </c>
      <c r="W189" s="44"/>
      <c r="X189" s="44" t="s">
        <v>84</v>
      </c>
      <c r="Y189" s="49">
        <v>5.0</v>
      </c>
      <c r="Z189" s="50">
        <v>46140.0</v>
      </c>
      <c r="AA189" s="163">
        <f>DAY(Tabla1[F. INICIO])</f>
        <v>28</v>
      </c>
      <c r="AB189" s="51" t="str">
        <f>TEXT(' En tramite 23-26'!$Z189,"mmmm")</f>
        <v>abril</v>
      </c>
      <c r="AC189" s="44">
        <f>YEAR(' En tramite 23-26'!$Z189)</f>
        <v>2026</v>
      </c>
      <c r="AD189" s="44" t="s">
        <v>84</v>
      </c>
      <c r="AE189" s="49">
        <v>5.0</v>
      </c>
      <c r="AF189" s="55">
        <v>46140.0</v>
      </c>
      <c r="AG189" s="44"/>
      <c r="AH189" s="49"/>
      <c r="AI189" s="55"/>
      <c r="AJ189" s="44"/>
      <c r="AK189" s="44"/>
      <c r="AL189" s="44"/>
      <c r="AM189" s="44"/>
      <c r="AN189" s="49"/>
      <c r="AO189" s="55"/>
      <c r="AP189" s="44"/>
      <c r="AQ189" s="49"/>
      <c r="AR189" s="55"/>
      <c r="AS189" s="57">
        <f>' En tramite 23-26'!$AI189+45</f>
        <v>45</v>
      </c>
      <c r="AT189" s="44"/>
      <c r="AU189" s="44"/>
      <c r="AV189" s="44"/>
      <c r="AW189" s="49">
        <f>' En tramite 23-26'!$AS189+45</f>
        <v>90</v>
      </c>
      <c r="AX189" s="13"/>
      <c r="AY189" s="44"/>
      <c r="AZ189" s="44"/>
      <c r="BA189" s="55"/>
      <c r="BB189" s="44"/>
      <c r="BC189" s="12"/>
      <c r="BD189" s="55"/>
      <c r="BE189" s="44">
        <f>DAY(' En tramite 23-26'!$BD189)</f>
        <v>30</v>
      </c>
      <c r="BF189" s="49" t="str">
        <f>TEXT(' En tramite 23-26'!$BD189,"mmmm")</f>
        <v>diciembre</v>
      </c>
      <c r="BG189" s="44">
        <f>YEAR(' En tramite 23-26'!$BD189)</f>
        <v>1899</v>
      </c>
      <c r="BH189" s="53"/>
      <c r="BI189" s="13"/>
      <c r="BJ189" s="44"/>
      <c r="BK189" s="54"/>
      <c r="BL189" s="13"/>
      <c r="BM189" s="58"/>
    </row>
    <row r="190" ht="16.5" customHeight="1">
      <c r="A190" s="28" t="s">
        <v>1497</v>
      </c>
      <c r="B190" s="34"/>
      <c r="C190" s="13"/>
      <c r="D190" s="62" t="s">
        <v>1498</v>
      </c>
      <c r="E190" s="15" t="s">
        <v>1499</v>
      </c>
      <c r="F190" s="63" t="s">
        <v>1500</v>
      </c>
      <c r="G190" s="62">
        <v>4.424652449E9</v>
      </c>
      <c r="H190" s="70" t="s">
        <v>1501</v>
      </c>
      <c r="I190" s="62" t="s">
        <v>993</v>
      </c>
      <c r="J190" s="62" t="s">
        <v>109</v>
      </c>
      <c r="K190" s="62" t="s">
        <v>155</v>
      </c>
      <c r="L190" s="65" t="s">
        <v>75</v>
      </c>
      <c r="M190" s="66" t="s">
        <v>14</v>
      </c>
      <c r="N190" s="62" t="s">
        <v>1502</v>
      </c>
      <c r="O190" s="62" t="s">
        <v>77</v>
      </c>
      <c r="P190" s="67" t="s">
        <v>78</v>
      </c>
      <c r="Q190" s="67">
        <v>4.421093E9</v>
      </c>
      <c r="R190" s="67" t="s">
        <v>1503</v>
      </c>
      <c r="S190" s="68" t="s">
        <v>1504</v>
      </c>
      <c r="T190" s="69" t="s">
        <v>81</v>
      </c>
      <c r="U190" s="70" t="s">
        <v>82</v>
      </c>
      <c r="V190" s="98">
        <v>1.0</v>
      </c>
      <c r="W190" s="67" t="s">
        <v>83</v>
      </c>
      <c r="X190" s="67" t="s">
        <v>84</v>
      </c>
      <c r="Y190" s="73">
        <v>6.0</v>
      </c>
      <c r="Z190" s="74">
        <v>46153.0</v>
      </c>
      <c r="AA190" s="164">
        <f>DAY(Tabla1[F. INICIO])</f>
        <v>11</v>
      </c>
      <c r="AB190" s="75" t="str">
        <f>TEXT(' En tramite 23-26'!$Z190,"mmmm")</f>
        <v>mayo</v>
      </c>
      <c r="AC190" s="67">
        <f>YEAR(' En tramite 23-26'!$Z190)</f>
        <v>2026</v>
      </c>
      <c r="AD190" s="67" t="s">
        <v>84</v>
      </c>
      <c r="AE190" s="73">
        <v>6.0</v>
      </c>
      <c r="AF190" s="84">
        <v>46153.0</v>
      </c>
      <c r="AG190" s="67" t="s">
        <v>84</v>
      </c>
      <c r="AH190" s="73">
        <v>2.0</v>
      </c>
      <c r="AI190" s="84">
        <v>46153.0</v>
      </c>
      <c r="AJ190" s="67">
        <f>DAY(' En tramite 23-26'!$AI190)</f>
        <v>11</v>
      </c>
      <c r="AK190" s="67" t="str">
        <f>TEXT(' En tramite 23-26'!$AI190,"mmmm")</f>
        <v>mayo</v>
      </c>
      <c r="AL190" s="67">
        <f>YEAR(' En tramite 23-26'!$Z190)</f>
        <v>2026</v>
      </c>
      <c r="AM190" s="67" t="s">
        <v>84</v>
      </c>
      <c r="AN190" s="73">
        <v>2.0</v>
      </c>
      <c r="AO190" s="84">
        <v>46153.0</v>
      </c>
      <c r="AP190" s="67" t="s">
        <v>84</v>
      </c>
      <c r="AQ190" s="73">
        <v>2.0</v>
      </c>
      <c r="AR190" s="84">
        <v>46198.0</v>
      </c>
      <c r="AS190" s="73">
        <f>' En tramite 23-26'!$AI190+45</f>
        <v>46198</v>
      </c>
      <c r="AT190" s="67" t="s">
        <v>85</v>
      </c>
      <c r="AU190" s="67" t="s">
        <v>84</v>
      </c>
      <c r="AV190" s="67">
        <v>2.0</v>
      </c>
      <c r="AW190" s="73">
        <f>' En tramite 23-26'!$AS190+45</f>
        <v>46243</v>
      </c>
      <c r="AX190" s="66" t="s">
        <v>86</v>
      </c>
      <c r="AY190" s="67" t="s">
        <v>84</v>
      </c>
      <c r="AZ190" s="67">
        <v>2.0</v>
      </c>
      <c r="BA190" s="84">
        <v>46262.0</v>
      </c>
      <c r="BB190" s="67" t="s">
        <v>84</v>
      </c>
      <c r="BC190" s="76">
        <v>2.0</v>
      </c>
      <c r="BD190" s="84">
        <v>46262.0</v>
      </c>
      <c r="BE190" s="67">
        <f>DAY(' En tramite 23-26'!$BD190)</f>
        <v>28</v>
      </c>
      <c r="BF190" s="73" t="str">
        <f>TEXT(' En tramite 23-26'!$BD190,"mmmm")</f>
        <v>agosto</v>
      </c>
      <c r="BG190" s="67">
        <f>YEAR(' En tramite 23-26'!$BD190)</f>
        <v>2026</v>
      </c>
      <c r="BH190" s="77"/>
      <c r="BI190" s="66"/>
      <c r="BJ190" s="78" t="s">
        <v>274</v>
      </c>
      <c r="BK190" s="79" t="s">
        <v>275</v>
      </c>
      <c r="BL190" s="66"/>
      <c r="BM190" s="80"/>
    </row>
    <row r="191" ht="16.5" customHeight="1">
      <c r="A191" s="28" t="s">
        <v>1505</v>
      </c>
      <c r="B191" s="34"/>
      <c r="C191" s="13"/>
      <c r="D191" s="41" t="s">
        <v>1506</v>
      </c>
      <c r="E191" s="15" t="s">
        <v>1507</v>
      </c>
      <c r="F191" s="42" t="s">
        <v>1495</v>
      </c>
      <c r="G191" s="41">
        <v>4.428785815E9</v>
      </c>
      <c r="H191" s="47" t="s">
        <v>1496</v>
      </c>
      <c r="I191" s="41" t="s">
        <v>857</v>
      </c>
      <c r="J191" s="41" t="s">
        <v>73</v>
      </c>
      <c r="K191" s="41" t="s">
        <v>155</v>
      </c>
      <c r="L191" s="44" t="s">
        <v>200</v>
      </c>
      <c r="M191" s="13" t="s">
        <v>14</v>
      </c>
      <c r="N191" s="41" t="s">
        <v>1508</v>
      </c>
      <c r="O191" s="41" t="s">
        <v>77</v>
      </c>
      <c r="P191" s="44" t="s">
        <v>78</v>
      </c>
      <c r="Q191" s="34">
        <v>5.29511597758E11</v>
      </c>
      <c r="R191" s="44" t="s">
        <v>1509</v>
      </c>
      <c r="S191" s="45" t="s">
        <v>1510</v>
      </c>
      <c r="T191" s="46" t="s">
        <v>81</v>
      </c>
      <c r="U191" s="47" t="s">
        <v>82</v>
      </c>
      <c r="V191" s="95">
        <v>0.0</v>
      </c>
      <c r="W191" s="111">
        <v>2800.0</v>
      </c>
      <c r="X191" s="44" t="s">
        <v>84</v>
      </c>
      <c r="Y191" s="49">
        <v>7.0</v>
      </c>
      <c r="Z191" s="50">
        <v>46153.0</v>
      </c>
      <c r="AA191" s="163">
        <f>DAY(Tabla1[F. INICIO])</f>
        <v>11</v>
      </c>
      <c r="AB191" s="51" t="str">
        <f>TEXT(' En tramite 23-26'!$Z191,"mmmm")</f>
        <v>mayo</v>
      </c>
      <c r="AC191" s="44">
        <f>YEAR(' En tramite 23-26'!$Z191)</f>
        <v>2026</v>
      </c>
      <c r="AD191" s="44" t="s">
        <v>84</v>
      </c>
      <c r="AE191" s="49">
        <v>7.0</v>
      </c>
      <c r="AF191" s="55">
        <v>46153.0</v>
      </c>
      <c r="AG191" s="44" t="s">
        <v>84</v>
      </c>
      <c r="AH191" s="49">
        <v>14.0</v>
      </c>
      <c r="AI191" s="55">
        <v>46153.0</v>
      </c>
      <c r="AJ191" s="44">
        <f>DAY(' En tramite 23-26'!$AI191)</f>
        <v>11</v>
      </c>
      <c r="AK191" s="44" t="str">
        <f>TEXT(' En tramite 23-26'!$AI191,"mmmm")</f>
        <v>mayo</v>
      </c>
      <c r="AL191" s="44">
        <f>YEAR(' En tramite 23-26'!$Z191)</f>
        <v>2026</v>
      </c>
      <c r="AM191" s="44" t="s">
        <v>84</v>
      </c>
      <c r="AN191" s="49">
        <v>14.0</v>
      </c>
      <c r="AO191" s="55">
        <v>46153.0</v>
      </c>
      <c r="AP191" s="44"/>
      <c r="AQ191" s="49"/>
      <c r="AR191" s="55"/>
      <c r="AS191" s="57">
        <f>' En tramite 23-26'!$AI191+45</f>
        <v>46198</v>
      </c>
      <c r="AT191" s="44"/>
      <c r="AU191" s="44"/>
      <c r="AV191" s="44"/>
      <c r="AW191" s="49">
        <f>' En tramite 23-26'!$AS191+45</f>
        <v>46243</v>
      </c>
      <c r="AX191" s="13"/>
      <c r="AY191" s="44"/>
      <c r="AZ191" s="44"/>
      <c r="BA191" s="55"/>
      <c r="BB191" s="44"/>
      <c r="BC191" s="12"/>
      <c r="BD191" s="55"/>
      <c r="BE191" s="44">
        <f>DAY(' En tramite 23-26'!$BD191)</f>
        <v>30</v>
      </c>
      <c r="BF191" s="49" t="str">
        <f>TEXT(' En tramite 23-26'!$BD191,"mmmm")</f>
        <v>diciembre</v>
      </c>
      <c r="BG191" s="44">
        <f>YEAR(' En tramite 23-26'!$BD191)</f>
        <v>1899</v>
      </c>
      <c r="BH191" s="53"/>
      <c r="BI191" s="13"/>
      <c r="BJ191" s="44"/>
      <c r="BK191" s="54"/>
      <c r="BL191" s="13"/>
      <c r="BM191" s="58"/>
    </row>
    <row r="192" ht="16.5" customHeight="1">
      <c r="A192" s="28" t="s">
        <v>1511</v>
      </c>
      <c r="B192" s="34"/>
      <c r="C192" s="13"/>
      <c r="D192" s="62" t="s">
        <v>1512</v>
      </c>
      <c r="E192" s="158" t="s">
        <v>1513</v>
      </c>
      <c r="F192" s="63" t="s">
        <v>1514</v>
      </c>
      <c r="G192" s="62">
        <v>5.51303425E9</v>
      </c>
      <c r="H192" s="70" t="s">
        <v>1515</v>
      </c>
      <c r="I192" s="62" t="s">
        <v>993</v>
      </c>
      <c r="J192" s="62" t="s">
        <v>109</v>
      </c>
      <c r="K192" s="62" t="s">
        <v>155</v>
      </c>
      <c r="L192" s="67" t="s">
        <v>200</v>
      </c>
      <c r="M192" s="66" t="s">
        <v>14</v>
      </c>
      <c r="N192" s="62" t="s">
        <v>1516</v>
      </c>
      <c r="O192" s="62" t="s">
        <v>131</v>
      </c>
      <c r="P192" s="67" t="s">
        <v>78</v>
      </c>
      <c r="Q192" s="67">
        <v>4.422845001E9</v>
      </c>
      <c r="R192" s="67" t="s">
        <v>1517</v>
      </c>
      <c r="S192" s="68" t="s">
        <v>1518</v>
      </c>
      <c r="T192" s="69" t="s">
        <v>81</v>
      </c>
      <c r="U192" s="70" t="s">
        <v>82</v>
      </c>
      <c r="V192" s="98">
        <v>1.0</v>
      </c>
      <c r="W192" s="67" t="s">
        <v>83</v>
      </c>
      <c r="X192" s="67" t="s">
        <v>84</v>
      </c>
      <c r="Y192" s="73">
        <v>8.0</v>
      </c>
      <c r="Z192" s="74">
        <v>46097.0</v>
      </c>
      <c r="AA192" s="164">
        <f>DAY(Tabla1[F. INICIO])</f>
        <v>16</v>
      </c>
      <c r="AB192" s="75" t="str">
        <f>TEXT(' En tramite 23-26'!$Z192,"mmmm")</f>
        <v>marzo</v>
      </c>
      <c r="AC192" s="67">
        <f>YEAR(' En tramite 23-26'!$Z192)</f>
        <v>2026</v>
      </c>
      <c r="AD192" s="67" t="s">
        <v>84</v>
      </c>
      <c r="AE192" s="73">
        <v>8.0</v>
      </c>
      <c r="AF192" s="84">
        <v>46097.0</v>
      </c>
      <c r="AG192" s="67" t="s">
        <v>84</v>
      </c>
      <c r="AH192" s="73">
        <v>2.0</v>
      </c>
      <c r="AI192" s="84">
        <v>46097.0</v>
      </c>
      <c r="AJ192" s="67">
        <f>DAY(' En tramite 23-26'!$AI192)</f>
        <v>16</v>
      </c>
      <c r="AK192" s="67" t="str">
        <f>TEXT(' En tramite 23-26'!$AI192,"mmmm")</f>
        <v>marzo</v>
      </c>
      <c r="AL192" s="67">
        <f>YEAR(' En tramite 23-26'!$Z192)</f>
        <v>2026</v>
      </c>
      <c r="AM192" s="67" t="s">
        <v>84</v>
      </c>
      <c r="AN192" s="73">
        <v>15.0</v>
      </c>
      <c r="AO192" s="84">
        <v>46097.0</v>
      </c>
      <c r="AP192" s="67" t="s">
        <v>84</v>
      </c>
      <c r="AQ192" s="73">
        <v>2.0</v>
      </c>
      <c r="AR192" s="84">
        <v>46142.0</v>
      </c>
      <c r="AS192" s="99">
        <f>' En tramite 23-26'!$AI192+45</f>
        <v>46142</v>
      </c>
      <c r="AT192" s="67" t="s">
        <v>85</v>
      </c>
      <c r="AU192" s="67" t="s">
        <v>84</v>
      </c>
      <c r="AV192" s="67">
        <v>2.0</v>
      </c>
      <c r="AW192" s="73">
        <v>46189.0</v>
      </c>
      <c r="AX192" s="66" t="s">
        <v>86</v>
      </c>
      <c r="AY192" s="67" t="s">
        <v>84</v>
      </c>
      <c r="AZ192" s="67">
        <v>2.0</v>
      </c>
      <c r="BA192" s="84">
        <v>46189.0</v>
      </c>
      <c r="BB192" s="67" t="s">
        <v>84</v>
      </c>
      <c r="BC192" s="76">
        <v>2.0</v>
      </c>
      <c r="BD192" s="84">
        <v>46189.0</v>
      </c>
      <c r="BE192" s="67">
        <f>DAY(' En tramite 23-26'!$BD192)</f>
        <v>16</v>
      </c>
      <c r="BF192" s="73" t="str">
        <f>TEXT(' En tramite 23-26'!$BD192,"mmmm")</f>
        <v>junio</v>
      </c>
      <c r="BG192" s="67">
        <f>YEAR(' En tramite 23-26'!$BD192)</f>
        <v>2026</v>
      </c>
      <c r="BH192" s="77"/>
      <c r="BI192" s="66"/>
      <c r="BJ192" s="78" t="s">
        <v>274</v>
      </c>
      <c r="BK192" s="79" t="s">
        <v>275</v>
      </c>
      <c r="BL192" s="66"/>
      <c r="BM192" s="80"/>
    </row>
    <row r="193" ht="16.5" customHeight="1">
      <c r="A193" s="28" t="s">
        <v>1519</v>
      </c>
      <c r="B193" s="34"/>
      <c r="C193" s="13"/>
      <c r="D193" s="41" t="s">
        <v>1520</v>
      </c>
      <c r="E193" s="15" t="s">
        <v>1521</v>
      </c>
      <c r="F193" s="42" t="s">
        <v>1522</v>
      </c>
      <c r="G193" s="41">
        <v>4.421492197E9</v>
      </c>
      <c r="H193" s="47" t="s">
        <v>1523</v>
      </c>
      <c r="I193" s="41" t="s">
        <v>1122</v>
      </c>
      <c r="J193" s="41" t="s">
        <v>73</v>
      </c>
      <c r="K193" s="41" t="s">
        <v>129</v>
      </c>
      <c r="L193" s="44" t="s">
        <v>200</v>
      </c>
      <c r="M193" s="13" t="s">
        <v>14</v>
      </c>
      <c r="N193" s="41" t="s">
        <v>1524</v>
      </c>
      <c r="O193" s="41" t="s">
        <v>77</v>
      </c>
      <c r="P193" s="44" t="s">
        <v>78</v>
      </c>
      <c r="Q193" s="44">
        <v>4.421817681E9</v>
      </c>
      <c r="R193" s="44" t="s">
        <v>1525</v>
      </c>
      <c r="S193" s="45" t="s">
        <v>1526</v>
      </c>
      <c r="T193" s="46" t="s">
        <v>81</v>
      </c>
      <c r="U193" s="47" t="s">
        <v>82</v>
      </c>
      <c r="V193" s="95">
        <v>0.0</v>
      </c>
      <c r="W193" s="44"/>
      <c r="X193" s="44" t="s">
        <v>84</v>
      </c>
      <c r="Y193" s="49">
        <v>9.0</v>
      </c>
      <c r="Z193" s="50">
        <v>46154.0</v>
      </c>
      <c r="AA193" s="163">
        <f>DAY(Tabla1[F. INICIO])</f>
        <v>12</v>
      </c>
      <c r="AB193" s="51" t="str">
        <f>TEXT(' En tramite 23-26'!$Z193,"mmmm")</f>
        <v>mayo</v>
      </c>
      <c r="AC193" s="44">
        <f>YEAR(' En tramite 23-26'!$Z193)</f>
        <v>2026</v>
      </c>
      <c r="AD193" s="44" t="s">
        <v>84</v>
      </c>
      <c r="AE193" s="49">
        <v>9.0</v>
      </c>
      <c r="AF193" s="55">
        <v>46154.0</v>
      </c>
      <c r="AG193" s="44"/>
      <c r="AH193" s="55"/>
      <c r="AI193" s="55"/>
      <c r="AJ193" s="44"/>
      <c r="AK193" s="44"/>
      <c r="AL193" s="44"/>
      <c r="AM193" s="44"/>
      <c r="AN193" s="49">
        <v>16.0</v>
      </c>
      <c r="AO193" s="55"/>
      <c r="AP193" s="44"/>
      <c r="AQ193" s="49"/>
      <c r="AR193" s="55"/>
      <c r="AS193" s="57">
        <f>' En tramite 23-26'!$AI193+45</f>
        <v>45</v>
      </c>
      <c r="AT193" s="44"/>
      <c r="AU193" s="44"/>
      <c r="AV193" s="44"/>
      <c r="AW193" s="49">
        <f>' En tramite 23-26'!$AS193+45</f>
        <v>90</v>
      </c>
      <c r="AX193" s="13"/>
      <c r="AY193" s="44"/>
      <c r="AZ193" s="44"/>
      <c r="BA193" s="55"/>
      <c r="BB193" s="44"/>
      <c r="BC193" s="12"/>
      <c r="BD193" s="55"/>
      <c r="BE193" s="44">
        <f>DAY(' En tramite 23-26'!$BD193)</f>
        <v>30</v>
      </c>
      <c r="BF193" s="49" t="str">
        <f>TEXT(' En tramite 23-26'!$BD193,"mmmm")</f>
        <v>diciembre</v>
      </c>
      <c r="BG193" s="44">
        <f>YEAR(' En tramite 23-26'!$BD193)</f>
        <v>1899</v>
      </c>
      <c r="BH193" s="53"/>
      <c r="BI193" s="13"/>
      <c r="BJ193" s="44"/>
      <c r="BK193" s="54"/>
      <c r="BL193" s="13"/>
      <c r="BM193" s="58"/>
    </row>
    <row r="194" ht="16.5" customHeight="1">
      <c r="A194" s="28" t="s">
        <v>1527</v>
      </c>
      <c r="B194" s="34"/>
      <c r="C194" s="13"/>
      <c r="D194" s="62" t="s">
        <v>1528</v>
      </c>
      <c r="E194" s="158" t="s">
        <v>1529</v>
      </c>
      <c r="F194" s="63" t="s">
        <v>1530</v>
      </c>
      <c r="G194" s="62">
        <v>4.426006375E9</v>
      </c>
      <c r="H194" s="70" t="s">
        <v>1531</v>
      </c>
      <c r="I194" s="62" t="s">
        <v>800</v>
      </c>
      <c r="J194" s="62" t="s">
        <v>73</v>
      </c>
      <c r="K194" s="62" t="s">
        <v>110</v>
      </c>
      <c r="L194" s="67" t="s">
        <v>200</v>
      </c>
      <c r="M194" s="67" t="s">
        <v>142</v>
      </c>
      <c r="N194" s="62" t="s">
        <v>1081</v>
      </c>
      <c r="O194" s="62" t="s">
        <v>97</v>
      </c>
      <c r="P194" s="67" t="s">
        <v>78</v>
      </c>
      <c r="Q194" s="67">
        <v>4.422387834E9</v>
      </c>
      <c r="R194" s="67" t="s">
        <v>1082</v>
      </c>
      <c r="S194" s="68" t="s">
        <v>1532</v>
      </c>
      <c r="T194" s="69" t="s">
        <v>81</v>
      </c>
      <c r="U194" s="70" t="s">
        <v>100</v>
      </c>
      <c r="V194" s="98">
        <v>1.0</v>
      </c>
      <c r="W194" s="67" t="s">
        <v>83</v>
      </c>
      <c r="X194" s="67" t="s">
        <v>84</v>
      </c>
      <c r="Y194" s="85">
        <v>2.0</v>
      </c>
      <c r="Z194" s="74">
        <v>46090.0</v>
      </c>
      <c r="AA194" s="164">
        <f>DAY(Tabla1[F. INICIO])</f>
        <v>9</v>
      </c>
      <c r="AB194" s="75" t="str">
        <f>TEXT(' En tramite 23-26'!$Z194,"mmmm")</f>
        <v>marzo</v>
      </c>
      <c r="AC194" s="165">
        <f>YEAR(' En tramite 23-26'!$Z194)</f>
        <v>2026</v>
      </c>
      <c r="AD194" s="67" t="s">
        <v>84</v>
      </c>
      <c r="AE194" s="73">
        <v>2.0</v>
      </c>
      <c r="AF194" s="84">
        <v>46090.0</v>
      </c>
      <c r="AG194" s="67" t="s">
        <v>84</v>
      </c>
      <c r="AH194" s="73">
        <v>2.0</v>
      </c>
      <c r="AI194" s="84">
        <v>46090.0</v>
      </c>
      <c r="AJ194" s="67">
        <f>DAY(' En tramite 23-26'!$AI194)</f>
        <v>9</v>
      </c>
      <c r="AK194" s="67" t="str">
        <f>TEXT(' En tramite 23-26'!$AI194,"mmmm")</f>
        <v>marzo</v>
      </c>
      <c r="AL194" s="67">
        <f>YEAR(' En tramite 23-26'!$Z194)</f>
        <v>2026</v>
      </c>
      <c r="AM194" s="67" t="s">
        <v>84</v>
      </c>
      <c r="AN194" s="73">
        <v>2.0</v>
      </c>
      <c r="AO194" s="84">
        <v>46091.0</v>
      </c>
      <c r="AP194" s="67" t="s">
        <v>84</v>
      </c>
      <c r="AQ194" s="73">
        <v>2.0</v>
      </c>
      <c r="AR194" s="84">
        <v>46136.0</v>
      </c>
      <c r="AS194" s="99">
        <f>' En tramite 23-26'!$AI194+45</f>
        <v>46135</v>
      </c>
      <c r="AT194" s="67" t="s">
        <v>85</v>
      </c>
      <c r="AU194" s="67" t="s">
        <v>84</v>
      </c>
      <c r="AV194" s="67">
        <v>2.0</v>
      </c>
      <c r="AW194" s="73">
        <v>46182.0</v>
      </c>
      <c r="AX194" s="66" t="s">
        <v>86</v>
      </c>
      <c r="AY194" s="67" t="s">
        <v>84</v>
      </c>
      <c r="AZ194" s="67">
        <v>2.0</v>
      </c>
      <c r="BA194" s="84">
        <v>46182.0</v>
      </c>
      <c r="BB194" s="67" t="s">
        <v>84</v>
      </c>
      <c r="BC194" s="76">
        <v>2.0</v>
      </c>
      <c r="BD194" s="84">
        <v>46182.0</v>
      </c>
      <c r="BE194" s="67">
        <f>DAY(' En tramite 23-26'!$BD194)</f>
        <v>9</v>
      </c>
      <c r="BF194" s="73" t="str">
        <f>TEXT(' En tramite 23-26'!$BD194,"mmmm")</f>
        <v>junio</v>
      </c>
      <c r="BG194" s="67">
        <f>YEAR(' En tramite 23-26'!$BD194)</f>
        <v>2026</v>
      </c>
      <c r="BH194" s="77"/>
      <c r="BI194" s="66"/>
      <c r="BJ194" s="78" t="s">
        <v>274</v>
      </c>
      <c r="BK194" s="79" t="s">
        <v>275</v>
      </c>
      <c r="BL194" s="66"/>
      <c r="BM194" s="80"/>
    </row>
    <row r="195" ht="16.5" customHeight="1">
      <c r="A195" s="28" t="s">
        <v>1533</v>
      </c>
      <c r="B195" s="34"/>
      <c r="C195" s="13"/>
      <c r="D195" s="62" t="s">
        <v>1534</v>
      </c>
      <c r="E195" s="158" t="s">
        <v>1535</v>
      </c>
      <c r="F195" s="63" t="s">
        <v>1536</v>
      </c>
      <c r="G195" s="62">
        <v>4.424364699E9</v>
      </c>
      <c r="H195" s="70" t="s">
        <v>1537</v>
      </c>
      <c r="I195" s="62" t="s">
        <v>952</v>
      </c>
      <c r="J195" s="62" t="s">
        <v>109</v>
      </c>
      <c r="K195" s="62" t="s">
        <v>141</v>
      </c>
      <c r="L195" s="67" t="s">
        <v>200</v>
      </c>
      <c r="M195" s="67" t="s">
        <v>14</v>
      </c>
      <c r="N195" s="62" t="s">
        <v>1538</v>
      </c>
      <c r="O195" s="62" t="s">
        <v>131</v>
      </c>
      <c r="P195" s="67" t="s">
        <v>78</v>
      </c>
      <c r="Q195" s="67">
        <v>4.424364699E9</v>
      </c>
      <c r="R195" s="67" t="s">
        <v>1539</v>
      </c>
      <c r="S195" s="68" t="s">
        <v>1540</v>
      </c>
      <c r="T195" s="69" t="s">
        <v>81</v>
      </c>
      <c r="U195" s="70" t="s">
        <v>82</v>
      </c>
      <c r="V195" s="98">
        <v>1.0</v>
      </c>
      <c r="W195" s="113" t="s">
        <v>83</v>
      </c>
      <c r="X195" s="67" t="s">
        <v>84</v>
      </c>
      <c r="Y195" s="85">
        <v>2.0</v>
      </c>
      <c r="Z195" s="74">
        <v>46119.0</v>
      </c>
      <c r="AA195" s="164">
        <f>DAY(Tabla1[F. INICIO])</f>
        <v>7</v>
      </c>
      <c r="AB195" s="75" t="str">
        <f>TEXT(' En tramite 23-26'!$Z195,"mmmm")</f>
        <v>abril</v>
      </c>
      <c r="AC195" s="165">
        <f>YEAR(' En tramite 23-26'!$Z195)</f>
        <v>2026</v>
      </c>
      <c r="AD195" s="67" t="s">
        <v>84</v>
      </c>
      <c r="AE195" s="73">
        <v>2.0</v>
      </c>
      <c r="AF195" s="84">
        <v>46119.0</v>
      </c>
      <c r="AG195" s="67" t="s">
        <v>84</v>
      </c>
      <c r="AH195" s="73">
        <v>2.0</v>
      </c>
      <c r="AI195" s="84">
        <v>46119.0</v>
      </c>
      <c r="AJ195" s="67">
        <f>DAY(' En tramite 23-26'!$AI195)</f>
        <v>7</v>
      </c>
      <c r="AK195" s="67" t="str">
        <f>TEXT(' En tramite 23-26'!$AI195,"mmmm")</f>
        <v>abril</v>
      </c>
      <c r="AL195" s="67">
        <f>YEAR(' En tramite 23-26'!$Z195)</f>
        <v>2026</v>
      </c>
      <c r="AM195" s="67" t="s">
        <v>84</v>
      </c>
      <c r="AN195" s="73">
        <v>2.0</v>
      </c>
      <c r="AO195" s="84">
        <v>46119.0</v>
      </c>
      <c r="AP195" s="67" t="s">
        <v>84</v>
      </c>
      <c r="AQ195" s="73">
        <v>2.0</v>
      </c>
      <c r="AR195" s="84">
        <v>46148.0</v>
      </c>
      <c r="AS195" s="99">
        <f>' En tramite 23-26'!$AI195+45</f>
        <v>46164</v>
      </c>
      <c r="AT195" s="67" t="s">
        <v>85</v>
      </c>
      <c r="AU195" s="67" t="s">
        <v>84</v>
      </c>
      <c r="AV195" s="67">
        <v>2.0</v>
      </c>
      <c r="AW195" s="73">
        <v>46210.0</v>
      </c>
      <c r="AX195" s="66" t="s">
        <v>86</v>
      </c>
      <c r="AY195" s="67" t="s">
        <v>84</v>
      </c>
      <c r="AZ195" s="67">
        <v>2.0</v>
      </c>
      <c r="BA195" s="84">
        <v>46210.0</v>
      </c>
      <c r="BB195" s="67" t="s">
        <v>84</v>
      </c>
      <c r="BC195" s="76">
        <v>2.0</v>
      </c>
      <c r="BD195" s="84">
        <v>46210.0</v>
      </c>
      <c r="BE195" s="67">
        <f>DAY(' En tramite 23-26'!$BD195)</f>
        <v>7</v>
      </c>
      <c r="BF195" s="73" t="str">
        <f>TEXT(' En tramite 23-26'!$BD195,"mmmm")</f>
        <v>julio</v>
      </c>
      <c r="BG195" s="67">
        <f>YEAR(' En tramite 23-26'!$BD195)</f>
        <v>2026</v>
      </c>
      <c r="BH195" s="77"/>
      <c r="BI195" s="66"/>
      <c r="BJ195" s="78" t="s">
        <v>274</v>
      </c>
      <c r="BK195" s="79" t="s">
        <v>275</v>
      </c>
      <c r="BL195" s="66"/>
      <c r="BM195" s="80"/>
    </row>
    <row r="196" ht="16.5" customHeight="1">
      <c r="A196" s="28" t="s">
        <v>1541</v>
      </c>
      <c r="B196" s="34"/>
      <c r="C196" s="13"/>
      <c r="D196" s="62" t="s">
        <v>1542</v>
      </c>
      <c r="E196" s="158" t="s">
        <v>1543</v>
      </c>
      <c r="F196" s="63" t="s">
        <v>1544</v>
      </c>
      <c r="G196" s="62">
        <v>4.427159128E9</v>
      </c>
      <c r="H196" s="70" t="s">
        <v>1545</v>
      </c>
      <c r="I196" s="62" t="s">
        <v>952</v>
      </c>
      <c r="J196" s="62" t="s">
        <v>109</v>
      </c>
      <c r="K196" s="62" t="s">
        <v>141</v>
      </c>
      <c r="L196" s="67" t="s">
        <v>200</v>
      </c>
      <c r="M196" s="67" t="s">
        <v>14</v>
      </c>
      <c r="N196" s="62" t="s">
        <v>1538</v>
      </c>
      <c r="O196" s="62" t="s">
        <v>131</v>
      </c>
      <c r="P196" s="67" t="s">
        <v>78</v>
      </c>
      <c r="Q196" s="67">
        <v>4.426792243E9</v>
      </c>
      <c r="R196" s="67" t="s">
        <v>1539</v>
      </c>
      <c r="S196" s="68" t="s">
        <v>1540</v>
      </c>
      <c r="T196" s="69" t="s">
        <v>81</v>
      </c>
      <c r="U196" s="70" t="s">
        <v>82</v>
      </c>
      <c r="V196" s="98">
        <v>1.0</v>
      </c>
      <c r="W196" s="113" t="s">
        <v>83</v>
      </c>
      <c r="X196" s="67" t="s">
        <v>84</v>
      </c>
      <c r="Y196" s="85">
        <v>2.0</v>
      </c>
      <c r="Z196" s="74">
        <v>46119.0</v>
      </c>
      <c r="AA196" s="164">
        <f>DAY(Tabla1[F. INICIO])</f>
        <v>7</v>
      </c>
      <c r="AB196" s="75" t="str">
        <f>TEXT(' En tramite 23-26'!$Z196,"mmmm")</f>
        <v>abril</v>
      </c>
      <c r="AC196" s="165">
        <f>YEAR(' En tramite 23-26'!$Z196)</f>
        <v>2026</v>
      </c>
      <c r="AD196" s="67" t="s">
        <v>84</v>
      </c>
      <c r="AE196" s="73">
        <v>2.0</v>
      </c>
      <c r="AF196" s="84">
        <v>46119.0</v>
      </c>
      <c r="AG196" s="67" t="s">
        <v>84</v>
      </c>
      <c r="AH196" s="73">
        <v>2.0</v>
      </c>
      <c r="AI196" s="84">
        <v>46119.0</v>
      </c>
      <c r="AJ196" s="67">
        <f>DAY(' En tramite 23-26'!$AI196)</f>
        <v>7</v>
      </c>
      <c r="AK196" s="67" t="str">
        <f>TEXT(' En tramite 23-26'!$AI196,"mmmm")</f>
        <v>abril</v>
      </c>
      <c r="AL196" s="67">
        <f>YEAR(' En tramite 23-26'!$Z196)</f>
        <v>2026</v>
      </c>
      <c r="AM196" s="67" t="s">
        <v>84</v>
      </c>
      <c r="AN196" s="73">
        <v>2.0</v>
      </c>
      <c r="AO196" s="84">
        <v>46119.0</v>
      </c>
      <c r="AP196" s="67" t="s">
        <v>84</v>
      </c>
      <c r="AQ196" s="73">
        <v>2.0</v>
      </c>
      <c r="AR196" s="84">
        <v>46148.0</v>
      </c>
      <c r="AS196" s="99">
        <f>' En tramite 23-26'!$AI196+45</f>
        <v>46164</v>
      </c>
      <c r="AT196" s="67" t="s">
        <v>85</v>
      </c>
      <c r="AU196" s="67" t="s">
        <v>84</v>
      </c>
      <c r="AV196" s="67">
        <v>2.0</v>
      </c>
      <c r="AW196" s="73">
        <v>46210.0</v>
      </c>
      <c r="AX196" s="66" t="s">
        <v>86</v>
      </c>
      <c r="AY196" s="67" t="s">
        <v>84</v>
      </c>
      <c r="AZ196" s="67">
        <v>2.0</v>
      </c>
      <c r="BA196" s="84">
        <v>46210.0</v>
      </c>
      <c r="BB196" s="67" t="s">
        <v>84</v>
      </c>
      <c r="BC196" s="76">
        <v>2.0</v>
      </c>
      <c r="BD196" s="84">
        <v>46210.0</v>
      </c>
      <c r="BE196" s="67">
        <f>DAY(' En tramite 23-26'!$BD196)</f>
        <v>7</v>
      </c>
      <c r="BF196" s="73" t="str">
        <f>TEXT(' En tramite 23-26'!$BD196,"mmmm")</f>
        <v>julio</v>
      </c>
      <c r="BG196" s="67">
        <f>YEAR(' En tramite 23-26'!$BD196)</f>
        <v>2026</v>
      </c>
      <c r="BH196" s="77"/>
      <c r="BI196" s="66"/>
      <c r="BJ196" s="78" t="s">
        <v>274</v>
      </c>
      <c r="BK196" s="79" t="s">
        <v>275</v>
      </c>
      <c r="BL196" s="66"/>
      <c r="BM196" s="80"/>
    </row>
    <row r="197" ht="16.5" customHeight="1">
      <c r="A197" s="28" t="s">
        <v>1546</v>
      </c>
      <c r="B197" s="34"/>
      <c r="C197" s="13"/>
      <c r="D197" s="41" t="s">
        <v>1547</v>
      </c>
      <c r="E197" s="15" t="s">
        <v>1548</v>
      </c>
      <c r="F197" s="42" t="s">
        <v>1549</v>
      </c>
      <c r="G197" s="41">
        <v>4.424685192E9</v>
      </c>
      <c r="H197" s="47" t="s">
        <v>1550</v>
      </c>
      <c r="I197" s="41" t="s">
        <v>1406</v>
      </c>
      <c r="J197" s="41" t="s">
        <v>109</v>
      </c>
      <c r="K197" s="41" t="s">
        <v>74</v>
      </c>
      <c r="L197" s="44" t="s">
        <v>200</v>
      </c>
      <c r="M197" s="44" t="s">
        <v>142</v>
      </c>
      <c r="N197" s="41" t="s">
        <v>726</v>
      </c>
      <c r="O197" s="41" t="s">
        <v>97</v>
      </c>
      <c r="P197" s="44" t="s">
        <v>78</v>
      </c>
      <c r="Q197" s="44">
        <v>4.421350214E9</v>
      </c>
      <c r="R197" s="44" t="s">
        <v>1551</v>
      </c>
      <c r="S197" s="45" t="s">
        <v>99</v>
      </c>
      <c r="T197" s="46" t="s">
        <v>81</v>
      </c>
      <c r="U197" s="47" t="s">
        <v>100</v>
      </c>
      <c r="V197" s="101">
        <v>1.0</v>
      </c>
      <c r="W197" s="111" t="s">
        <v>83</v>
      </c>
      <c r="X197" s="44" t="s">
        <v>84</v>
      </c>
      <c r="Y197" s="56">
        <v>2.0</v>
      </c>
      <c r="Z197" s="50">
        <v>46362.0</v>
      </c>
      <c r="AA197" s="163">
        <f>DAY(Tabla1[F. INICIO])</f>
        <v>6</v>
      </c>
      <c r="AB197" s="51" t="str">
        <f>TEXT(' En tramite 23-26'!$Z197,"mmmm")</f>
        <v>diciembre</v>
      </c>
      <c r="AC197" s="166">
        <f>YEAR(' En tramite 23-26'!$Z197)</f>
        <v>2026</v>
      </c>
      <c r="AD197" s="44" t="s">
        <v>84</v>
      </c>
      <c r="AE197" s="49">
        <v>2.0</v>
      </c>
      <c r="AF197" s="55">
        <v>46362.0</v>
      </c>
      <c r="AG197" s="44"/>
      <c r="AH197" s="55"/>
      <c r="AI197" s="55"/>
      <c r="AJ197" s="44"/>
      <c r="AK197" s="44"/>
      <c r="AL197" s="44"/>
      <c r="AM197" s="44"/>
      <c r="AN197" s="49"/>
      <c r="AO197" s="55"/>
      <c r="AP197" s="44"/>
      <c r="AQ197" s="49"/>
      <c r="AR197" s="55"/>
      <c r="AS197" s="57">
        <f>' En tramite 23-26'!$AI197+45</f>
        <v>45</v>
      </c>
      <c r="AT197" s="44"/>
      <c r="AU197" s="44"/>
      <c r="AV197" s="44"/>
      <c r="AW197" s="49">
        <f>' En tramite 23-26'!$AS197+45</f>
        <v>90</v>
      </c>
      <c r="AX197" s="13"/>
      <c r="AY197" s="44"/>
      <c r="AZ197" s="44"/>
      <c r="BA197" s="55"/>
      <c r="BB197" s="44"/>
      <c r="BC197" s="12"/>
      <c r="BD197" s="55"/>
      <c r="BE197" s="44">
        <f>DAY(' En tramite 23-26'!$BD197)</f>
        <v>30</v>
      </c>
      <c r="BF197" s="49" t="str">
        <f>TEXT(' En tramite 23-26'!$BD197,"mmmm")</f>
        <v>diciembre</v>
      </c>
      <c r="BG197" s="44">
        <f>YEAR(' En tramite 23-26'!$BD197)</f>
        <v>1899</v>
      </c>
      <c r="BH197" s="53"/>
      <c r="BI197" s="13"/>
      <c r="BJ197" s="44"/>
      <c r="BK197" s="54"/>
      <c r="BL197" s="13"/>
      <c r="BM197" s="58"/>
    </row>
    <row r="198" ht="16.5" customHeight="1">
      <c r="A198" s="28" t="s">
        <v>1552</v>
      </c>
      <c r="B198" s="34"/>
      <c r="C198" s="13"/>
      <c r="D198" s="41" t="s">
        <v>1553</v>
      </c>
      <c r="E198" s="15" t="s">
        <v>1554</v>
      </c>
      <c r="F198" s="42" t="s">
        <v>1555</v>
      </c>
      <c r="G198" s="41">
        <v>4.421574983E9</v>
      </c>
      <c r="H198" s="47" t="s">
        <v>1556</v>
      </c>
      <c r="I198" s="41" t="s">
        <v>822</v>
      </c>
      <c r="J198" s="41" t="s">
        <v>109</v>
      </c>
      <c r="K198" s="41" t="s">
        <v>110</v>
      </c>
      <c r="L198" s="44" t="s">
        <v>200</v>
      </c>
      <c r="M198" s="44" t="s">
        <v>14</v>
      </c>
      <c r="N198" s="41" t="s">
        <v>1557</v>
      </c>
      <c r="O198" s="41" t="s">
        <v>131</v>
      </c>
      <c r="P198" s="44" t="s">
        <v>78</v>
      </c>
      <c r="Q198" s="44">
        <v>4.42742079E9</v>
      </c>
      <c r="R198" s="44" t="s">
        <v>1558</v>
      </c>
      <c r="S198" s="45" t="s">
        <v>1559</v>
      </c>
      <c r="T198" s="46" t="s">
        <v>81</v>
      </c>
      <c r="U198" s="47" t="s">
        <v>82</v>
      </c>
      <c r="V198" s="95">
        <v>0.0</v>
      </c>
      <c r="W198" s="44"/>
      <c r="X198" s="44" t="s">
        <v>84</v>
      </c>
      <c r="Y198" s="56">
        <v>2.0</v>
      </c>
      <c r="Z198" s="50">
        <v>46080.0</v>
      </c>
      <c r="AA198" s="163">
        <f>DAY(Tabla1[F. INICIO])</f>
        <v>27</v>
      </c>
      <c r="AB198" s="51" t="str">
        <f>TEXT(' En tramite 23-26'!$Z198,"mmmm")</f>
        <v>febrero</v>
      </c>
      <c r="AC198" s="166">
        <f>YEAR(' En tramite 23-26'!$Z198)</f>
        <v>2026</v>
      </c>
      <c r="AD198" s="44" t="s">
        <v>84</v>
      </c>
      <c r="AE198" s="49">
        <v>2.0</v>
      </c>
      <c r="AF198" s="55">
        <v>46080.0</v>
      </c>
      <c r="AG198" s="44"/>
      <c r="AH198" s="55"/>
      <c r="AI198" s="55"/>
      <c r="AJ198" s="44"/>
      <c r="AK198" s="44"/>
      <c r="AL198" s="44"/>
      <c r="AM198" s="44"/>
      <c r="AN198" s="49"/>
      <c r="AO198" s="55"/>
      <c r="AP198" s="44"/>
      <c r="AQ198" s="49"/>
      <c r="AR198" s="55"/>
      <c r="AS198" s="57">
        <f>' En tramite 23-26'!$AI198+45</f>
        <v>45</v>
      </c>
      <c r="AT198" s="44"/>
      <c r="AU198" s="44"/>
      <c r="AV198" s="44"/>
      <c r="AW198" s="49">
        <f>' En tramite 23-26'!$AS198+45</f>
        <v>90</v>
      </c>
      <c r="AX198" s="13"/>
      <c r="AY198" s="44"/>
      <c r="AZ198" s="44"/>
      <c r="BA198" s="55"/>
      <c r="BB198" s="44"/>
      <c r="BC198" s="12"/>
      <c r="BD198" s="55"/>
      <c r="BE198" s="44">
        <f>DAY(' En tramite 23-26'!$BD198)</f>
        <v>30</v>
      </c>
      <c r="BF198" s="49" t="str">
        <f>TEXT(' En tramite 23-26'!$BD198,"mmmm")</f>
        <v>diciembre</v>
      </c>
      <c r="BG198" s="44">
        <f>YEAR(' En tramite 23-26'!$BD198)</f>
        <v>1899</v>
      </c>
      <c r="BH198" s="53"/>
      <c r="BI198" s="13"/>
      <c r="BJ198" s="44"/>
      <c r="BK198" s="54"/>
      <c r="BL198" s="13"/>
      <c r="BM198" s="58"/>
    </row>
    <row r="199" ht="16.5" customHeight="1">
      <c r="A199" s="28" t="s">
        <v>1560</v>
      </c>
      <c r="B199" s="34"/>
      <c r="C199" s="13"/>
      <c r="D199" s="62" t="s">
        <v>1561</v>
      </c>
      <c r="E199" s="15" t="s">
        <v>1562</v>
      </c>
      <c r="F199" s="63" t="s">
        <v>1563</v>
      </c>
      <c r="G199" s="62">
        <v>4.428640753E9</v>
      </c>
      <c r="H199" s="70" t="s">
        <v>1564</v>
      </c>
      <c r="I199" s="62" t="s">
        <v>1406</v>
      </c>
      <c r="J199" s="62" t="s">
        <v>109</v>
      </c>
      <c r="K199" s="62" t="s">
        <v>74</v>
      </c>
      <c r="L199" s="65" t="s">
        <v>75</v>
      </c>
      <c r="M199" s="67" t="s">
        <v>142</v>
      </c>
      <c r="N199" s="62" t="s">
        <v>726</v>
      </c>
      <c r="O199" s="62" t="s">
        <v>97</v>
      </c>
      <c r="P199" s="67" t="s">
        <v>78</v>
      </c>
      <c r="Q199" s="67">
        <v>4.421350214E9</v>
      </c>
      <c r="R199" s="67" t="s">
        <v>1551</v>
      </c>
      <c r="S199" s="68" t="s">
        <v>99</v>
      </c>
      <c r="T199" s="69" t="s">
        <v>81</v>
      </c>
      <c r="U199" s="70" t="s">
        <v>100</v>
      </c>
      <c r="V199" s="98">
        <v>0.0</v>
      </c>
      <c r="W199" s="67" t="s">
        <v>83</v>
      </c>
      <c r="X199" s="67" t="s">
        <v>84</v>
      </c>
      <c r="Y199" s="85">
        <v>2.0</v>
      </c>
      <c r="Z199" s="74">
        <v>45997.0</v>
      </c>
      <c r="AA199" s="164">
        <f>DAY(Tabla1[F. INICIO])</f>
        <v>6</v>
      </c>
      <c r="AB199" s="75" t="str">
        <f>TEXT(' En tramite 23-26'!$Z199,"mmmm")</f>
        <v>diciembre</v>
      </c>
      <c r="AC199" s="165">
        <f>YEAR(' En tramite 23-26'!$Z199)</f>
        <v>2025</v>
      </c>
      <c r="AD199" s="67" t="s">
        <v>84</v>
      </c>
      <c r="AE199" s="73">
        <v>2.0</v>
      </c>
      <c r="AF199" s="84">
        <v>45997.0</v>
      </c>
      <c r="AG199" s="67" t="s">
        <v>84</v>
      </c>
      <c r="AH199" s="73">
        <v>2.0</v>
      </c>
      <c r="AI199" s="84">
        <v>46070.0</v>
      </c>
      <c r="AJ199" s="67">
        <f>DAY(' En tramite 23-26'!$AI199)</f>
        <v>17</v>
      </c>
      <c r="AK199" s="67" t="str">
        <f>TEXT(' En tramite 23-26'!$AI199,"mmmm")</f>
        <v>febrero</v>
      </c>
      <c r="AL199" s="67">
        <f>YEAR(' En tramite 23-26'!$Z199)</f>
        <v>2025</v>
      </c>
      <c r="AM199" s="67" t="s">
        <v>84</v>
      </c>
      <c r="AN199" s="73">
        <v>2.0</v>
      </c>
      <c r="AO199" s="84">
        <v>46070.0</v>
      </c>
      <c r="AP199" s="67" t="s">
        <v>84</v>
      </c>
      <c r="AQ199" s="73">
        <v>2.0</v>
      </c>
      <c r="AR199" s="84">
        <v>46115.0</v>
      </c>
      <c r="AS199" s="73">
        <f>' En tramite 23-26'!$AI199+45</f>
        <v>46115</v>
      </c>
      <c r="AT199" s="67" t="s">
        <v>85</v>
      </c>
      <c r="AU199" s="67" t="s">
        <v>84</v>
      </c>
      <c r="AV199" s="67">
        <v>2.0</v>
      </c>
      <c r="AW199" s="73">
        <v>46185.0</v>
      </c>
      <c r="AX199" s="66" t="s">
        <v>86</v>
      </c>
      <c r="AY199" s="67" t="s">
        <v>84</v>
      </c>
      <c r="AZ199" s="67">
        <v>2.0</v>
      </c>
      <c r="BA199" s="84">
        <v>46185.0</v>
      </c>
      <c r="BB199" s="67" t="s">
        <v>84</v>
      </c>
      <c r="BC199" s="76">
        <v>2.0</v>
      </c>
      <c r="BD199" s="84">
        <v>46185.0</v>
      </c>
      <c r="BE199" s="67">
        <f>DAY(' En tramite 23-26'!$BD199)</f>
        <v>12</v>
      </c>
      <c r="BF199" s="73" t="str">
        <f>TEXT(' En tramite 23-26'!$BD199,"mmmm")</f>
        <v>junio</v>
      </c>
      <c r="BG199" s="67">
        <f>YEAR(' En tramite 23-26'!$BD199)</f>
        <v>2026</v>
      </c>
      <c r="BH199" s="77"/>
      <c r="BI199" s="66"/>
      <c r="BJ199" s="78" t="s">
        <v>274</v>
      </c>
      <c r="BK199" s="79" t="s">
        <v>275</v>
      </c>
      <c r="BL199" s="66"/>
      <c r="BM199" s="80"/>
    </row>
    <row r="200" ht="16.5" customHeight="1">
      <c r="A200" s="28" t="s">
        <v>1565</v>
      </c>
      <c r="B200" s="34"/>
      <c r="C200" s="13"/>
      <c r="D200" s="41" t="s">
        <v>1566</v>
      </c>
      <c r="E200" s="15" t="s">
        <v>1567</v>
      </c>
      <c r="F200" s="42" t="s">
        <v>1568</v>
      </c>
      <c r="G200" s="41">
        <v>4.421193775E9</v>
      </c>
      <c r="H200" s="47" t="s">
        <v>1569</v>
      </c>
      <c r="I200" s="41" t="s">
        <v>839</v>
      </c>
      <c r="J200" s="41" t="s">
        <v>109</v>
      </c>
      <c r="K200" s="41" t="s">
        <v>129</v>
      </c>
      <c r="L200" s="44" t="s">
        <v>200</v>
      </c>
      <c r="M200" s="44" t="s">
        <v>14</v>
      </c>
      <c r="N200" s="41" t="s">
        <v>1570</v>
      </c>
      <c r="O200" s="41" t="s">
        <v>131</v>
      </c>
      <c r="P200" s="44" t="s">
        <v>78</v>
      </c>
      <c r="Q200" s="44">
        <v>4.214727124E9</v>
      </c>
      <c r="R200" s="44" t="s">
        <v>1571</v>
      </c>
      <c r="S200" s="45" t="s">
        <v>1572</v>
      </c>
      <c r="T200" s="46" t="s">
        <v>81</v>
      </c>
      <c r="U200" s="47" t="s">
        <v>82</v>
      </c>
      <c r="V200" s="95">
        <v>0.0</v>
      </c>
      <c r="W200" s="44"/>
      <c r="X200" s="44" t="s">
        <v>84</v>
      </c>
      <c r="Y200" s="56">
        <v>2.0</v>
      </c>
      <c r="Z200" s="50">
        <v>46097.0</v>
      </c>
      <c r="AA200" s="163">
        <f>DAY(Tabla1[F. INICIO])</f>
        <v>16</v>
      </c>
      <c r="AB200" s="51" t="str">
        <f>TEXT(' En tramite 23-26'!$Z200,"mmmm")</f>
        <v>marzo</v>
      </c>
      <c r="AC200" s="166">
        <f>YEAR(' En tramite 23-26'!$Z200)</f>
        <v>2026</v>
      </c>
      <c r="AD200" s="44" t="s">
        <v>84</v>
      </c>
      <c r="AE200" s="49">
        <v>2.0</v>
      </c>
      <c r="AF200" s="55">
        <v>46097.0</v>
      </c>
      <c r="AG200" s="44"/>
      <c r="AH200" s="55"/>
      <c r="AI200" s="55"/>
      <c r="AJ200" s="44"/>
      <c r="AK200" s="44"/>
      <c r="AL200" s="44"/>
      <c r="AM200" s="44"/>
      <c r="AN200" s="49"/>
      <c r="AO200" s="55"/>
      <c r="AP200" s="44"/>
      <c r="AQ200" s="49"/>
      <c r="AR200" s="55"/>
      <c r="AS200" s="57">
        <f>' En tramite 23-26'!$AI200+45</f>
        <v>45</v>
      </c>
      <c r="AT200" s="44"/>
      <c r="AU200" s="44"/>
      <c r="AV200" s="44"/>
      <c r="AW200" s="49">
        <f>' En tramite 23-26'!$AS200+45</f>
        <v>90</v>
      </c>
      <c r="AX200" s="13"/>
      <c r="AY200" s="44"/>
      <c r="AZ200" s="44"/>
      <c r="BA200" s="55"/>
      <c r="BB200" s="44"/>
      <c r="BC200" s="12"/>
      <c r="BD200" s="55"/>
      <c r="BE200" s="44">
        <f>DAY(' En tramite 23-26'!$BD200)</f>
        <v>30</v>
      </c>
      <c r="BF200" s="49" t="str">
        <f>TEXT(' En tramite 23-26'!$BD200,"mmmm")</f>
        <v>diciembre</v>
      </c>
      <c r="BG200" s="44">
        <f>YEAR(' En tramite 23-26'!$BD200)</f>
        <v>1899</v>
      </c>
      <c r="BH200" s="53"/>
      <c r="BI200" s="13"/>
      <c r="BJ200" s="44"/>
      <c r="BK200" s="54"/>
      <c r="BL200" s="13"/>
      <c r="BM200" s="58"/>
    </row>
    <row r="201" ht="16.5" customHeight="1">
      <c r="A201" s="28" t="s">
        <v>1573</v>
      </c>
      <c r="B201" s="34"/>
      <c r="C201" s="13"/>
      <c r="D201" s="62" t="s">
        <v>1574</v>
      </c>
      <c r="E201" s="15" t="s">
        <v>1575</v>
      </c>
      <c r="F201" s="63" t="s">
        <v>1576</v>
      </c>
      <c r="G201" s="62">
        <v>4.427842904E9</v>
      </c>
      <c r="H201" s="70" t="s">
        <v>1577</v>
      </c>
      <c r="I201" s="62" t="s">
        <v>839</v>
      </c>
      <c r="J201" s="62" t="s">
        <v>109</v>
      </c>
      <c r="K201" s="62" t="s">
        <v>129</v>
      </c>
      <c r="L201" s="65" t="s">
        <v>75</v>
      </c>
      <c r="M201" s="67" t="s">
        <v>14</v>
      </c>
      <c r="N201" s="62" t="s">
        <v>1578</v>
      </c>
      <c r="O201" s="62" t="s">
        <v>77</v>
      </c>
      <c r="P201" s="67" t="s">
        <v>78</v>
      </c>
      <c r="Q201" s="67">
        <v>4.421348631E9</v>
      </c>
      <c r="R201" s="67" t="s">
        <v>1579</v>
      </c>
      <c r="S201" s="68" t="s">
        <v>1580</v>
      </c>
      <c r="T201" s="69" t="s">
        <v>81</v>
      </c>
      <c r="U201" s="70" t="s">
        <v>82</v>
      </c>
      <c r="V201" s="98">
        <v>0.0</v>
      </c>
      <c r="W201" s="67" t="s">
        <v>83</v>
      </c>
      <c r="X201" s="67" t="s">
        <v>84</v>
      </c>
      <c r="Y201" s="85">
        <v>2.0</v>
      </c>
      <c r="Z201" s="74">
        <v>46083.0</v>
      </c>
      <c r="AA201" s="164">
        <f>DAY(Tabla1[F. INICIO])</f>
        <v>2</v>
      </c>
      <c r="AB201" s="75" t="str">
        <f>TEXT(' En tramite 23-26'!$Z201,"mmmm")</f>
        <v>marzo</v>
      </c>
      <c r="AC201" s="165">
        <f>YEAR(' En tramite 23-26'!$Z201)</f>
        <v>2026</v>
      </c>
      <c r="AD201" s="67" t="s">
        <v>84</v>
      </c>
      <c r="AE201" s="73">
        <v>2.0</v>
      </c>
      <c r="AF201" s="84">
        <v>46083.0</v>
      </c>
      <c r="AG201" s="67" t="s">
        <v>84</v>
      </c>
      <c r="AH201" s="73">
        <v>2.0</v>
      </c>
      <c r="AI201" s="84">
        <v>46083.0</v>
      </c>
      <c r="AJ201" s="67">
        <f>DAY(' En tramite 23-26'!$AI201)</f>
        <v>2</v>
      </c>
      <c r="AK201" s="67" t="str">
        <f>TEXT(' En tramite 23-26'!$AI201,"mmmm")</f>
        <v>marzo</v>
      </c>
      <c r="AL201" s="67">
        <f>YEAR(' En tramite 23-26'!$Z201)</f>
        <v>2026</v>
      </c>
      <c r="AM201" s="67" t="s">
        <v>84</v>
      </c>
      <c r="AN201" s="73">
        <v>2.0</v>
      </c>
      <c r="AO201" s="84">
        <v>46083.0</v>
      </c>
      <c r="AP201" s="67" t="s">
        <v>84</v>
      </c>
      <c r="AQ201" s="73">
        <v>2.0</v>
      </c>
      <c r="AR201" s="84">
        <v>46122.0</v>
      </c>
      <c r="AS201" s="73">
        <f>' En tramite 23-26'!$AI201+45</f>
        <v>46128</v>
      </c>
      <c r="AT201" s="67" t="s">
        <v>85</v>
      </c>
      <c r="AU201" s="67" t="s">
        <v>84</v>
      </c>
      <c r="AV201" s="67">
        <v>2.0</v>
      </c>
      <c r="AW201" s="73">
        <v>46164.0</v>
      </c>
      <c r="AX201" s="66" t="s">
        <v>86</v>
      </c>
      <c r="AY201" s="67" t="s">
        <v>84</v>
      </c>
      <c r="AZ201" s="67">
        <v>2.0</v>
      </c>
      <c r="BA201" s="84">
        <v>46164.0</v>
      </c>
      <c r="BB201" s="67" t="s">
        <v>84</v>
      </c>
      <c r="BC201" s="76">
        <v>2.0</v>
      </c>
      <c r="BD201" s="84">
        <v>46164.0</v>
      </c>
      <c r="BE201" s="67">
        <f>DAY(' En tramite 23-26'!$BD201)</f>
        <v>22</v>
      </c>
      <c r="BF201" s="73" t="str">
        <f>TEXT(' En tramite 23-26'!$BD201,"mmmm")</f>
        <v>mayo</v>
      </c>
      <c r="BG201" s="67">
        <f>YEAR(' En tramite 23-26'!$BD201)</f>
        <v>2026</v>
      </c>
      <c r="BH201" s="77"/>
      <c r="BI201" s="66"/>
      <c r="BJ201" s="78" t="s">
        <v>274</v>
      </c>
      <c r="BK201" s="79" t="s">
        <v>275</v>
      </c>
      <c r="BL201" s="66"/>
      <c r="BM201" s="80"/>
    </row>
    <row r="202" ht="16.5" customHeight="1">
      <c r="A202" s="28" t="s">
        <v>1581</v>
      </c>
      <c r="B202" s="34"/>
      <c r="C202" s="13"/>
      <c r="D202" s="41" t="s">
        <v>1582</v>
      </c>
      <c r="E202" s="15" t="s">
        <v>1583</v>
      </c>
      <c r="F202" s="42" t="s">
        <v>1584</v>
      </c>
      <c r="G202" s="41">
        <v>4.427202022E9</v>
      </c>
      <c r="H202" s="47" t="s">
        <v>1585</v>
      </c>
      <c r="I202" s="41" t="s">
        <v>897</v>
      </c>
      <c r="J202" s="41" t="s">
        <v>109</v>
      </c>
      <c r="K202" s="41" t="s">
        <v>74</v>
      </c>
      <c r="L202" s="44" t="s">
        <v>200</v>
      </c>
      <c r="M202" s="44" t="s">
        <v>14</v>
      </c>
      <c r="N202" s="41" t="s">
        <v>1586</v>
      </c>
      <c r="O202" s="41" t="s">
        <v>77</v>
      </c>
      <c r="P202" s="44" t="s">
        <v>78</v>
      </c>
      <c r="Q202" s="44">
        <v>1.4421983435E10</v>
      </c>
      <c r="R202" s="44" t="s">
        <v>1587</v>
      </c>
      <c r="S202" s="45" t="s">
        <v>1588</v>
      </c>
      <c r="T202" s="46" t="s">
        <v>81</v>
      </c>
      <c r="U202" s="47" t="s">
        <v>100</v>
      </c>
      <c r="V202" s="95">
        <v>0.0</v>
      </c>
      <c r="W202" s="44"/>
      <c r="X202" s="44" t="s">
        <v>84</v>
      </c>
      <c r="Y202" s="56">
        <v>2.0</v>
      </c>
      <c r="Z202" s="50">
        <v>46171.0</v>
      </c>
      <c r="AA202" s="163">
        <f>DAY(Tabla1[F. INICIO])</f>
        <v>29</v>
      </c>
      <c r="AB202" s="51" t="str">
        <f>TEXT(' En tramite 23-26'!$Z202,"mmmm")</f>
        <v>mayo</v>
      </c>
      <c r="AC202" s="166">
        <f>YEAR(' En tramite 23-26'!$Z202)</f>
        <v>2026</v>
      </c>
      <c r="AD202" s="44" t="s">
        <v>84</v>
      </c>
      <c r="AE202" s="49">
        <v>2.0</v>
      </c>
      <c r="AF202" s="55">
        <v>46171.0</v>
      </c>
      <c r="AG202" s="44"/>
      <c r="AH202" s="55"/>
      <c r="AI202" s="55"/>
      <c r="AJ202" s="44"/>
      <c r="AK202" s="44"/>
      <c r="AL202" s="44"/>
      <c r="AM202" s="44"/>
      <c r="AN202" s="49"/>
      <c r="AO202" s="55"/>
      <c r="AP202" s="44"/>
      <c r="AQ202" s="49"/>
      <c r="AR202" s="55"/>
      <c r="AS202" s="57">
        <f>' En tramite 23-26'!$AI202+45</f>
        <v>45</v>
      </c>
      <c r="AT202" s="44"/>
      <c r="AU202" s="44"/>
      <c r="AV202" s="44"/>
      <c r="AW202" s="49">
        <f>' En tramite 23-26'!$AS202+45</f>
        <v>90</v>
      </c>
      <c r="AX202" s="13"/>
      <c r="AY202" s="44"/>
      <c r="AZ202" s="44"/>
      <c r="BA202" s="55"/>
      <c r="BB202" s="44"/>
      <c r="BC202" s="12"/>
      <c r="BD202" s="55"/>
      <c r="BE202" s="44">
        <f>DAY(' En tramite 23-26'!$BD202)</f>
        <v>30</v>
      </c>
      <c r="BF202" s="49" t="str">
        <f>TEXT(' En tramite 23-26'!$BD202,"mmmm")</f>
        <v>diciembre</v>
      </c>
      <c r="BG202" s="44">
        <f>YEAR(' En tramite 23-26'!$BD202)</f>
        <v>1899</v>
      </c>
      <c r="BH202" s="53"/>
      <c r="BI202" s="13"/>
      <c r="BJ202" s="44"/>
      <c r="BK202" s="54"/>
      <c r="BL202" s="13"/>
      <c r="BM202" s="58"/>
    </row>
    <row r="203" ht="16.5" customHeight="1">
      <c r="A203" s="28" t="s">
        <v>1589</v>
      </c>
      <c r="B203" s="34"/>
      <c r="C203" s="13"/>
      <c r="D203" s="62" t="s">
        <v>1590</v>
      </c>
      <c r="E203" s="15" t="s">
        <v>1591</v>
      </c>
      <c r="F203" s="63" t="s">
        <v>1592</v>
      </c>
      <c r="G203" s="62">
        <v>4.422759453E9</v>
      </c>
      <c r="H203" s="70" t="s">
        <v>1593</v>
      </c>
      <c r="I203" s="62" t="s">
        <v>822</v>
      </c>
      <c r="J203" s="62" t="s">
        <v>109</v>
      </c>
      <c r="K203" s="62" t="s">
        <v>110</v>
      </c>
      <c r="L203" s="65" t="s">
        <v>75</v>
      </c>
      <c r="M203" s="67" t="s">
        <v>14</v>
      </c>
      <c r="N203" s="62" t="s">
        <v>1594</v>
      </c>
      <c r="O203" s="62" t="s">
        <v>77</v>
      </c>
      <c r="P203" s="67" t="s">
        <v>78</v>
      </c>
      <c r="Q203" s="67">
        <v>4.461077497E9</v>
      </c>
      <c r="R203" s="67" t="s">
        <v>1595</v>
      </c>
      <c r="S203" s="68" t="s">
        <v>1596</v>
      </c>
      <c r="T203" s="69" t="s">
        <v>81</v>
      </c>
      <c r="U203" s="70" t="s">
        <v>82</v>
      </c>
      <c r="V203" s="98">
        <v>0.0</v>
      </c>
      <c r="W203" s="67"/>
      <c r="X203" s="67" t="s">
        <v>84</v>
      </c>
      <c r="Y203" s="85">
        <v>2.0</v>
      </c>
      <c r="Z203" s="74">
        <v>46127.0</v>
      </c>
      <c r="AA203" s="164">
        <f>DAY(Tabla1[F. INICIO])</f>
        <v>15</v>
      </c>
      <c r="AB203" s="75" t="str">
        <f>TEXT(' En tramite 23-26'!$Z203,"mmmm")</f>
        <v>abril</v>
      </c>
      <c r="AC203" s="165">
        <f>YEAR(' En tramite 23-26'!$Z203)</f>
        <v>2026</v>
      </c>
      <c r="AD203" s="67" t="s">
        <v>84</v>
      </c>
      <c r="AE203" s="73">
        <v>2.0</v>
      </c>
      <c r="AF203" s="84">
        <v>46113.0</v>
      </c>
      <c r="AG203" s="67" t="s">
        <v>84</v>
      </c>
      <c r="AH203" s="73">
        <v>2.0</v>
      </c>
      <c r="AI203" s="84">
        <v>46130.0</v>
      </c>
      <c r="AJ203" s="67">
        <f>DAY(' En tramite 23-26'!$AI203)</f>
        <v>18</v>
      </c>
      <c r="AK203" s="67" t="str">
        <f>TEXT(' En tramite 23-26'!$AI203,"mmmm")</f>
        <v>abril</v>
      </c>
      <c r="AL203" s="67">
        <f>YEAR(' En tramite 23-26'!$Z203)</f>
        <v>2026</v>
      </c>
      <c r="AM203" s="67" t="s">
        <v>84</v>
      </c>
      <c r="AN203" s="73">
        <v>2.0</v>
      </c>
      <c r="AO203" s="84">
        <v>46128.0</v>
      </c>
      <c r="AP203" s="67" t="s">
        <v>84</v>
      </c>
      <c r="AQ203" s="73">
        <v>2.0</v>
      </c>
      <c r="AR203" s="84">
        <v>46175.0</v>
      </c>
      <c r="AS203" s="73">
        <f>' En tramite 23-26'!$AI203+45</f>
        <v>46175</v>
      </c>
      <c r="AT203" s="67" t="s">
        <v>85</v>
      </c>
      <c r="AU203" s="67" t="s">
        <v>84</v>
      </c>
      <c r="AV203" s="67">
        <v>2.0</v>
      </c>
      <c r="AW203" s="73">
        <f>' En tramite 23-26'!$AS203+45</f>
        <v>46220</v>
      </c>
      <c r="AX203" s="66" t="s">
        <v>86</v>
      </c>
      <c r="AY203" s="67" t="s">
        <v>84</v>
      </c>
      <c r="AZ203" s="67">
        <v>2.0</v>
      </c>
      <c r="BA203" s="84">
        <v>46220.0</v>
      </c>
      <c r="BB203" s="67" t="s">
        <v>84</v>
      </c>
      <c r="BC203" s="76">
        <v>2.0</v>
      </c>
      <c r="BD203" s="84">
        <v>46220.0</v>
      </c>
      <c r="BE203" s="67">
        <f>DAY(' En tramite 23-26'!$BD203)</f>
        <v>17</v>
      </c>
      <c r="BF203" s="73" t="str">
        <f>TEXT(' En tramite 23-26'!$BD203,"mmmm")</f>
        <v>julio</v>
      </c>
      <c r="BG203" s="67">
        <f>YEAR(' En tramite 23-26'!$BD203)</f>
        <v>2026</v>
      </c>
      <c r="BH203" s="77"/>
      <c r="BI203" s="66"/>
      <c r="BJ203" s="78" t="s">
        <v>274</v>
      </c>
      <c r="BK203" s="79" t="s">
        <v>275</v>
      </c>
      <c r="BL203" s="66"/>
      <c r="BM203" s="80"/>
    </row>
    <row r="204" ht="16.5" customHeight="1">
      <c r="A204" s="28" t="s">
        <v>1597</v>
      </c>
      <c r="B204" s="34"/>
      <c r="C204" s="13"/>
      <c r="D204" s="62" t="s">
        <v>1598</v>
      </c>
      <c r="E204" s="158" t="s">
        <v>1599</v>
      </c>
      <c r="F204" s="63" t="s">
        <v>1600</v>
      </c>
      <c r="G204" s="62">
        <v>4.421804481E9</v>
      </c>
      <c r="H204" s="70" t="s">
        <v>1601</v>
      </c>
      <c r="I204" s="62" t="s">
        <v>822</v>
      </c>
      <c r="J204" s="62" t="s">
        <v>109</v>
      </c>
      <c r="K204" s="62" t="s">
        <v>110</v>
      </c>
      <c r="L204" s="67" t="s">
        <v>200</v>
      </c>
      <c r="M204" s="67" t="s">
        <v>142</v>
      </c>
      <c r="N204" s="62" t="s">
        <v>1602</v>
      </c>
      <c r="O204" s="62" t="s">
        <v>97</v>
      </c>
      <c r="P204" s="67" t="s">
        <v>78</v>
      </c>
      <c r="Q204" s="67">
        <v>4.421350214E9</v>
      </c>
      <c r="R204" s="67" t="s">
        <v>1603</v>
      </c>
      <c r="S204" s="68" t="s">
        <v>114</v>
      </c>
      <c r="T204" s="69" t="s">
        <v>81</v>
      </c>
      <c r="U204" s="70" t="s">
        <v>82</v>
      </c>
      <c r="V204" s="98">
        <v>0.0</v>
      </c>
      <c r="W204" s="67"/>
      <c r="X204" s="67" t="s">
        <v>84</v>
      </c>
      <c r="Y204" s="85">
        <v>2.0</v>
      </c>
      <c r="Z204" s="74">
        <v>46139.0</v>
      </c>
      <c r="AA204" s="164">
        <f>DAY(Tabla1[F. INICIO])</f>
        <v>27</v>
      </c>
      <c r="AB204" s="75" t="str">
        <f>TEXT(' En tramite 23-26'!$Z204,"mmmm")</f>
        <v>abril</v>
      </c>
      <c r="AC204" s="165">
        <f>YEAR(' En tramite 23-26'!$Z204)</f>
        <v>2026</v>
      </c>
      <c r="AD204" s="67" t="s">
        <v>84</v>
      </c>
      <c r="AE204" s="73">
        <v>2.0</v>
      </c>
      <c r="AF204" s="84">
        <v>46139.0</v>
      </c>
      <c r="AG204" s="67"/>
      <c r="AH204" s="73"/>
      <c r="AI204" s="84"/>
      <c r="AJ204" s="67">
        <f>DAY(' En tramite 23-26'!$AI204)</f>
        <v>30</v>
      </c>
      <c r="AK204" s="67" t="str">
        <f>TEXT(' En tramite 23-26'!$AI204,"mmmm")</f>
        <v>diciembre</v>
      </c>
      <c r="AL204" s="67">
        <f>YEAR(' En tramite 23-26'!$Z204)</f>
        <v>2026</v>
      </c>
      <c r="AM204" s="67"/>
      <c r="AN204" s="73"/>
      <c r="AO204" s="84"/>
      <c r="AP204" s="67"/>
      <c r="AQ204" s="73"/>
      <c r="AR204" s="84"/>
      <c r="AS204" s="99">
        <f>' En tramite 23-26'!$AI204+45</f>
        <v>45</v>
      </c>
      <c r="AT204" s="67"/>
      <c r="AU204" s="67"/>
      <c r="AV204" s="67"/>
      <c r="AW204" s="73">
        <f>' En tramite 23-26'!$AS204+45</f>
        <v>90</v>
      </c>
      <c r="AX204" s="66"/>
      <c r="AY204" s="67"/>
      <c r="AZ204" s="67"/>
      <c r="BA204" s="84"/>
      <c r="BB204" s="67"/>
      <c r="BC204" s="76"/>
      <c r="BD204" s="84"/>
      <c r="BE204" s="67">
        <f>DAY(' En tramite 23-26'!$BD204)</f>
        <v>30</v>
      </c>
      <c r="BF204" s="73" t="str">
        <f>TEXT(' En tramite 23-26'!$BD204,"mmmm")</f>
        <v>diciembre</v>
      </c>
      <c r="BG204" s="67">
        <f>YEAR(' En tramite 23-26'!$BD204)</f>
        <v>1899</v>
      </c>
      <c r="BH204" s="77"/>
      <c r="BI204" s="66"/>
      <c r="BJ204" s="78" t="s">
        <v>274</v>
      </c>
      <c r="BK204" s="79" t="s">
        <v>275</v>
      </c>
      <c r="BL204" s="66"/>
      <c r="BM204" s="80"/>
    </row>
    <row r="205" ht="16.5" customHeight="1">
      <c r="A205" s="28" t="s">
        <v>1604</v>
      </c>
      <c r="B205" s="34"/>
      <c r="C205" s="13"/>
      <c r="D205" s="62" t="s">
        <v>1605</v>
      </c>
      <c r="E205" s="15" t="s">
        <v>1606</v>
      </c>
      <c r="F205" s="63" t="s">
        <v>1607</v>
      </c>
      <c r="G205" s="62">
        <v>4.428639012E9</v>
      </c>
      <c r="H205" s="70" t="s">
        <v>1608</v>
      </c>
      <c r="I205" s="62" t="s">
        <v>822</v>
      </c>
      <c r="J205" s="62" t="s">
        <v>109</v>
      </c>
      <c r="K205" s="62" t="s">
        <v>110</v>
      </c>
      <c r="L205" s="65" t="s">
        <v>75</v>
      </c>
      <c r="M205" s="67" t="s">
        <v>142</v>
      </c>
      <c r="N205" s="62" t="s">
        <v>1609</v>
      </c>
      <c r="O205" s="62" t="s">
        <v>97</v>
      </c>
      <c r="P205" s="67" t="s">
        <v>1610</v>
      </c>
      <c r="Q205" s="67">
        <v>4.423513755E9</v>
      </c>
      <c r="R205" s="67" t="s">
        <v>1611</v>
      </c>
      <c r="S205" s="68" t="s">
        <v>1612</v>
      </c>
      <c r="T205" s="69" t="s">
        <v>81</v>
      </c>
      <c r="U205" s="70" t="s">
        <v>82</v>
      </c>
      <c r="V205" s="98">
        <v>0.0</v>
      </c>
      <c r="W205" s="67"/>
      <c r="X205" s="67" t="s">
        <v>84</v>
      </c>
      <c r="Y205" s="85">
        <v>2.0</v>
      </c>
      <c r="Z205" s="74">
        <v>46104.0</v>
      </c>
      <c r="AA205" s="164">
        <f>DAY(Tabla1[F. INICIO])</f>
        <v>23</v>
      </c>
      <c r="AB205" s="75" t="str">
        <f>TEXT(' En tramite 23-26'!$Z205,"mmmm")</f>
        <v>marzo</v>
      </c>
      <c r="AC205" s="165">
        <f>YEAR(' En tramite 23-26'!$Z205)</f>
        <v>2026</v>
      </c>
      <c r="AD205" s="67" t="s">
        <v>84</v>
      </c>
      <c r="AE205" s="73">
        <v>2.0</v>
      </c>
      <c r="AF205" s="84">
        <v>46104.0</v>
      </c>
      <c r="AG205" s="67" t="s">
        <v>84</v>
      </c>
      <c r="AH205" s="73">
        <v>2.0</v>
      </c>
      <c r="AI205" s="84">
        <v>46104.0</v>
      </c>
      <c r="AJ205" s="67">
        <f>DAY(' En tramite 23-26'!$AI205)</f>
        <v>23</v>
      </c>
      <c r="AK205" s="67" t="str">
        <f>TEXT(' En tramite 23-26'!$AI205,"mmmm")</f>
        <v>marzo</v>
      </c>
      <c r="AL205" s="67">
        <f>YEAR(' En tramite 23-26'!$Z205)</f>
        <v>2026</v>
      </c>
      <c r="AM205" s="67" t="s">
        <v>84</v>
      </c>
      <c r="AN205" s="73">
        <v>2.0</v>
      </c>
      <c r="AO205" s="84">
        <v>46104.0</v>
      </c>
      <c r="AP205" s="67" t="s">
        <v>84</v>
      </c>
      <c r="AQ205" s="73">
        <v>2.0</v>
      </c>
      <c r="AR205" s="84">
        <v>46149.0</v>
      </c>
      <c r="AS205" s="73">
        <f>' En tramite 23-26'!$AI205+45</f>
        <v>46149</v>
      </c>
      <c r="AT205" s="67" t="s">
        <v>85</v>
      </c>
      <c r="AU205" s="67" t="s">
        <v>84</v>
      </c>
      <c r="AV205" s="67">
        <v>2.0</v>
      </c>
      <c r="AW205" s="73">
        <v>46196.0</v>
      </c>
      <c r="AX205" s="66" t="s">
        <v>86</v>
      </c>
      <c r="AY205" s="67" t="s">
        <v>84</v>
      </c>
      <c r="AZ205" s="67">
        <v>2.0</v>
      </c>
      <c r="BA205" s="73" t="s">
        <v>1613</v>
      </c>
      <c r="BB205" s="67" t="s">
        <v>84</v>
      </c>
      <c r="BC205" s="67">
        <v>2.0</v>
      </c>
      <c r="BD205" s="84">
        <v>46196.0</v>
      </c>
      <c r="BE205" s="67">
        <f>DAY(' En tramite 23-26'!$BD205)</f>
        <v>23</v>
      </c>
      <c r="BF205" s="73" t="str">
        <f>TEXT(' En tramite 23-26'!$BD205,"mmmm")</f>
        <v>junio</v>
      </c>
      <c r="BG205" s="67">
        <f>YEAR(' En tramite 23-26'!$BD205)</f>
        <v>2026</v>
      </c>
      <c r="BH205" s="77"/>
      <c r="BI205" s="66"/>
      <c r="BJ205" s="67" t="s">
        <v>274</v>
      </c>
      <c r="BK205" s="79" t="s">
        <v>275</v>
      </c>
      <c r="BL205" s="66"/>
      <c r="BM205" s="80"/>
    </row>
    <row r="206" ht="16.5" customHeight="1">
      <c r="A206" s="28" t="s">
        <v>1614</v>
      </c>
      <c r="B206" s="34"/>
      <c r="C206" s="13"/>
      <c r="D206" s="41" t="s">
        <v>1615</v>
      </c>
      <c r="E206" s="15" t="s">
        <v>1616</v>
      </c>
      <c r="F206" s="42" t="s">
        <v>1617</v>
      </c>
      <c r="G206" s="41">
        <v>4.421975166E9</v>
      </c>
      <c r="H206" s="47" t="s">
        <v>1618</v>
      </c>
      <c r="I206" s="41" t="s">
        <v>867</v>
      </c>
      <c r="J206" s="41" t="s">
        <v>73</v>
      </c>
      <c r="K206" s="41" t="s">
        <v>141</v>
      </c>
      <c r="L206" s="44" t="s">
        <v>75</v>
      </c>
      <c r="M206" s="44" t="s">
        <v>142</v>
      </c>
      <c r="N206" s="41" t="s">
        <v>921</v>
      </c>
      <c r="O206" s="41"/>
      <c r="P206" s="44" t="s">
        <v>78</v>
      </c>
      <c r="Q206" s="44">
        <v>4.4225196E9</v>
      </c>
      <c r="R206" s="44" t="s">
        <v>922</v>
      </c>
      <c r="S206" s="45" t="s">
        <v>923</v>
      </c>
      <c r="T206" s="46" t="s">
        <v>81</v>
      </c>
      <c r="U206" s="47" t="s">
        <v>100</v>
      </c>
      <c r="V206" s="95">
        <v>0.0</v>
      </c>
      <c r="W206" s="44" t="s">
        <v>83</v>
      </c>
      <c r="X206" s="44" t="s">
        <v>84</v>
      </c>
      <c r="Y206" s="56">
        <v>2.0</v>
      </c>
      <c r="Z206" s="50">
        <v>46074.0</v>
      </c>
      <c r="AA206" s="163">
        <f>DAY(Tabla1[F. INICIO])</f>
        <v>21</v>
      </c>
      <c r="AB206" s="51" t="str">
        <f>TEXT(' En tramite 23-26'!$Z206,"mmmm")</f>
        <v>febrero</v>
      </c>
      <c r="AC206" s="166">
        <f>YEAR(' En tramite 23-26'!$Z206)</f>
        <v>2026</v>
      </c>
      <c r="AD206" s="44" t="s">
        <v>84</v>
      </c>
      <c r="AE206" s="49">
        <v>2.0</v>
      </c>
      <c r="AF206" s="55">
        <v>46163.0</v>
      </c>
      <c r="AG206" s="44" t="s">
        <v>84</v>
      </c>
      <c r="AH206" s="49">
        <v>2.0</v>
      </c>
      <c r="AI206" s="55">
        <v>46163.0</v>
      </c>
      <c r="AJ206" s="44">
        <f>DAY(' En tramite 23-26'!$AI206)</f>
        <v>21</v>
      </c>
      <c r="AK206" s="44" t="str">
        <f>TEXT(' En tramite 23-26'!$AI206,"mmmm")</f>
        <v>mayo</v>
      </c>
      <c r="AL206" s="44">
        <f>YEAR(' En tramite 23-26'!$Z206)</f>
        <v>2026</v>
      </c>
      <c r="AM206" s="44" t="s">
        <v>84</v>
      </c>
      <c r="AN206" s="49">
        <v>46163.0</v>
      </c>
      <c r="AO206" s="55">
        <v>46163.0</v>
      </c>
      <c r="AP206" s="44"/>
      <c r="AQ206" s="49"/>
      <c r="AR206" s="55"/>
      <c r="AS206" s="57">
        <f>' En tramite 23-26'!$AI206+45</f>
        <v>46208</v>
      </c>
      <c r="AT206" s="44"/>
      <c r="AU206" s="44"/>
      <c r="AV206" s="44"/>
      <c r="AW206" s="49">
        <f>' En tramite 23-26'!$AS206+45</f>
        <v>46253</v>
      </c>
      <c r="AX206" s="13"/>
      <c r="AY206" s="44"/>
      <c r="AZ206" s="44"/>
      <c r="BA206" s="55"/>
      <c r="BB206" s="44"/>
      <c r="BC206" s="12"/>
      <c r="BD206" s="55"/>
      <c r="BE206" s="44">
        <f>DAY(' En tramite 23-26'!$BD206)</f>
        <v>30</v>
      </c>
      <c r="BF206" s="49" t="str">
        <f>TEXT(' En tramite 23-26'!$BD206,"mmmm")</f>
        <v>diciembre</v>
      </c>
      <c r="BG206" s="44">
        <f>YEAR(' En tramite 23-26'!$BD206)</f>
        <v>1899</v>
      </c>
      <c r="BH206" s="53"/>
      <c r="BI206" s="13"/>
      <c r="BJ206" s="44"/>
      <c r="BK206" s="54"/>
      <c r="BL206" s="13"/>
      <c r="BM206" s="58"/>
    </row>
    <row r="207" ht="16.5" customHeight="1">
      <c r="A207" s="28" t="s">
        <v>1619</v>
      </c>
      <c r="B207" s="34"/>
      <c r="C207" s="13"/>
      <c r="D207" s="62" t="s">
        <v>1620</v>
      </c>
      <c r="E207" s="15" t="s">
        <v>1621</v>
      </c>
      <c r="F207" s="63" t="s">
        <v>1622</v>
      </c>
      <c r="G207" s="62">
        <v>4.422850204E9</v>
      </c>
      <c r="H207" s="70" t="s">
        <v>1623</v>
      </c>
      <c r="I207" s="62" t="s">
        <v>822</v>
      </c>
      <c r="J207" s="62" t="s">
        <v>109</v>
      </c>
      <c r="K207" s="62" t="s">
        <v>110</v>
      </c>
      <c r="L207" s="65" t="s">
        <v>75</v>
      </c>
      <c r="M207" s="67" t="s">
        <v>142</v>
      </c>
      <c r="N207" s="62" t="s">
        <v>1602</v>
      </c>
      <c r="O207" s="62" t="s">
        <v>97</v>
      </c>
      <c r="P207" s="67" t="s">
        <v>78</v>
      </c>
      <c r="Q207" s="67">
        <v>4.421350214E9</v>
      </c>
      <c r="R207" s="67" t="s">
        <v>1603</v>
      </c>
      <c r="S207" s="68" t="s">
        <v>114</v>
      </c>
      <c r="T207" s="69" t="s">
        <v>81</v>
      </c>
      <c r="U207" s="70" t="s">
        <v>82</v>
      </c>
      <c r="V207" s="98">
        <v>0.0</v>
      </c>
      <c r="W207" s="67" t="s">
        <v>83</v>
      </c>
      <c r="X207" s="67" t="s">
        <v>84</v>
      </c>
      <c r="Y207" s="85">
        <v>2.0</v>
      </c>
      <c r="Z207" s="74">
        <v>46163.0</v>
      </c>
      <c r="AA207" s="164">
        <f>DAY(Tabla1[F. INICIO])</f>
        <v>21</v>
      </c>
      <c r="AB207" s="75" t="str">
        <f>TEXT(' En tramite 23-26'!$Z207,"mmmm")</f>
        <v>mayo</v>
      </c>
      <c r="AC207" s="165">
        <f>YEAR(' En tramite 23-26'!$Z207)</f>
        <v>2026</v>
      </c>
      <c r="AD207" s="67" t="s">
        <v>84</v>
      </c>
      <c r="AE207" s="73">
        <v>2.0</v>
      </c>
      <c r="AF207" s="84">
        <v>46163.0</v>
      </c>
      <c r="AG207" s="67" t="s">
        <v>84</v>
      </c>
      <c r="AH207" s="73">
        <v>2.0</v>
      </c>
      <c r="AI207" s="84">
        <v>46164.0</v>
      </c>
      <c r="AJ207" s="67">
        <f>DAY(' En tramite 23-26'!$AI207)</f>
        <v>22</v>
      </c>
      <c r="AK207" s="67" t="str">
        <f>TEXT(' En tramite 23-26'!$AI207,"mmmm")</f>
        <v>mayo</v>
      </c>
      <c r="AL207" s="67">
        <f>YEAR(' En tramite 23-26'!$Z207)</f>
        <v>2026</v>
      </c>
      <c r="AM207" s="67" t="s">
        <v>84</v>
      </c>
      <c r="AN207" s="73">
        <v>2.0</v>
      </c>
      <c r="AO207" s="84">
        <v>46164.0</v>
      </c>
      <c r="AP207" s="67" t="s">
        <v>84</v>
      </c>
      <c r="AQ207" s="73">
        <v>2.0</v>
      </c>
      <c r="AR207" s="84" t="s">
        <v>1624</v>
      </c>
      <c r="AS207" s="73">
        <f>' En tramite 23-26'!$AI207+45</f>
        <v>46209</v>
      </c>
      <c r="AT207" s="67" t="s">
        <v>85</v>
      </c>
      <c r="AU207" s="67" t="s">
        <v>84</v>
      </c>
      <c r="AV207" s="67">
        <v>2.0</v>
      </c>
      <c r="AW207" s="73">
        <v>46258.0</v>
      </c>
      <c r="AX207" s="66" t="s">
        <v>86</v>
      </c>
      <c r="AY207" s="67" t="s">
        <v>84</v>
      </c>
      <c r="AZ207" s="67">
        <v>2.0</v>
      </c>
      <c r="BA207" s="84">
        <v>46258.0</v>
      </c>
      <c r="BB207" s="67" t="s">
        <v>84</v>
      </c>
      <c r="BC207" s="76">
        <v>2.0</v>
      </c>
      <c r="BD207" s="84">
        <v>46258.0</v>
      </c>
      <c r="BE207" s="67">
        <f>DAY(' En tramite 23-26'!$BD207)</f>
        <v>24</v>
      </c>
      <c r="BF207" s="73" t="str">
        <f>TEXT(' En tramite 23-26'!$BD207,"mmmm")</f>
        <v>agosto</v>
      </c>
      <c r="BG207" s="67">
        <f>YEAR(' En tramite 23-26'!$BD207)</f>
        <v>2026</v>
      </c>
      <c r="BH207" s="77"/>
      <c r="BI207" s="66"/>
      <c r="BJ207" s="67" t="s">
        <v>274</v>
      </c>
      <c r="BK207" s="79" t="s">
        <v>275</v>
      </c>
      <c r="BL207" s="66"/>
      <c r="BM207" s="80"/>
    </row>
    <row r="208" ht="16.5" customHeight="1">
      <c r="A208" s="28" t="s">
        <v>1625</v>
      </c>
      <c r="B208" s="34"/>
      <c r="C208" s="13"/>
      <c r="D208" s="41" t="s">
        <v>1626</v>
      </c>
      <c r="E208" s="15" t="s">
        <v>1627</v>
      </c>
      <c r="F208" s="42" t="s">
        <v>1628</v>
      </c>
      <c r="G208" s="41" t="s">
        <v>1194</v>
      </c>
      <c r="H208" s="47" t="s">
        <v>1629</v>
      </c>
      <c r="I208" s="41" t="s">
        <v>867</v>
      </c>
      <c r="J208" s="41" t="s">
        <v>109</v>
      </c>
      <c r="K208" s="41" t="s">
        <v>141</v>
      </c>
      <c r="L208" s="44" t="s">
        <v>200</v>
      </c>
      <c r="M208" s="44" t="s">
        <v>14</v>
      </c>
      <c r="N208" s="41" t="s">
        <v>1630</v>
      </c>
      <c r="O208" s="41" t="s">
        <v>77</v>
      </c>
      <c r="P208" s="44" t="s">
        <v>78</v>
      </c>
      <c r="Q208" s="44">
        <v>4.424674569E9</v>
      </c>
      <c r="R208" s="44" t="s">
        <v>1631</v>
      </c>
      <c r="S208" s="45" t="s">
        <v>1632</v>
      </c>
      <c r="T208" s="46" t="s">
        <v>81</v>
      </c>
      <c r="U208" s="47" t="s">
        <v>100</v>
      </c>
      <c r="V208" s="95">
        <v>0.0</v>
      </c>
      <c r="W208" s="44"/>
      <c r="X208" s="44" t="s">
        <v>84</v>
      </c>
      <c r="Y208" s="56">
        <v>2.0</v>
      </c>
      <c r="Z208" s="50">
        <v>46163.0</v>
      </c>
      <c r="AA208" s="163">
        <f>DAY(Tabla1[F. INICIO])</f>
        <v>21</v>
      </c>
      <c r="AB208" s="51" t="str">
        <f>TEXT(' En tramite 23-26'!$Z208,"mmmm")</f>
        <v>mayo</v>
      </c>
      <c r="AC208" s="166">
        <f>YEAR(' En tramite 23-26'!$Z208)</f>
        <v>2026</v>
      </c>
      <c r="AD208" s="44" t="s">
        <v>84</v>
      </c>
      <c r="AE208" s="49">
        <v>2.0</v>
      </c>
      <c r="AF208" s="55">
        <v>46164.0</v>
      </c>
      <c r="AG208" s="44"/>
      <c r="AH208" s="49"/>
      <c r="AI208" s="55"/>
      <c r="AJ208" s="44">
        <f>DAY(' En tramite 23-26'!$AI208)</f>
        <v>30</v>
      </c>
      <c r="AK208" s="44" t="str">
        <f>TEXT(' En tramite 23-26'!$AI208,"mmmm")</f>
        <v>diciembre</v>
      </c>
      <c r="AL208" s="44">
        <f>YEAR(' En tramite 23-26'!$Z208)</f>
        <v>2026</v>
      </c>
      <c r="AM208" s="44"/>
      <c r="AN208" s="49"/>
      <c r="AO208" s="55"/>
      <c r="AP208" s="44"/>
      <c r="AQ208" s="49"/>
      <c r="AR208" s="55"/>
      <c r="AS208" s="57">
        <f>' En tramite 23-26'!$AI208+45</f>
        <v>45</v>
      </c>
      <c r="AT208" s="44"/>
      <c r="AU208" s="44"/>
      <c r="AV208" s="44"/>
      <c r="AW208" s="49">
        <f>' En tramite 23-26'!$AS208+45</f>
        <v>90</v>
      </c>
      <c r="AX208" s="13"/>
      <c r="AY208" s="44"/>
      <c r="AZ208" s="44"/>
      <c r="BA208" s="55"/>
      <c r="BB208" s="44"/>
      <c r="BC208" s="12"/>
      <c r="BD208" s="55"/>
      <c r="BE208" s="44">
        <f>DAY(' En tramite 23-26'!$BD208)</f>
        <v>30</v>
      </c>
      <c r="BF208" s="49" t="str">
        <f>TEXT(' En tramite 23-26'!$BD208,"mmmm")</f>
        <v>diciembre</v>
      </c>
      <c r="BG208" s="44">
        <f>YEAR(' En tramite 23-26'!$BD208)</f>
        <v>1899</v>
      </c>
      <c r="BH208" s="53"/>
      <c r="BI208" s="13"/>
      <c r="BJ208" s="44"/>
      <c r="BK208" s="54"/>
      <c r="BL208" s="13"/>
      <c r="BM208" s="58"/>
    </row>
    <row r="209" ht="16.5" customHeight="1">
      <c r="A209" s="28" t="s">
        <v>1633</v>
      </c>
      <c r="B209" s="34"/>
      <c r="C209" s="13"/>
      <c r="D209" s="41" t="s">
        <v>1634</v>
      </c>
      <c r="E209" s="15" t="s">
        <v>1635</v>
      </c>
      <c r="F209" s="42" t="s">
        <v>1636</v>
      </c>
      <c r="G209" s="41">
        <v>4.425970815E9</v>
      </c>
      <c r="H209" s="47" t="s">
        <v>1637</v>
      </c>
      <c r="I209" s="41" t="s">
        <v>1406</v>
      </c>
      <c r="J209" s="41" t="s">
        <v>109</v>
      </c>
      <c r="K209" s="41" t="s">
        <v>74</v>
      </c>
      <c r="L209" s="44" t="s">
        <v>200</v>
      </c>
      <c r="M209" s="44" t="s">
        <v>142</v>
      </c>
      <c r="N209" s="41" t="s">
        <v>726</v>
      </c>
      <c r="O209" s="41" t="s">
        <v>97</v>
      </c>
      <c r="P209" s="44" t="s">
        <v>78</v>
      </c>
      <c r="Q209" s="44">
        <v>4.421350214E9</v>
      </c>
      <c r="R209" s="44" t="s">
        <v>1638</v>
      </c>
      <c r="S209" s="45" t="s">
        <v>99</v>
      </c>
      <c r="T209" s="46" t="s">
        <v>81</v>
      </c>
      <c r="U209" s="47" t="s">
        <v>100</v>
      </c>
      <c r="V209" s="101">
        <v>1.0</v>
      </c>
      <c r="W209" s="111" t="s">
        <v>83</v>
      </c>
      <c r="X209" s="44" t="s">
        <v>84</v>
      </c>
      <c r="Y209" s="56">
        <v>2.0</v>
      </c>
      <c r="Z209" s="50">
        <v>45992.0</v>
      </c>
      <c r="AA209" s="163">
        <f>DAY(Tabla1[F. INICIO])</f>
        <v>1</v>
      </c>
      <c r="AB209" s="51" t="str">
        <f>TEXT(' En tramite 23-26'!$Z209,"mmmm")</f>
        <v>diciembre</v>
      </c>
      <c r="AC209" s="166">
        <f>YEAR(' En tramite 23-26'!$Z209)</f>
        <v>2025</v>
      </c>
      <c r="AD209" s="44" t="s">
        <v>84</v>
      </c>
      <c r="AE209" s="49">
        <v>2.0</v>
      </c>
      <c r="AF209" s="55">
        <v>45992.0</v>
      </c>
      <c r="AG209" s="44" t="s">
        <v>84</v>
      </c>
      <c r="AH209" s="49">
        <v>2.0</v>
      </c>
      <c r="AI209" s="55">
        <v>45992.0</v>
      </c>
      <c r="AJ209" s="44">
        <f>DAY(' En tramite 23-26'!$AI209)</f>
        <v>1</v>
      </c>
      <c r="AK209" s="44" t="str">
        <f>TEXT(' En tramite 23-26'!$AI209,"mmmm")</f>
        <v>diciembre</v>
      </c>
      <c r="AL209" s="44">
        <f>YEAR(' En tramite 23-26'!$Z209)</f>
        <v>2025</v>
      </c>
      <c r="AM209" s="44" t="s">
        <v>84</v>
      </c>
      <c r="AN209" s="49">
        <v>2.0</v>
      </c>
      <c r="AO209" s="55">
        <v>45992.0</v>
      </c>
      <c r="AP209" s="44"/>
      <c r="AQ209" s="49"/>
      <c r="AR209" s="55"/>
      <c r="AS209" s="57">
        <f>' En tramite 23-26'!$AI209+45</f>
        <v>46037</v>
      </c>
      <c r="AT209" s="44"/>
      <c r="AU209" s="44"/>
      <c r="AV209" s="44"/>
      <c r="AW209" s="49">
        <f>' En tramite 23-26'!$AS209+45</f>
        <v>46082</v>
      </c>
      <c r="AX209" s="13"/>
      <c r="AY209" s="44"/>
      <c r="AZ209" s="44"/>
      <c r="BA209" s="55"/>
      <c r="BB209" s="44"/>
      <c r="BC209" s="12"/>
      <c r="BD209" s="55"/>
      <c r="BE209" s="44">
        <f>DAY(' En tramite 23-26'!$BD209)</f>
        <v>30</v>
      </c>
      <c r="BF209" s="49" t="str">
        <f>TEXT(' En tramite 23-26'!$BD209,"mmmm")</f>
        <v>diciembre</v>
      </c>
      <c r="BG209" s="44">
        <f>YEAR(' En tramite 23-26'!$BD209)</f>
        <v>1899</v>
      </c>
      <c r="BH209" s="53"/>
      <c r="BI209" s="13"/>
      <c r="BJ209" s="44"/>
      <c r="BK209" s="54"/>
      <c r="BL209" s="13"/>
      <c r="BM209" s="58"/>
    </row>
    <row r="210" ht="16.5" customHeight="1">
      <c r="A210" s="28" t="s">
        <v>1639</v>
      </c>
      <c r="B210" s="34"/>
      <c r="C210" s="13"/>
      <c r="D210" s="41" t="s">
        <v>1640</v>
      </c>
      <c r="E210" s="15" t="s">
        <v>1641</v>
      </c>
      <c r="F210" s="42" t="s">
        <v>1642</v>
      </c>
      <c r="G210" s="41">
        <v>4.424367987E9</v>
      </c>
      <c r="H210" s="47" t="s">
        <v>1643</v>
      </c>
      <c r="I210" s="41" t="s">
        <v>867</v>
      </c>
      <c r="J210" s="41" t="s">
        <v>73</v>
      </c>
      <c r="K210" s="41" t="s">
        <v>141</v>
      </c>
      <c r="L210" s="44" t="s">
        <v>200</v>
      </c>
      <c r="M210" s="44" t="s">
        <v>14</v>
      </c>
      <c r="N210" s="41" t="s">
        <v>210</v>
      </c>
      <c r="O210" s="41" t="s">
        <v>131</v>
      </c>
      <c r="P210" s="44" t="s">
        <v>78</v>
      </c>
      <c r="Q210" s="44">
        <v>4.424427233E9</v>
      </c>
      <c r="R210" s="44" t="s">
        <v>1644</v>
      </c>
      <c r="S210" s="45" t="s">
        <v>213</v>
      </c>
      <c r="T210" s="46" t="s">
        <v>81</v>
      </c>
      <c r="U210" s="47" t="s">
        <v>82</v>
      </c>
      <c r="V210" s="95">
        <v>0.0</v>
      </c>
      <c r="W210" s="44" t="s">
        <v>83</v>
      </c>
      <c r="X210" s="44" t="s">
        <v>84</v>
      </c>
      <c r="Y210" s="56">
        <v>2.0</v>
      </c>
      <c r="Z210" s="50">
        <v>46164.0</v>
      </c>
      <c r="AA210" s="163">
        <f>DAY(Tabla1[F. INICIO])</f>
        <v>22</v>
      </c>
      <c r="AB210" s="51" t="str">
        <f>TEXT(' En tramite 23-26'!$Z210,"mmmm")</f>
        <v>mayo</v>
      </c>
      <c r="AC210" s="166">
        <f>YEAR(' En tramite 23-26'!$Z210)</f>
        <v>2026</v>
      </c>
      <c r="AD210" s="44" t="s">
        <v>84</v>
      </c>
      <c r="AE210" s="49">
        <v>2.0</v>
      </c>
      <c r="AF210" s="55">
        <v>46164.0</v>
      </c>
      <c r="AG210" s="44" t="s">
        <v>84</v>
      </c>
      <c r="AH210" s="49">
        <v>2.0</v>
      </c>
      <c r="AI210" s="55">
        <v>46164.0</v>
      </c>
      <c r="AJ210" s="44">
        <f>DAY(' En tramite 23-26'!$AI210)</f>
        <v>22</v>
      </c>
      <c r="AK210" s="44" t="str">
        <f>TEXT(' En tramite 23-26'!$AI210,"mmmm")</f>
        <v>mayo</v>
      </c>
      <c r="AL210" s="44">
        <f>YEAR(' En tramite 23-26'!$Z210)</f>
        <v>2026</v>
      </c>
      <c r="AM210" s="44" t="s">
        <v>84</v>
      </c>
      <c r="AN210" s="49">
        <v>1.0</v>
      </c>
      <c r="AO210" s="55">
        <v>46164.0</v>
      </c>
      <c r="AP210" s="44"/>
      <c r="AQ210" s="49"/>
      <c r="AR210" s="55"/>
      <c r="AS210" s="57">
        <f>' En tramite 23-26'!$AI210+45</f>
        <v>46209</v>
      </c>
      <c r="AT210" s="44"/>
      <c r="AU210" s="44"/>
      <c r="AV210" s="44"/>
      <c r="AW210" s="49">
        <f>' En tramite 23-26'!$AS210+45</f>
        <v>46254</v>
      </c>
      <c r="AX210" s="13"/>
      <c r="AY210" s="44"/>
      <c r="AZ210" s="44"/>
      <c r="BA210" s="55"/>
      <c r="BB210" s="44"/>
      <c r="BC210" s="12"/>
      <c r="BD210" s="55"/>
      <c r="BE210" s="44">
        <f>DAY(' En tramite 23-26'!$BD210)</f>
        <v>30</v>
      </c>
      <c r="BF210" s="49" t="str">
        <f>TEXT(' En tramite 23-26'!$BD210,"mmmm")</f>
        <v>diciembre</v>
      </c>
      <c r="BG210" s="44">
        <f>YEAR(' En tramite 23-26'!$BD210)</f>
        <v>1899</v>
      </c>
      <c r="BH210" s="53"/>
      <c r="BI210" s="13"/>
      <c r="BJ210" s="44"/>
      <c r="BK210" s="54"/>
      <c r="BL210" s="13"/>
      <c r="BM210" s="58"/>
    </row>
    <row r="211" ht="16.5" customHeight="1">
      <c r="A211" s="28" t="s">
        <v>1645</v>
      </c>
      <c r="B211" s="34"/>
      <c r="C211" s="13"/>
      <c r="D211" s="41" t="s">
        <v>1646</v>
      </c>
      <c r="E211" s="15" t="s">
        <v>1647</v>
      </c>
      <c r="F211" s="42" t="s">
        <v>1648</v>
      </c>
      <c r="G211" s="41">
        <v>4.423370629E9</v>
      </c>
      <c r="H211" s="47" t="s">
        <v>1649</v>
      </c>
      <c r="I211" s="41" t="s">
        <v>867</v>
      </c>
      <c r="J211" s="41" t="s">
        <v>73</v>
      </c>
      <c r="K211" s="41" t="s">
        <v>141</v>
      </c>
      <c r="L211" s="44" t="s">
        <v>200</v>
      </c>
      <c r="M211" s="44" t="s">
        <v>14</v>
      </c>
      <c r="N211" s="41" t="s">
        <v>1650</v>
      </c>
      <c r="O211" s="41" t="s">
        <v>77</v>
      </c>
      <c r="P211" s="44" t="s">
        <v>78</v>
      </c>
      <c r="Q211" s="44">
        <v>4.421246498E9</v>
      </c>
      <c r="R211" s="44" t="s">
        <v>1651</v>
      </c>
      <c r="S211" s="45" t="s">
        <v>1652</v>
      </c>
      <c r="T211" s="46" t="s">
        <v>81</v>
      </c>
      <c r="U211" s="47" t="s">
        <v>82</v>
      </c>
      <c r="V211" s="95">
        <v>0.0</v>
      </c>
      <c r="W211" s="44" t="s">
        <v>83</v>
      </c>
      <c r="X211" s="44" t="s">
        <v>84</v>
      </c>
      <c r="Y211" s="56">
        <v>2.0</v>
      </c>
      <c r="Z211" s="50">
        <v>46164.0</v>
      </c>
      <c r="AA211" s="163">
        <f>DAY(Tabla1[F. INICIO])</f>
        <v>22</v>
      </c>
      <c r="AB211" s="51" t="str">
        <f>TEXT(' En tramite 23-26'!$Z211,"mmmm")</f>
        <v>mayo</v>
      </c>
      <c r="AC211" s="166">
        <f>YEAR(' En tramite 23-26'!$Z211)</f>
        <v>2026</v>
      </c>
      <c r="AD211" s="44" t="s">
        <v>84</v>
      </c>
      <c r="AE211" s="49">
        <v>2.0</v>
      </c>
      <c r="AF211" s="55"/>
      <c r="AG211" s="44" t="s">
        <v>84</v>
      </c>
      <c r="AH211" s="49">
        <v>2.0</v>
      </c>
      <c r="AI211" s="55">
        <v>46164.0</v>
      </c>
      <c r="AJ211" s="44">
        <f>DAY(' En tramite 23-26'!$AI211)</f>
        <v>22</v>
      </c>
      <c r="AK211" s="44" t="str">
        <f>TEXT(' En tramite 23-26'!$AI211,"mmmm")</f>
        <v>mayo</v>
      </c>
      <c r="AL211" s="44">
        <f>YEAR(' En tramite 23-26'!$Z211)</f>
        <v>2026</v>
      </c>
      <c r="AM211" s="44"/>
      <c r="AN211" s="49"/>
      <c r="AO211" s="55"/>
      <c r="AP211" s="44"/>
      <c r="AQ211" s="49"/>
      <c r="AR211" s="55"/>
      <c r="AS211" s="57">
        <f>' En tramite 23-26'!$AI211+45</f>
        <v>46209</v>
      </c>
      <c r="AT211" s="44"/>
      <c r="AU211" s="44"/>
      <c r="AV211" s="44"/>
      <c r="AW211" s="49">
        <f>' En tramite 23-26'!$AS211+45</f>
        <v>46254</v>
      </c>
      <c r="AX211" s="13"/>
      <c r="AY211" s="44"/>
      <c r="AZ211" s="44"/>
      <c r="BA211" s="55"/>
      <c r="BB211" s="44"/>
      <c r="BC211" s="12"/>
      <c r="BD211" s="55"/>
      <c r="BE211" s="44">
        <f>DAY(' En tramite 23-26'!$BD211)</f>
        <v>30</v>
      </c>
      <c r="BF211" s="49" t="str">
        <f>TEXT(' En tramite 23-26'!$BD211,"mmmm")</f>
        <v>diciembre</v>
      </c>
      <c r="BG211" s="44">
        <f>YEAR(' En tramite 23-26'!$BD211)</f>
        <v>1899</v>
      </c>
      <c r="BH211" s="53"/>
      <c r="BI211" s="13"/>
      <c r="BJ211" s="44"/>
      <c r="BK211" s="54"/>
      <c r="BL211" s="13"/>
      <c r="BM211" s="58"/>
    </row>
    <row r="212" ht="16.5" customHeight="1">
      <c r="A212" s="28" t="s">
        <v>1653</v>
      </c>
      <c r="B212" s="34"/>
      <c r="C212" s="13"/>
      <c r="D212" s="41" t="s">
        <v>1654</v>
      </c>
      <c r="E212" s="15" t="s">
        <v>1655</v>
      </c>
      <c r="F212" s="42" t="s">
        <v>1656</v>
      </c>
      <c r="G212" s="41">
        <v>4.426067257E9</v>
      </c>
      <c r="H212" s="47" t="s">
        <v>1657</v>
      </c>
      <c r="I212" s="41" t="s">
        <v>867</v>
      </c>
      <c r="J212" s="41" t="s">
        <v>73</v>
      </c>
      <c r="K212" s="41" t="s">
        <v>141</v>
      </c>
      <c r="L212" s="44" t="s">
        <v>200</v>
      </c>
      <c r="M212" s="44" t="s">
        <v>14</v>
      </c>
      <c r="N212" s="41" t="s">
        <v>1658</v>
      </c>
      <c r="O212" s="41"/>
      <c r="P212" s="44" t="s">
        <v>78</v>
      </c>
      <c r="Q212" s="44" t="s">
        <v>1194</v>
      </c>
      <c r="R212" s="44" t="s">
        <v>1659</v>
      </c>
      <c r="S212" s="45" t="s">
        <v>1660</v>
      </c>
      <c r="T212" s="46" t="s">
        <v>81</v>
      </c>
      <c r="U212" s="47" t="s">
        <v>82</v>
      </c>
      <c r="V212" s="95">
        <v>0.0</v>
      </c>
      <c r="W212" s="44"/>
      <c r="X212" s="44" t="s">
        <v>84</v>
      </c>
      <c r="Y212" s="56">
        <v>2.0</v>
      </c>
      <c r="Z212" s="50">
        <v>46164.0</v>
      </c>
      <c r="AA212" s="163">
        <f>DAY(Tabla1[F. INICIO])</f>
        <v>22</v>
      </c>
      <c r="AB212" s="51" t="str">
        <f>TEXT(' En tramite 23-26'!$Z212,"mmmm")</f>
        <v>mayo</v>
      </c>
      <c r="AC212" s="166">
        <f>YEAR(' En tramite 23-26'!$Z212)</f>
        <v>2026</v>
      </c>
      <c r="AD212" s="44" t="s">
        <v>84</v>
      </c>
      <c r="AE212" s="49">
        <v>2.0</v>
      </c>
      <c r="AF212" s="55">
        <v>46164.0</v>
      </c>
      <c r="AG212" s="44"/>
      <c r="AH212" s="49"/>
      <c r="AI212" s="55"/>
      <c r="AJ212" s="44">
        <f>DAY(' En tramite 23-26'!$AI212)</f>
        <v>30</v>
      </c>
      <c r="AK212" s="44" t="str">
        <f>TEXT(' En tramite 23-26'!$AI212,"mmmm")</f>
        <v>diciembre</v>
      </c>
      <c r="AL212" s="44">
        <f>YEAR(' En tramite 23-26'!$Z212)</f>
        <v>2026</v>
      </c>
      <c r="AM212" s="44"/>
      <c r="AN212" s="49"/>
      <c r="AO212" s="55"/>
      <c r="AP212" s="44"/>
      <c r="AQ212" s="49"/>
      <c r="AR212" s="55"/>
      <c r="AS212" s="57">
        <f>' En tramite 23-26'!$AI212+45</f>
        <v>45</v>
      </c>
      <c r="AT212" s="44"/>
      <c r="AU212" s="44"/>
      <c r="AV212" s="44"/>
      <c r="AW212" s="49">
        <f>' En tramite 23-26'!$AS212+45</f>
        <v>90</v>
      </c>
      <c r="AX212" s="13"/>
      <c r="AY212" s="44"/>
      <c r="AZ212" s="44"/>
      <c r="BA212" s="55"/>
      <c r="BB212" s="44"/>
      <c r="BC212" s="12"/>
      <c r="BD212" s="55"/>
      <c r="BE212" s="44">
        <f>DAY(' En tramite 23-26'!$BD212)</f>
        <v>30</v>
      </c>
      <c r="BF212" s="49" t="str">
        <f>TEXT(' En tramite 23-26'!$BD212,"mmmm")</f>
        <v>diciembre</v>
      </c>
      <c r="BG212" s="44">
        <f>YEAR(' En tramite 23-26'!$BD212)</f>
        <v>1899</v>
      </c>
      <c r="BH212" s="53"/>
      <c r="BI212" s="13"/>
      <c r="BJ212" s="44"/>
      <c r="BK212" s="54"/>
      <c r="BL212" s="13"/>
      <c r="BM212" s="58"/>
    </row>
    <row r="213" ht="16.5" customHeight="1">
      <c r="A213" s="28" t="s">
        <v>1661</v>
      </c>
      <c r="B213" s="34"/>
      <c r="C213" s="13"/>
      <c r="D213" s="41" t="s">
        <v>1662</v>
      </c>
      <c r="E213" s="15" t="s">
        <v>1663</v>
      </c>
      <c r="F213" s="42" t="s">
        <v>1664</v>
      </c>
      <c r="G213" s="41">
        <v>4.422695445E9</v>
      </c>
      <c r="H213" s="47" t="s">
        <v>1665</v>
      </c>
      <c r="I213" s="41" t="s">
        <v>867</v>
      </c>
      <c r="J213" s="41" t="s">
        <v>73</v>
      </c>
      <c r="K213" s="41" t="s">
        <v>141</v>
      </c>
      <c r="L213" s="44" t="s">
        <v>200</v>
      </c>
      <c r="M213" s="44" t="s">
        <v>142</v>
      </c>
      <c r="N213" s="41" t="s">
        <v>201</v>
      </c>
      <c r="O213" s="41" t="s">
        <v>97</v>
      </c>
      <c r="P213" s="44" t="s">
        <v>78</v>
      </c>
      <c r="Q213" s="44">
        <v>4.4220961E9</v>
      </c>
      <c r="R213" s="44" t="s">
        <v>202</v>
      </c>
      <c r="S213" s="45" t="s">
        <v>879</v>
      </c>
      <c r="T213" s="46" t="s">
        <v>81</v>
      </c>
      <c r="U213" s="47" t="s">
        <v>100</v>
      </c>
      <c r="V213" s="95">
        <v>0.0</v>
      </c>
      <c r="W213" s="44"/>
      <c r="X213" s="44" t="s">
        <v>84</v>
      </c>
      <c r="Y213" s="56">
        <v>46163.0</v>
      </c>
      <c r="Z213" s="50">
        <v>46163.0</v>
      </c>
      <c r="AA213" s="163">
        <f>DAY(Tabla1[F. INICIO])</f>
        <v>21</v>
      </c>
      <c r="AB213" s="51" t="str">
        <f>TEXT(' En tramite 23-26'!$Z213,"mmmm")</f>
        <v>mayo</v>
      </c>
      <c r="AC213" s="166">
        <f>YEAR(' En tramite 23-26'!$Z213)</f>
        <v>2026</v>
      </c>
      <c r="AD213" s="44" t="s">
        <v>84</v>
      </c>
      <c r="AE213" s="49">
        <v>2.0</v>
      </c>
      <c r="AF213" s="55">
        <v>46163.0</v>
      </c>
      <c r="AG213" s="44"/>
      <c r="AH213" s="49"/>
      <c r="AI213" s="55"/>
      <c r="AJ213" s="44">
        <f>DAY(' En tramite 23-26'!$AI213)</f>
        <v>30</v>
      </c>
      <c r="AK213" s="44" t="str">
        <f>TEXT(' En tramite 23-26'!$AI213,"mmmm")</f>
        <v>diciembre</v>
      </c>
      <c r="AL213" s="44">
        <f>YEAR(' En tramite 23-26'!$Z213)</f>
        <v>2026</v>
      </c>
      <c r="AM213" s="44"/>
      <c r="AN213" s="49"/>
      <c r="AO213" s="55"/>
      <c r="AP213" s="44"/>
      <c r="AQ213" s="49"/>
      <c r="AR213" s="55"/>
      <c r="AS213" s="57">
        <f>' En tramite 23-26'!$AI213+45</f>
        <v>45</v>
      </c>
      <c r="AT213" s="44"/>
      <c r="AU213" s="44"/>
      <c r="AV213" s="44"/>
      <c r="AW213" s="49">
        <f>' En tramite 23-26'!$AS213+45</f>
        <v>90</v>
      </c>
      <c r="AX213" s="13"/>
      <c r="AY213" s="44"/>
      <c r="AZ213" s="44"/>
      <c r="BA213" s="55"/>
      <c r="BB213" s="44"/>
      <c r="BC213" s="12"/>
      <c r="BD213" s="55"/>
      <c r="BE213" s="44">
        <f>DAY(' En tramite 23-26'!$BD213)</f>
        <v>30</v>
      </c>
      <c r="BF213" s="49" t="str">
        <f>TEXT(' En tramite 23-26'!$BD213,"mmmm")</f>
        <v>diciembre</v>
      </c>
      <c r="BG213" s="44">
        <f>YEAR(' En tramite 23-26'!$BD213)</f>
        <v>1899</v>
      </c>
      <c r="BH213" s="53"/>
      <c r="BI213" s="13"/>
      <c r="BJ213" s="44"/>
      <c r="BK213" s="54"/>
      <c r="BL213" s="13"/>
      <c r="BM213" s="58"/>
    </row>
    <row r="214" ht="16.5" customHeight="1">
      <c r="A214" s="28" t="s">
        <v>1666</v>
      </c>
      <c r="B214" s="34"/>
      <c r="C214" s="13"/>
      <c r="D214" s="41" t="s">
        <v>1667</v>
      </c>
      <c r="E214" s="15" t="s">
        <v>1668</v>
      </c>
      <c r="F214" s="42" t="s">
        <v>1669</v>
      </c>
      <c r="G214" s="41">
        <v>4.425834485E9</v>
      </c>
      <c r="H214" s="47" t="s">
        <v>1670</v>
      </c>
      <c r="I214" s="41" t="s">
        <v>867</v>
      </c>
      <c r="J214" s="41" t="s">
        <v>73</v>
      </c>
      <c r="K214" s="41" t="s">
        <v>141</v>
      </c>
      <c r="L214" s="44" t="s">
        <v>200</v>
      </c>
      <c r="M214" s="44" t="s">
        <v>14</v>
      </c>
      <c r="N214" s="41" t="s">
        <v>201</v>
      </c>
      <c r="O214" s="41" t="s">
        <v>97</v>
      </c>
      <c r="P214" s="44" t="s">
        <v>78</v>
      </c>
      <c r="Q214" s="44">
        <v>4.4220961E9</v>
      </c>
      <c r="R214" s="44" t="s">
        <v>202</v>
      </c>
      <c r="S214" s="45" t="s">
        <v>879</v>
      </c>
      <c r="T214" s="46" t="s">
        <v>81</v>
      </c>
      <c r="U214" s="47" t="s">
        <v>100</v>
      </c>
      <c r="V214" s="95">
        <v>0.0</v>
      </c>
      <c r="W214" s="44"/>
      <c r="X214" s="44" t="s">
        <v>84</v>
      </c>
      <c r="Y214" s="56">
        <v>46163.0</v>
      </c>
      <c r="Z214" s="50">
        <v>46163.0</v>
      </c>
      <c r="AA214" s="163">
        <f>DAY(Tabla1[F. INICIO])</f>
        <v>21</v>
      </c>
      <c r="AB214" s="51" t="str">
        <f>TEXT(' En tramite 23-26'!$Z214,"mmmm")</f>
        <v>mayo</v>
      </c>
      <c r="AC214" s="166">
        <f>YEAR(' En tramite 23-26'!$Z214)</f>
        <v>2026</v>
      </c>
      <c r="AD214" s="44" t="s">
        <v>84</v>
      </c>
      <c r="AE214" s="49">
        <v>2.0</v>
      </c>
      <c r="AF214" s="55">
        <v>46163.0</v>
      </c>
      <c r="AG214" s="44"/>
      <c r="AH214" s="49"/>
      <c r="AI214" s="55"/>
      <c r="AJ214" s="44">
        <f>DAY(' En tramite 23-26'!$AI214)</f>
        <v>30</v>
      </c>
      <c r="AK214" s="44" t="str">
        <f>TEXT(' En tramite 23-26'!$AI214,"mmmm")</f>
        <v>diciembre</v>
      </c>
      <c r="AL214" s="44">
        <f>YEAR(' En tramite 23-26'!$Z214)</f>
        <v>2026</v>
      </c>
      <c r="AM214" s="44"/>
      <c r="AN214" s="49"/>
      <c r="AO214" s="55"/>
      <c r="AP214" s="44"/>
      <c r="AQ214" s="49"/>
      <c r="AR214" s="55"/>
      <c r="AS214" s="57">
        <f>' En tramite 23-26'!$AI214+45</f>
        <v>45</v>
      </c>
      <c r="AT214" s="44"/>
      <c r="AU214" s="44"/>
      <c r="AV214" s="44"/>
      <c r="AW214" s="49">
        <f>' En tramite 23-26'!$AS214+45</f>
        <v>90</v>
      </c>
      <c r="AX214" s="13"/>
      <c r="AY214" s="44"/>
      <c r="AZ214" s="44"/>
      <c r="BA214" s="55"/>
      <c r="BB214" s="44"/>
      <c r="BC214" s="12"/>
      <c r="BD214" s="55"/>
      <c r="BE214" s="44">
        <f>DAY(' En tramite 23-26'!$BD214)</f>
        <v>30</v>
      </c>
      <c r="BF214" s="49" t="str">
        <f>TEXT(' En tramite 23-26'!$BD214,"mmmm")</f>
        <v>diciembre</v>
      </c>
      <c r="BG214" s="44">
        <f>YEAR(' En tramite 23-26'!$BD214)</f>
        <v>1899</v>
      </c>
      <c r="BH214" s="53"/>
      <c r="BI214" s="13"/>
      <c r="BJ214" s="44"/>
      <c r="BK214" s="54"/>
      <c r="BL214" s="13"/>
      <c r="BM214" s="58"/>
    </row>
    <row r="215" ht="16.5" customHeight="1">
      <c r="A215" s="28" t="s">
        <v>1671</v>
      </c>
      <c r="B215" s="34"/>
      <c r="C215" s="13"/>
      <c r="D215" s="41" t="s">
        <v>1672</v>
      </c>
      <c r="E215" s="15" t="s">
        <v>1673</v>
      </c>
      <c r="F215" s="42" t="s">
        <v>1674</v>
      </c>
      <c r="G215" s="41">
        <v>4.461363788E9</v>
      </c>
      <c r="H215" s="47" t="s">
        <v>1675</v>
      </c>
      <c r="I215" s="41" t="s">
        <v>897</v>
      </c>
      <c r="J215" s="41" t="s">
        <v>109</v>
      </c>
      <c r="K215" s="41" t="s">
        <v>74</v>
      </c>
      <c r="L215" s="44" t="s">
        <v>200</v>
      </c>
      <c r="M215" s="44" t="s">
        <v>142</v>
      </c>
      <c r="N215" s="41" t="s">
        <v>726</v>
      </c>
      <c r="O215" s="41" t="s">
        <v>97</v>
      </c>
      <c r="P215" s="44" t="s">
        <v>78</v>
      </c>
      <c r="Q215" s="44">
        <v>4.421350214E9</v>
      </c>
      <c r="R215" s="44" t="s">
        <v>1638</v>
      </c>
      <c r="S215" s="45" t="s">
        <v>99</v>
      </c>
      <c r="T215" s="46" t="s">
        <v>81</v>
      </c>
      <c r="U215" s="47" t="s">
        <v>100</v>
      </c>
      <c r="V215" s="101">
        <v>1.0</v>
      </c>
      <c r="W215" s="111" t="s">
        <v>83</v>
      </c>
      <c r="X215" s="44" t="s">
        <v>84</v>
      </c>
      <c r="Y215" s="56">
        <v>2.0</v>
      </c>
      <c r="Z215" s="50">
        <v>45992.0</v>
      </c>
      <c r="AA215" s="163">
        <f>DAY(Tabla1[F. INICIO])</f>
        <v>1</v>
      </c>
      <c r="AB215" s="51" t="str">
        <f>TEXT(' En tramite 23-26'!$Z215,"mmmm")</f>
        <v>diciembre</v>
      </c>
      <c r="AC215" s="166">
        <f>YEAR(' En tramite 23-26'!$Z215)</f>
        <v>2025</v>
      </c>
      <c r="AD215" s="44" t="s">
        <v>84</v>
      </c>
      <c r="AE215" s="49">
        <v>2.0</v>
      </c>
      <c r="AF215" s="55">
        <v>45992.0</v>
      </c>
      <c r="AG215" s="44" t="s">
        <v>84</v>
      </c>
      <c r="AH215" s="49">
        <v>2.0</v>
      </c>
      <c r="AI215" s="55">
        <v>45992.0</v>
      </c>
      <c r="AJ215" s="44">
        <f>DAY(' En tramite 23-26'!$AI215)</f>
        <v>1</v>
      </c>
      <c r="AK215" s="44" t="str">
        <f>TEXT(' En tramite 23-26'!$AI215,"mmmm")</f>
        <v>diciembre</v>
      </c>
      <c r="AL215" s="44">
        <f>YEAR(' En tramite 23-26'!$Z215)</f>
        <v>2025</v>
      </c>
      <c r="AM215" s="44" t="s">
        <v>84</v>
      </c>
      <c r="AN215" s="49">
        <v>2.0</v>
      </c>
      <c r="AO215" s="55">
        <v>45992.0</v>
      </c>
      <c r="AP215" s="44"/>
      <c r="AQ215" s="49"/>
      <c r="AR215" s="55"/>
      <c r="AS215" s="57">
        <f>' En tramite 23-26'!$AI215+45</f>
        <v>46037</v>
      </c>
      <c r="AT215" s="44"/>
      <c r="AU215" s="44"/>
      <c r="AV215" s="44"/>
      <c r="AW215" s="49">
        <f>' En tramite 23-26'!$AS215+45</f>
        <v>46082</v>
      </c>
      <c r="AX215" s="13"/>
      <c r="AY215" s="44"/>
      <c r="AZ215" s="44"/>
      <c r="BA215" s="55"/>
      <c r="BB215" s="44"/>
      <c r="BC215" s="12"/>
      <c r="BD215" s="55"/>
      <c r="BE215" s="44">
        <f>DAY(' En tramite 23-26'!$BD215)</f>
        <v>30</v>
      </c>
      <c r="BF215" s="49" t="str">
        <f>TEXT(' En tramite 23-26'!$BD215,"mmmm")</f>
        <v>diciembre</v>
      </c>
      <c r="BG215" s="44">
        <f>YEAR(' En tramite 23-26'!$BD215)</f>
        <v>1899</v>
      </c>
      <c r="BH215" s="53"/>
      <c r="BI215" s="13"/>
      <c r="BJ215" s="44"/>
      <c r="BK215" s="54"/>
      <c r="BL215" s="13"/>
      <c r="BM215" s="58"/>
    </row>
    <row r="216" ht="16.5" customHeight="1">
      <c r="A216" s="28" t="s">
        <v>1676</v>
      </c>
      <c r="B216" s="34"/>
      <c r="C216" s="13"/>
      <c r="D216" s="41" t="s">
        <v>1677</v>
      </c>
      <c r="E216" s="15" t="s">
        <v>1678</v>
      </c>
      <c r="F216" s="42" t="s">
        <v>1679</v>
      </c>
      <c r="G216" s="41">
        <v>4.421377351E9</v>
      </c>
      <c r="H216" s="47" t="s">
        <v>1680</v>
      </c>
      <c r="I216" s="41" t="s">
        <v>985</v>
      </c>
      <c r="J216" s="41" t="s">
        <v>73</v>
      </c>
      <c r="K216" s="41" t="s">
        <v>74</v>
      </c>
      <c r="L216" s="44" t="s">
        <v>200</v>
      </c>
      <c r="M216" s="44" t="s">
        <v>14</v>
      </c>
      <c r="N216" s="41" t="s">
        <v>1681</v>
      </c>
      <c r="O216" s="41" t="s">
        <v>131</v>
      </c>
      <c r="P216" s="44" t="s">
        <v>78</v>
      </c>
      <c r="Q216" s="44">
        <v>4.422254754E9</v>
      </c>
      <c r="R216" s="44" t="s">
        <v>1682</v>
      </c>
      <c r="S216" s="45" t="s">
        <v>1683</v>
      </c>
      <c r="T216" s="46" t="s">
        <v>81</v>
      </c>
      <c r="U216" s="47" t="s">
        <v>82</v>
      </c>
      <c r="V216" s="95">
        <v>0.0</v>
      </c>
      <c r="W216" s="44"/>
      <c r="X216" s="44" t="s">
        <v>84</v>
      </c>
      <c r="Y216" s="56">
        <v>2.0</v>
      </c>
      <c r="Z216" s="50">
        <v>46164.0</v>
      </c>
      <c r="AA216" s="163">
        <f>DAY(Tabla1[F. INICIO])</f>
        <v>22</v>
      </c>
      <c r="AB216" s="51" t="str">
        <f>TEXT(' En tramite 23-26'!$Z216,"mmmm")</f>
        <v>mayo</v>
      </c>
      <c r="AC216" s="166">
        <f>YEAR(' En tramite 23-26'!$Z216)</f>
        <v>2026</v>
      </c>
      <c r="AD216" s="44" t="s">
        <v>84</v>
      </c>
      <c r="AE216" s="49">
        <v>2.0</v>
      </c>
      <c r="AF216" s="55">
        <v>46164.0</v>
      </c>
      <c r="AG216" s="44" t="s">
        <v>84</v>
      </c>
      <c r="AH216" s="49">
        <v>2.0</v>
      </c>
      <c r="AI216" s="55">
        <v>46167.0</v>
      </c>
      <c r="AJ216" s="44">
        <f>DAY(' En tramite 23-26'!$AI216)</f>
        <v>25</v>
      </c>
      <c r="AK216" s="44" t="str">
        <f>TEXT(' En tramite 23-26'!$AI216,"mmmm")</f>
        <v>mayo</v>
      </c>
      <c r="AL216" s="44">
        <f>YEAR(' En tramite 23-26'!$Z216)</f>
        <v>2026</v>
      </c>
      <c r="AM216" s="44"/>
      <c r="AN216" s="49"/>
      <c r="AO216" s="55"/>
      <c r="AP216" s="44"/>
      <c r="AQ216" s="49"/>
      <c r="AR216" s="55"/>
      <c r="AS216" s="57">
        <f>' En tramite 23-26'!$AI216+45</f>
        <v>46212</v>
      </c>
      <c r="AT216" s="44"/>
      <c r="AU216" s="44"/>
      <c r="AV216" s="44"/>
      <c r="AW216" s="49">
        <f>' En tramite 23-26'!$AS216+45</f>
        <v>46257</v>
      </c>
      <c r="AX216" s="13"/>
      <c r="AY216" s="44"/>
      <c r="AZ216" s="44"/>
      <c r="BA216" s="55"/>
      <c r="BB216" s="44"/>
      <c r="BC216" s="12"/>
      <c r="BD216" s="55"/>
      <c r="BE216" s="44">
        <f>DAY(' En tramite 23-26'!$BD216)</f>
        <v>30</v>
      </c>
      <c r="BF216" s="49" t="str">
        <f>TEXT(' En tramite 23-26'!$BD216,"mmmm")</f>
        <v>diciembre</v>
      </c>
      <c r="BG216" s="44">
        <f>YEAR(' En tramite 23-26'!$BD216)</f>
        <v>1899</v>
      </c>
      <c r="BH216" s="53"/>
      <c r="BI216" s="13"/>
      <c r="BJ216" s="44"/>
      <c r="BK216" s="54"/>
      <c r="BL216" s="13"/>
      <c r="BM216" s="58"/>
    </row>
    <row r="217" ht="16.5" customHeight="1">
      <c r="A217" s="28" t="s">
        <v>1684</v>
      </c>
      <c r="B217" s="34"/>
      <c r="C217" s="13"/>
      <c r="D217" s="41" t="s">
        <v>1685</v>
      </c>
      <c r="E217" s="15" t="s">
        <v>1686</v>
      </c>
      <c r="F217" s="42" t="s">
        <v>1687</v>
      </c>
      <c r="G217" s="41">
        <v>4.423950772E9</v>
      </c>
      <c r="H217" s="47" t="s">
        <v>1688</v>
      </c>
      <c r="I217" s="41" t="s">
        <v>857</v>
      </c>
      <c r="J217" s="41" t="s">
        <v>109</v>
      </c>
      <c r="K217" s="41" t="s">
        <v>155</v>
      </c>
      <c r="L217" s="44" t="s">
        <v>200</v>
      </c>
      <c r="M217" s="44" t="s">
        <v>14</v>
      </c>
      <c r="N217" s="41" t="s">
        <v>1689</v>
      </c>
      <c r="O217" s="41" t="s">
        <v>131</v>
      </c>
      <c r="P217" s="44" t="s">
        <v>78</v>
      </c>
      <c r="Q217" s="44">
        <v>4.461434339E9</v>
      </c>
      <c r="R217" s="44" t="s">
        <v>1690</v>
      </c>
      <c r="S217" s="45" t="s">
        <v>1691</v>
      </c>
      <c r="T217" s="46" t="s">
        <v>81</v>
      </c>
      <c r="U217" s="47" t="s">
        <v>100</v>
      </c>
      <c r="V217" s="95">
        <v>0.0</v>
      </c>
      <c r="W217" s="44"/>
      <c r="X217" s="44" t="s">
        <v>84</v>
      </c>
      <c r="Y217" s="56">
        <v>2.0</v>
      </c>
      <c r="Z217" s="50">
        <v>46167.0</v>
      </c>
      <c r="AA217" s="163">
        <f>DAY(Tabla1[F. INICIO])</f>
        <v>25</v>
      </c>
      <c r="AB217" s="51" t="str">
        <f>TEXT(' En tramite 23-26'!$Z217,"mmmm")</f>
        <v>mayo</v>
      </c>
      <c r="AC217" s="166">
        <f>YEAR(' En tramite 23-26'!$Z217)</f>
        <v>2026</v>
      </c>
      <c r="AD217" s="44" t="s">
        <v>84</v>
      </c>
      <c r="AE217" s="49">
        <v>2.0</v>
      </c>
      <c r="AF217" s="55">
        <v>46078.0</v>
      </c>
      <c r="AG217" s="44"/>
      <c r="AH217" s="49"/>
      <c r="AI217" s="55"/>
      <c r="AJ217" s="44">
        <f>DAY(' En tramite 23-26'!$AI217)</f>
        <v>30</v>
      </c>
      <c r="AK217" s="44" t="str">
        <f>TEXT(' En tramite 23-26'!$AI217,"mmmm")</f>
        <v>diciembre</v>
      </c>
      <c r="AL217" s="44">
        <f>YEAR(' En tramite 23-26'!$Z217)</f>
        <v>2026</v>
      </c>
      <c r="AM217" s="44"/>
      <c r="AN217" s="49"/>
      <c r="AO217" s="55"/>
      <c r="AP217" s="44"/>
      <c r="AQ217" s="49"/>
      <c r="AR217" s="55"/>
      <c r="AS217" s="57">
        <f>' En tramite 23-26'!$AI217+45</f>
        <v>45</v>
      </c>
      <c r="AT217" s="44"/>
      <c r="AU217" s="44"/>
      <c r="AV217" s="44"/>
      <c r="AW217" s="49">
        <f>' En tramite 23-26'!$AS217+45</f>
        <v>90</v>
      </c>
      <c r="AX217" s="13"/>
      <c r="AY217" s="44"/>
      <c r="AZ217" s="44"/>
      <c r="BA217" s="55"/>
      <c r="BB217" s="44"/>
      <c r="BC217" s="12"/>
      <c r="BD217" s="55"/>
      <c r="BE217" s="44">
        <f>DAY(' En tramite 23-26'!$BD217)</f>
        <v>30</v>
      </c>
      <c r="BF217" s="49" t="str">
        <f>TEXT(' En tramite 23-26'!$BD217,"mmmm")</f>
        <v>diciembre</v>
      </c>
      <c r="BG217" s="44">
        <f>YEAR(' En tramite 23-26'!$BD217)</f>
        <v>1899</v>
      </c>
      <c r="BH217" s="53"/>
      <c r="BI217" s="13"/>
      <c r="BJ217" s="44"/>
      <c r="BK217" s="54"/>
      <c r="BL217" s="13"/>
      <c r="BM217" s="58"/>
    </row>
    <row r="218" ht="16.5" customHeight="1">
      <c r="A218" s="28" t="s">
        <v>1692</v>
      </c>
      <c r="B218" s="34"/>
      <c r="C218" s="13"/>
      <c r="D218" s="41" t="s">
        <v>1693</v>
      </c>
      <c r="E218" s="15" t="s">
        <v>1694</v>
      </c>
      <c r="F218" s="42" t="s">
        <v>1695</v>
      </c>
      <c r="G218" s="41">
        <v>4.428784913E9</v>
      </c>
      <c r="H218" s="47" t="s">
        <v>1696</v>
      </c>
      <c r="I218" s="41" t="s">
        <v>857</v>
      </c>
      <c r="J218" s="41" t="s">
        <v>73</v>
      </c>
      <c r="K218" s="41" t="s">
        <v>155</v>
      </c>
      <c r="L218" s="44" t="s">
        <v>200</v>
      </c>
      <c r="M218" s="44" t="s">
        <v>14</v>
      </c>
      <c r="N218" s="41" t="s">
        <v>1697</v>
      </c>
      <c r="O218" s="41" t="s">
        <v>211</v>
      </c>
      <c r="P218" s="44" t="s">
        <v>78</v>
      </c>
      <c r="Q218" s="44">
        <v>4.421865809E9</v>
      </c>
      <c r="R218" s="44" t="s">
        <v>1698</v>
      </c>
      <c r="S218" s="45" t="s">
        <v>1699</v>
      </c>
      <c r="T218" s="46" t="s">
        <v>81</v>
      </c>
      <c r="U218" s="47" t="s">
        <v>82</v>
      </c>
      <c r="V218" s="95">
        <v>0.0</v>
      </c>
      <c r="W218" s="44"/>
      <c r="X218" s="44" t="s">
        <v>84</v>
      </c>
      <c r="Y218" s="56">
        <v>2.0</v>
      </c>
      <c r="Z218" s="50">
        <v>46169.0</v>
      </c>
      <c r="AA218" s="163">
        <f>DAY(Tabla1[F. INICIO])</f>
        <v>27</v>
      </c>
      <c r="AB218" s="51" t="str">
        <f>TEXT(' En tramite 23-26'!$Z218,"mmmm")</f>
        <v>mayo</v>
      </c>
      <c r="AC218" s="166">
        <f>YEAR(' En tramite 23-26'!$Z218)</f>
        <v>2026</v>
      </c>
      <c r="AD218" s="44" t="s">
        <v>84</v>
      </c>
      <c r="AE218" s="49">
        <v>2.0</v>
      </c>
      <c r="AF218" s="55">
        <v>46169.0</v>
      </c>
      <c r="AG218" s="44"/>
      <c r="AH218" s="49"/>
      <c r="AI218" s="55"/>
      <c r="AJ218" s="44">
        <f>DAY(' En tramite 23-26'!$AI218)</f>
        <v>30</v>
      </c>
      <c r="AK218" s="44" t="str">
        <f>TEXT(' En tramite 23-26'!$AI218,"mmmm")</f>
        <v>diciembre</v>
      </c>
      <c r="AL218" s="44">
        <f>YEAR(' En tramite 23-26'!$Z218)</f>
        <v>2026</v>
      </c>
      <c r="AM218" s="44"/>
      <c r="AN218" s="49"/>
      <c r="AO218" s="55"/>
      <c r="AP218" s="44"/>
      <c r="AQ218" s="49"/>
      <c r="AR218" s="55"/>
      <c r="AS218" s="57">
        <f>' En tramite 23-26'!$AI218+45</f>
        <v>45</v>
      </c>
      <c r="AT218" s="44"/>
      <c r="AU218" s="44"/>
      <c r="AV218" s="44"/>
      <c r="AW218" s="49">
        <f>' En tramite 23-26'!$AS218+45</f>
        <v>90</v>
      </c>
      <c r="AX218" s="13"/>
      <c r="AY218" s="44"/>
      <c r="AZ218" s="44"/>
      <c r="BA218" s="55"/>
      <c r="BB218" s="44"/>
      <c r="BC218" s="12"/>
      <c r="BD218" s="55"/>
      <c r="BE218" s="44">
        <f>DAY(' En tramite 23-26'!$BD218)</f>
        <v>30</v>
      </c>
      <c r="BF218" s="49" t="str">
        <f>TEXT(' En tramite 23-26'!$BD218,"mmmm")</f>
        <v>diciembre</v>
      </c>
      <c r="BG218" s="44">
        <f>YEAR(' En tramite 23-26'!$BD218)</f>
        <v>1899</v>
      </c>
      <c r="BH218" s="53"/>
      <c r="BI218" s="13"/>
      <c r="BJ218" s="44"/>
      <c r="BK218" s="54"/>
      <c r="BL218" s="13"/>
      <c r="BM218" s="58"/>
    </row>
    <row r="219" ht="16.5" customHeight="1">
      <c r="A219" s="28" t="s">
        <v>1700</v>
      </c>
      <c r="B219" s="34"/>
      <c r="C219" s="13"/>
      <c r="D219" s="41" t="s">
        <v>1701</v>
      </c>
      <c r="E219" s="15" t="s">
        <v>1702</v>
      </c>
      <c r="F219" s="42" t="s">
        <v>1703</v>
      </c>
      <c r="G219" s="41">
        <v>4.425950225E9</v>
      </c>
      <c r="H219" s="47" t="s">
        <v>1704</v>
      </c>
      <c r="I219" s="41" t="s">
        <v>985</v>
      </c>
      <c r="J219" s="41" t="s">
        <v>73</v>
      </c>
      <c r="K219" s="41" t="s">
        <v>74</v>
      </c>
      <c r="L219" s="44" t="s">
        <v>200</v>
      </c>
      <c r="M219" s="44" t="s">
        <v>14</v>
      </c>
      <c r="N219" s="41" t="s">
        <v>1705</v>
      </c>
      <c r="O219" s="41" t="s">
        <v>77</v>
      </c>
      <c r="P219" s="44" t="s">
        <v>78</v>
      </c>
      <c r="Q219" s="44">
        <v>4.421366529E9</v>
      </c>
      <c r="R219" s="44" t="s">
        <v>1706</v>
      </c>
      <c r="S219" s="45" t="s">
        <v>1707</v>
      </c>
      <c r="T219" s="46" t="s">
        <v>81</v>
      </c>
      <c r="U219" s="47" t="s">
        <v>100</v>
      </c>
      <c r="V219" s="95">
        <v>2.0</v>
      </c>
      <c r="W219" s="111">
        <v>2000.0</v>
      </c>
      <c r="X219" s="44" t="s">
        <v>84</v>
      </c>
      <c r="Y219" s="56">
        <v>2.0</v>
      </c>
      <c r="Z219" s="50">
        <v>46168.0</v>
      </c>
      <c r="AA219" s="163">
        <f>DAY(Tabla1[F. INICIO])</f>
        <v>26</v>
      </c>
      <c r="AB219" s="51" t="str">
        <f>TEXT(' En tramite 23-26'!$Z219,"mmmm")</f>
        <v>mayo</v>
      </c>
      <c r="AC219" s="166">
        <f>YEAR(' En tramite 23-26'!$Z219)</f>
        <v>2026</v>
      </c>
      <c r="AD219" s="44" t="s">
        <v>84</v>
      </c>
      <c r="AE219" s="49">
        <v>2.0</v>
      </c>
      <c r="AF219" s="55">
        <v>46168.0</v>
      </c>
      <c r="AG219" s="44" t="s">
        <v>84</v>
      </c>
      <c r="AH219" s="49">
        <v>2.0</v>
      </c>
      <c r="AI219" s="55">
        <v>46168.0</v>
      </c>
      <c r="AJ219" s="44">
        <f>DAY(' En tramite 23-26'!$AI219)</f>
        <v>26</v>
      </c>
      <c r="AK219" s="44" t="str">
        <f>TEXT(' En tramite 23-26'!$AI219,"mmmm")</f>
        <v>mayo</v>
      </c>
      <c r="AL219" s="44">
        <f>YEAR(' En tramite 23-26'!$Z219)</f>
        <v>2026</v>
      </c>
      <c r="AM219" s="44" t="s">
        <v>84</v>
      </c>
      <c r="AN219" s="49">
        <v>2.0</v>
      </c>
      <c r="AO219" s="55">
        <v>46168.0</v>
      </c>
      <c r="AP219" s="44"/>
      <c r="AQ219" s="49"/>
      <c r="AR219" s="55"/>
      <c r="AS219" s="57">
        <f>' En tramite 23-26'!$AI219+45</f>
        <v>46213</v>
      </c>
      <c r="AT219" s="44"/>
      <c r="AU219" s="44"/>
      <c r="AV219" s="44"/>
      <c r="AW219" s="49">
        <f>' En tramite 23-26'!$AS219+45</f>
        <v>46258</v>
      </c>
      <c r="AX219" s="13"/>
      <c r="AY219" s="44"/>
      <c r="AZ219" s="44"/>
      <c r="BA219" s="55"/>
      <c r="BB219" s="44"/>
      <c r="BC219" s="12"/>
      <c r="BD219" s="55"/>
      <c r="BE219" s="44">
        <f>DAY(' En tramite 23-26'!$BD219)</f>
        <v>30</v>
      </c>
      <c r="BF219" s="49" t="str">
        <f>TEXT(' En tramite 23-26'!$BD219,"mmmm")</f>
        <v>diciembre</v>
      </c>
      <c r="BG219" s="44">
        <f>YEAR(' En tramite 23-26'!$BD219)</f>
        <v>1899</v>
      </c>
      <c r="BH219" s="53"/>
      <c r="BI219" s="13"/>
      <c r="BJ219" s="44"/>
      <c r="BK219" s="54"/>
      <c r="BL219" s="13"/>
      <c r="BM219" s="58"/>
    </row>
    <row r="220" ht="16.5" customHeight="1">
      <c r="A220" s="28" t="s">
        <v>1708</v>
      </c>
      <c r="B220" s="34"/>
      <c r="C220" s="13"/>
      <c r="D220" s="41" t="s">
        <v>1709</v>
      </c>
      <c r="E220" s="15" t="s">
        <v>1710</v>
      </c>
      <c r="F220" s="42" t="s">
        <v>1711</v>
      </c>
      <c r="G220" s="41">
        <v>4.42528338E9</v>
      </c>
      <c r="H220" s="47" t="s">
        <v>1712</v>
      </c>
      <c r="I220" s="41" t="s">
        <v>857</v>
      </c>
      <c r="J220" s="41" t="s">
        <v>73</v>
      </c>
      <c r="K220" s="41" t="s">
        <v>155</v>
      </c>
      <c r="L220" s="44" t="s">
        <v>200</v>
      </c>
      <c r="M220" s="44" t="s">
        <v>14</v>
      </c>
      <c r="N220" s="41" t="s">
        <v>1713</v>
      </c>
      <c r="O220" s="41" t="s">
        <v>77</v>
      </c>
      <c r="P220" s="44" t="s">
        <v>78</v>
      </c>
      <c r="Q220" s="44">
        <v>4.4236816E9</v>
      </c>
      <c r="R220" s="44" t="s">
        <v>1714</v>
      </c>
      <c r="S220" s="45" t="s">
        <v>1715</v>
      </c>
      <c r="T220" s="46" t="s">
        <v>81</v>
      </c>
      <c r="U220" s="47" t="s">
        <v>82</v>
      </c>
      <c r="V220" s="95">
        <v>0.0</v>
      </c>
      <c r="W220" s="44"/>
      <c r="X220" s="44" t="s">
        <v>84</v>
      </c>
      <c r="Y220" s="56">
        <v>2.0</v>
      </c>
      <c r="Z220" s="50">
        <v>46169.0</v>
      </c>
      <c r="AA220" s="163">
        <f>DAY(Tabla1[F. INICIO])</f>
        <v>27</v>
      </c>
      <c r="AB220" s="51" t="str">
        <f>TEXT(' En tramite 23-26'!$Z220,"mmmm")</f>
        <v>mayo</v>
      </c>
      <c r="AC220" s="166">
        <f>YEAR(' En tramite 23-26'!$Z220)</f>
        <v>2026</v>
      </c>
      <c r="AD220" s="44" t="s">
        <v>84</v>
      </c>
      <c r="AE220" s="49">
        <v>2.0</v>
      </c>
      <c r="AF220" s="55">
        <v>46171.0</v>
      </c>
      <c r="AG220" s="44"/>
      <c r="AH220" s="49"/>
      <c r="AI220" s="55"/>
      <c r="AJ220" s="44">
        <f>DAY(' En tramite 23-26'!$AI220)</f>
        <v>30</v>
      </c>
      <c r="AK220" s="44" t="str">
        <f>TEXT(' En tramite 23-26'!$AI220,"mmmm")</f>
        <v>diciembre</v>
      </c>
      <c r="AL220" s="44">
        <f>YEAR(' En tramite 23-26'!$Z220)</f>
        <v>2026</v>
      </c>
      <c r="AM220" s="44"/>
      <c r="AN220" s="49"/>
      <c r="AO220" s="55"/>
      <c r="AP220" s="44"/>
      <c r="AQ220" s="49"/>
      <c r="AR220" s="55"/>
      <c r="AS220" s="57">
        <f>' En tramite 23-26'!$AI220+45</f>
        <v>45</v>
      </c>
      <c r="AT220" s="44"/>
      <c r="AU220" s="44"/>
      <c r="AV220" s="44"/>
      <c r="AW220" s="49">
        <f>' En tramite 23-26'!$AS220+45</f>
        <v>90</v>
      </c>
      <c r="AX220" s="13"/>
      <c r="AY220" s="44"/>
      <c r="AZ220" s="44"/>
      <c r="BA220" s="55"/>
      <c r="BB220" s="44"/>
      <c r="BC220" s="12"/>
      <c r="BD220" s="55"/>
      <c r="BE220" s="44">
        <f>DAY(' En tramite 23-26'!$BD220)</f>
        <v>30</v>
      </c>
      <c r="BF220" s="49" t="str">
        <f>TEXT(' En tramite 23-26'!$BD220,"mmmm")</f>
        <v>diciembre</v>
      </c>
      <c r="BG220" s="44">
        <f>YEAR(' En tramite 23-26'!$BD220)</f>
        <v>1899</v>
      </c>
      <c r="BH220" s="53"/>
      <c r="BI220" s="13"/>
      <c r="BJ220" s="44"/>
      <c r="BK220" s="54"/>
      <c r="BL220" s="13"/>
      <c r="BM220" s="58"/>
    </row>
    <row r="221" ht="16.5" customHeight="1">
      <c r="A221" s="28" t="s">
        <v>1716</v>
      </c>
      <c r="B221" s="34"/>
      <c r="C221" s="13"/>
      <c r="D221" s="41" t="s">
        <v>1717</v>
      </c>
      <c r="E221" s="15" t="s">
        <v>1718</v>
      </c>
      <c r="F221" s="42" t="s">
        <v>1719</v>
      </c>
      <c r="G221" s="41">
        <v>4.427723411E9</v>
      </c>
      <c r="H221" s="47" t="s">
        <v>1720</v>
      </c>
      <c r="I221" s="41" t="s">
        <v>839</v>
      </c>
      <c r="J221" s="41" t="s">
        <v>109</v>
      </c>
      <c r="K221" s="41" t="s">
        <v>129</v>
      </c>
      <c r="L221" s="44" t="s">
        <v>200</v>
      </c>
      <c r="M221" s="44" t="s">
        <v>14</v>
      </c>
      <c r="N221" s="41" t="s">
        <v>1721</v>
      </c>
      <c r="O221" s="41" t="s">
        <v>131</v>
      </c>
      <c r="P221" s="44" t="s">
        <v>78</v>
      </c>
      <c r="Q221" s="44">
        <v>4.437122302E9</v>
      </c>
      <c r="R221" s="44" t="s">
        <v>1722</v>
      </c>
      <c r="S221" s="45" t="s">
        <v>1723</v>
      </c>
      <c r="T221" s="46" t="s">
        <v>81</v>
      </c>
      <c r="U221" s="47" t="s">
        <v>82</v>
      </c>
      <c r="V221" s="95">
        <v>0.0</v>
      </c>
      <c r="W221" s="44" t="s">
        <v>83</v>
      </c>
      <c r="X221" s="44" t="s">
        <v>84</v>
      </c>
      <c r="Y221" s="56">
        <v>2.0</v>
      </c>
      <c r="Z221" s="50">
        <v>46170.0</v>
      </c>
      <c r="AA221" s="163">
        <f>DAY(Tabla1[F. INICIO])</f>
        <v>28</v>
      </c>
      <c r="AB221" s="51" t="str">
        <f>TEXT(' En tramite 23-26'!$Z221,"mmmm")</f>
        <v>mayo</v>
      </c>
      <c r="AC221" s="166">
        <f>YEAR(' En tramite 23-26'!$Z221)</f>
        <v>2026</v>
      </c>
      <c r="AD221" s="44" t="s">
        <v>84</v>
      </c>
      <c r="AE221" s="49">
        <v>2.0</v>
      </c>
      <c r="AF221" s="55">
        <v>46170.0</v>
      </c>
      <c r="AG221" s="44" t="s">
        <v>84</v>
      </c>
      <c r="AH221" s="49">
        <v>2.0</v>
      </c>
      <c r="AI221" s="55">
        <v>46170.0</v>
      </c>
      <c r="AJ221" s="44">
        <f>DAY(' En tramite 23-26'!$AI221)</f>
        <v>28</v>
      </c>
      <c r="AK221" s="44" t="str">
        <f>TEXT(' En tramite 23-26'!$AI221,"mmmm")</f>
        <v>mayo</v>
      </c>
      <c r="AL221" s="44">
        <f>YEAR(' En tramite 23-26'!$Z221)</f>
        <v>2026</v>
      </c>
      <c r="AM221" s="44" t="s">
        <v>84</v>
      </c>
      <c r="AN221" s="49">
        <v>2.0</v>
      </c>
      <c r="AO221" s="55">
        <v>46170.0</v>
      </c>
      <c r="AP221" s="44" t="s">
        <v>84</v>
      </c>
      <c r="AQ221" s="49">
        <v>2.0</v>
      </c>
      <c r="AR221" s="55">
        <v>46212.0</v>
      </c>
      <c r="AS221" s="57">
        <f>' En tramite 23-26'!$AI221+45</f>
        <v>46215</v>
      </c>
      <c r="AT221" s="44" t="s">
        <v>85</v>
      </c>
      <c r="AU221" s="44"/>
      <c r="AV221" s="44"/>
      <c r="AW221" s="49">
        <f>' En tramite 23-26'!$AS221+45</f>
        <v>46260</v>
      </c>
      <c r="AX221" s="13"/>
      <c r="AY221" s="44"/>
      <c r="AZ221" s="44"/>
      <c r="BA221" s="55"/>
      <c r="BB221" s="44"/>
      <c r="BC221" s="12"/>
      <c r="BD221" s="55"/>
      <c r="BE221" s="44">
        <f>DAY(' En tramite 23-26'!$BD221)</f>
        <v>30</v>
      </c>
      <c r="BF221" s="49" t="str">
        <f>TEXT(' En tramite 23-26'!$BD221,"mmmm")</f>
        <v>diciembre</v>
      </c>
      <c r="BG221" s="44">
        <f>YEAR(' En tramite 23-26'!$BD221)</f>
        <v>1899</v>
      </c>
      <c r="BH221" s="53"/>
      <c r="BI221" s="13"/>
      <c r="BJ221" s="44"/>
      <c r="BK221" s="54"/>
      <c r="BL221" s="13"/>
      <c r="BM221" s="58"/>
    </row>
    <row r="222" ht="16.5" customHeight="1">
      <c r="A222" s="28" t="s">
        <v>1724</v>
      </c>
      <c r="B222" s="34"/>
      <c r="C222" s="13"/>
      <c r="D222" s="41" t="s">
        <v>1725</v>
      </c>
      <c r="E222" s="15" t="s">
        <v>1726</v>
      </c>
      <c r="F222" s="42" t="s">
        <v>1727</v>
      </c>
      <c r="G222" s="41">
        <v>4.427718768E9</v>
      </c>
      <c r="H222" s="47" t="s">
        <v>1728</v>
      </c>
      <c r="I222" s="41" t="s">
        <v>985</v>
      </c>
      <c r="J222" s="41" t="s">
        <v>73</v>
      </c>
      <c r="K222" s="41" t="s">
        <v>74</v>
      </c>
      <c r="L222" s="44" t="s">
        <v>200</v>
      </c>
      <c r="M222" s="44" t="s">
        <v>14</v>
      </c>
      <c r="N222" s="41" t="s">
        <v>1705</v>
      </c>
      <c r="O222" s="41" t="s">
        <v>131</v>
      </c>
      <c r="P222" s="44" t="s">
        <v>78</v>
      </c>
      <c r="Q222" s="44">
        <v>4.421366524E9</v>
      </c>
      <c r="R222" s="44" t="s">
        <v>1729</v>
      </c>
      <c r="S222" s="45" t="s">
        <v>1707</v>
      </c>
      <c r="T222" s="46" t="s">
        <v>81</v>
      </c>
      <c r="U222" s="47" t="s">
        <v>100</v>
      </c>
      <c r="V222" s="95">
        <v>2.0</v>
      </c>
      <c r="W222" s="111">
        <v>2000.0</v>
      </c>
      <c r="X222" s="44" t="s">
        <v>84</v>
      </c>
      <c r="Y222" s="56">
        <v>2.0</v>
      </c>
      <c r="Z222" s="50">
        <v>46168.0</v>
      </c>
      <c r="AA222" s="163">
        <f>DAY(Tabla1[F. INICIO])</f>
        <v>26</v>
      </c>
      <c r="AB222" s="51" t="str">
        <f>TEXT(' En tramite 23-26'!$Z222,"mmmm")</f>
        <v>mayo</v>
      </c>
      <c r="AC222" s="166">
        <f>YEAR(' En tramite 23-26'!$Z222)</f>
        <v>2026</v>
      </c>
      <c r="AD222" s="44" t="s">
        <v>84</v>
      </c>
      <c r="AE222" s="49">
        <v>2.0</v>
      </c>
      <c r="AF222" s="55">
        <v>46168.0</v>
      </c>
      <c r="AG222" s="44" t="s">
        <v>84</v>
      </c>
      <c r="AH222" s="49">
        <v>2.0</v>
      </c>
      <c r="AI222" s="55">
        <v>46168.0</v>
      </c>
      <c r="AJ222" s="44">
        <f>DAY(' En tramite 23-26'!$AI222)</f>
        <v>26</v>
      </c>
      <c r="AK222" s="44" t="str">
        <f>TEXT(' En tramite 23-26'!$AI222,"mmmm")</f>
        <v>mayo</v>
      </c>
      <c r="AL222" s="44">
        <f>YEAR(' En tramite 23-26'!$Z222)</f>
        <v>2026</v>
      </c>
      <c r="AM222" s="44" t="s">
        <v>84</v>
      </c>
      <c r="AN222" s="49">
        <v>2.0</v>
      </c>
      <c r="AO222" s="55">
        <v>46168.0</v>
      </c>
      <c r="AP222" s="44"/>
      <c r="AQ222" s="49"/>
      <c r="AR222" s="55"/>
      <c r="AS222" s="57">
        <f>' En tramite 23-26'!$AI222+45</f>
        <v>46213</v>
      </c>
      <c r="AT222" s="44"/>
      <c r="AU222" s="44"/>
      <c r="AV222" s="44"/>
      <c r="AW222" s="49">
        <f>' En tramite 23-26'!$AS222+45</f>
        <v>46258</v>
      </c>
      <c r="AX222" s="13"/>
      <c r="AY222" s="44"/>
      <c r="AZ222" s="44"/>
      <c r="BA222" s="55"/>
      <c r="BB222" s="44"/>
      <c r="BC222" s="12"/>
      <c r="BD222" s="55"/>
      <c r="BE222" s="44">
        <f>DAY(' En tramite 23-26'!$BD222)</f>
        <v>30</v>
      </c>
      <c r="BF222" s="49" t="str">
        <f>TEXT(' En tramite 23-26'!$BD222,"mmmm")</f>
        <v>diciembre</v>
      </c>
      <c r="BG222" s="44">
        <f>YEAR(' En tramite 23-26'!$BD222)</f>
        <v>1899</v>
      </c>
      <c r="BH222" s="53"/>
      <c r="BI222" s="13"/>
      <c r="BJ222" s="44"/>
      <c r="BK222" s="54"/>
      <c r="BL222" s="13"/>
      <c r="BM222" s="58"/>
    </row>
    <row r="223" ht="16.5" customHeight="1">
      <c r="A223" s="28" t="s">
        <v>1730</v>
      </c>
      <c r="B223" s="34"/>
      <c r="C223" s="13"/>
      <c r="D223" s="62" t="s">
        <v>1731</v>
      </c>
      <c r="E223" s="15" t="s">
        <v>1732</v>
      </c>
      <c r="F223" s="63" t="s">
        <v>1733</v>
      </c>
      <c r="G223" s="62">
        <v>4.421360561E9</v>
      </c>
      <c r="H223" s="70" t="s">
        <v>1734</v>
      </c>
      <c r="I223" s="62" t="s">
        <v>1735</v>
      </c>
      <c r="J223" s="62" t="s">
        <v>73</v>
      </c>
      <c r="K223" s="62" t="s">
        <v>74</v>
      </c>
      <c r="L223" s="136" t="s">
        <v>75</v>
      </c>
      <c r="M223" s="67" t="s">
        <v>142</v>
      </c>
      <c r="N223" s="62" t="s">
        <v>355</v>
      </c>
      <c r="O223" s="62" t="s">
        <v>97</v>
      </c>
      <c r="P223" s="67" t="s">
        <v>78</v>
      </c>
      <c r="Q223" s="67">
        <v>4.422045604E9</v>
      </c>
      <c r="R223" s="67" t="s">
        <v>1736</v>
      </c>
      <c r="S223" s="68" t="s">
        <v>1737</v>
      </c>
      <c r="T223" s="69" t="s">
        <v>81</v>
      </c>
      <c r="U223" s="70" t="s">
        <v>100</v>
      </c>
      <c r="V223" s="98">
        <v>1.0</v>
      </c>
      <c r="W223" s="67" t="s">
        <v>83</v>
      </c>
      <c r="X223" s="67" t="s">
        <v>84</v>
      </c>
      <c r="Y223" s="85">
        <v>2.0</v>
      </c>
      <c r="Z223" s="74">
        <v>46101.0</v>
      </c>
      <c r="AA223" s="164">
        <f>DAY(Tabla1[F. INICIO])</f>
        <v>20</v>
      </c>
      <c r="AB223" s="75" t="str">
        <f>TEXT(' En tramite 23-26'!$Z223,"mmmm")</f>
        <v>marzo</v>
      </c>
      <c r="AC223" s="165">
        <f>YEAR(' En tramite 23-26'!$Z223)</f>
        <v>2026</v>
      </c>
      <c r="AD223" s="67" t="s">
        <v>84</v>
      </c>
      <c r="AE223" s="73">
        <v>2.0</v>
      </c>
      <c r="AF223" s="84">
        <v>46101.0</v>
      </c>
      <c r="AG223" s="67" t="s">
        <v>84</v>
      </c>
      <c r="AH223" s="73">
        <v>2.0</v>
      </c>
      <c r="AI223" s="84">
        <v>46101.0</v>
      </c>
      <c r="AJ223" s="67">
        <f>DAY(' En tramite 23-26'!$AI223)</f>
        <v>20</v>
      </c>
      <c r="AK223" s="67" t="str">
        <f>TEXT(' En tramite 23-26'!$AI223,"mmmm")</f>
        <v>marzo</v>
      </c>
      <c r="AL223" s="67">
        <f>YEAR(' En tramite 23-26'!$Z223)</f>
        <v>2026</v>
      </c>
      <c r="AM223" s="67" t="s">
        <v>84</v>
      </c>
      <c r="AN223" s="73">
        <v>2.0</v>
      </c>
      <c r="AO223" s="84">
        <v>46101.0</v>
      </c>
      <c r="AP223" s="67" t="s">
        <v>84</v>
      </c>
      <c r="AQ223" s="73">
        <v>2.0</v>
      </c>
      <c r="AR223" s="84">
        <v>46147.0</v>
      </c>
      <c r="AS223" s="73">
        <f>' En tramite 23-26'!$AI223+45</f>
        <v>46146</v>
      </c>
      <c r="AT223" s="67" t="s">
        <v>85</v>
      </c>
      <c r="AU223" s="67" t="s">
        <v>84</v>
      </c>
      <c r="AV223" s="67">
        <v>2.0</v>
      </c>
      <c r="AW223" s="73">
        <v>46192.0</v>
      </c>
      <c r="AX223" s="66" t="s">
        <v>86</v>
      </c>
      <c r="AY223" s="67" t="s">
        <v>84</v>
      </c>
      <c r="AZ223" s="67">
        <v>2.0</v>
      </c>
      <c r="BA223" s="84">
        <v>46192.0</v>
      </c>
      <c r="BB223" s="67" t="s">
        <v>84</v>
      </c>
      <c r="BC223" s="76">
        <v>2.0</v>
      </c>
      <c r="BD223" s="84">
        <v>46192.0</v>
      </c>
      <c r="BE223" s="67">
        <f>DAY(' En tramite 23-26'!$BD223)</f>
        <v>19</v>
      </c>
      <c r="BF223" s="73" t="str">
        <f>TEXT(' En tramite 23-26'!$BD223,"mmmm")</f>
        <v>junio</v>
      </c>
      <c r="BG223" s="67">
        <f>YEAR(' En tramite 23-26'!$BD223)</f>
        <v>2026</v>
      </c>
      <c r="BH223" s="77"/>
      <c r="BI223" s="66"/>
      <c r="BJ223" s="78" t="s">
        <v>274</v>
      </c>
      <c r="BK223" s="79" t="s">
        <v>275</v>
      </c>
      <c r="BL223" s="66"/>
      <c r="BM223" s="80"/>
    </row>
    <row r="224" ht="16.5" customHeight="1">
      <c r="A224" s="28" t="s">
        <v>1738</v>
      </c>
      <c r="B224" s="34"/>
      <c r="C224" s="13"/>
      <c r="D224" s="62" t="s">
        <v>1739</v>
      </c>
      <c r="E224" s="15" t="s">
        <v>1740</v>
      </c>
      <c r="F224" s="63" t="s">
        <v>1741</v>
      </c>
      <c r="G224" s="62">
        <v>4.424502886E9</v>
      </c>
      <c r="H224" s="70" t="s">
        <v>1742</v>
      </c>
      <c r="I224" s="62" t="s">
        <v>1735</v>
      </c>
      <c r="J224" s="62" t="s">
        <v>73</v>
      </c>
      <c r="K224" s="62" t="s">
        <v>74</v>
      </c>
      <c r="L224" s="136" t="s">
        <v>75</v>
      </c>
      <c r="M224" s="67" t="s">
        <v>142</v>
      </c>
      <c r="N224" s="62" t="s">
        <v>355</v>
      </c>
      <c r="O224" s="62" t="s">
        <v>97</v>
      </c>
      <c r="P224" s="67" t="s">
        <v>78</v>
      </c>
      <c r="Q224" s="67">
        <v>4.422045604E9</v>
      </c>
      <c r="R224" s="67" t="s">
        <v>1736</v>
      </c>
      <c r="S224" s="68" t="s">
        <v>1737</v>
      </c>
      <c r="T224" s="69" t="s">
        <v>81</v>
      </c>
      <c r="U224" s="70" t="s">
        <v>100</v>
      </c>
      <c r="V224" s="98">
        <v>1.0</v>
      </c>
      <c r="W224" s="67" t="s">
        <v>83</v>
      </c>
      <c r="X224" s="67" t="s">
        <v>84</v>
      </c>
      <c r="Y224" s="85">
        <v>2.0</v>
      </c>
      <c r="Z224" s="74">
        <v>46101.0</v>
      </c>
      <c r="AA224" s="164">
        <f>DAY(Tabla1[F. INICIO])</f>
        <v>20</v>
      </c>
      <c r="AB224" s="75" t="str">
        <f>TEXT(' En tramite 23-26'!$Z224,"mmmm")</f>
        <v>marzo</v>
      </c>
      <c r="AC224" s="165">
        <f>YEAR(' En tramite 23-26'!$Z224)</f>
        <v>2026</v>
      </c>
      <c r="AD224" s="67" t="s">
        <v>84</v>
      </c>
      <c r="AE224" s="73">
        <v>2.0</v>
      </c>
      <c r="AF224" s="84">
        <v>46101.0</v>
      </c>
      <c r="AG224" s="67" t="s">
        <v>84</v>
      </c>
      <c r="AH224" s="73">
        <v>2.0</v>
      </c>
      <c r="AI224" s="84">
        <v>46101.0</v>
      </c>
      <c r="AJ224" s="67">
        <f>DAY(' En tramite 23-26'!$AI224)</f>
        <v>20</v>
      </c>
      <c r="AK224" s="67" t="str">
        <f>TEXT(' En tramite 23-26'!$AI224,"mmmm")</f>
        <v>marzo</v>
      </c>
      <c r="AL224" s="67">
        <f>YEAR(' En tramite 23-26'!$Z224)</f>
        <v>2026</v>
      </c>
      <c r="AM224" s="67" t="s">
        <v>84</v>
      </c>
      <c r="AN224" s="73">
        <v>2.0</v>
      </c>
      <c r="AO224" s="84">
        <v>46101.0</v>
      </c>
      <c r="AP224" s="67" t="s">
        <v>84</v>
      </c>
      <c r="AQ224" s="73">
        <v>2.0</v>
      </c>
      <c r="AR224" s="84">
        <v>46147.0</v>
      </c>
      <c r="AS224" s="73">
        <f>' En tramite 23-26'!$AI224+45</f>
        <v>46146</v>
      </c>
      <c r="AT224" s="67" t="s">
        <v>85</v>
      </c>
      <c r="AU224" s="67" t="s">
        <v>84</v>
      </c>
      <c r="AV224" s="67">
        <v>2.0</v>
      </c>
      <c r="AW224" s="73">
        <v>46192.0</v>
      </c>
      <c r="AX224" s="66" t="s">
        <v>86</v>
      </c>
      <c r="AY224" s="67" t="s">
        <v>84</v>
      </c>
      <c r="AZ224" s="67">
        <v>2.0</v>
      </c>
      <c r="BA224" s="84">
        <v>46192.0</v>
      </c>
      <c r="BB224" s="67"/>
      <c r="BC224" s="76"/>
      <c r="BD224" s="84"/>
      <c r="BE224" s="67">
        <f>DAY(' En tramite 23-26'!$BD224)</f>
        <v>30</v>
      </c>
      <c r="BF224" s="73" t="str">
        <f>TEXT(' En tramite 23-26'!$BD224,"mmmm")</f>
        <v>diciembre</v>
      </c>
      <c r="BG224" s="67">
        <f>YEAR(' En tramite 23-26'!$BD224)</f>
        <v>1899</v>
      </c>
      <c r="BH224" s="77"/>
      <c r="BI224" s="66"/>
      <c r="BJ224" s="78" t="s">
        <v>274</v>
      </c>
      <c r="BK224" s="79" t="s">
        <v>275</v>
      </c>
      <c r="BL224" s="66"/>
      <c r="BM224" s="80"/>
    </row>
    <row r="225" ht="16.5" customHeight="1">
      <c r="A225" s="28" t="s">
        <v>1743</v>
      </c>
      <c r="B225" s="34"/>
      <c r="C225" s="13"/>
      <c r="D225" s="62" t="s">
        <v>1744</v>
      </c>
      <c r="E225" s="15" t="s">
        <v>1745</v>
      </c>
      <c r="F225" s="63" t="s">
        <v>1746</v>
      </c>
      <c r="G225" s="62">
        <v>4.42143475E9</v>
      </c>
      <c r="H225" s="70" t="s">
        <v>1747</v>
      </c>
      <c r="I225" s="62" t="s">
        <v>1735</v>
      </c>
      <c r="J225" s="62" t="s">
        <v>73</v>
      </c>
      <c r="K225" s="62" t="s">
        <v>74</v>
      </c>
      <c r="L225" s="136" t="s">
        <v>75</v>
      </c>
      <c r="M225" s="67" t="s">
        <v>142</v>
      </c>
      <c r="N225" s="62" t="s">
        <v>355</v>
      </c>
      <c r="O225" s="62" t="s">
        <v>97</v>
      </c>
      <c r="P225" s="67" t="s">
        <v>78</v>
      </c>
      <c r="Q225" s="67">
        <v>4.422045604E9</v>
      </c>
      <c r="R225" s="67" t="s">
        <v>1736</v>
      </c>
      <c r="S225" s="68" t="s">
        <v>1737</v>
      </c>
      <c r="T225" s="69" t="s">
        <v>81</v>
      </c>
      <c r="U225" s="70" t="s">
        <v>100</v>
      </c>
      <c r="V225" s="98">
        <v>1.0</v>
      </c>
      <c r="W225" s="67" t="s">
        <v>83</v>
      </c>
      <c r="X225" s="67" t="s">
        <v>84</v>
      </c>
      <c r="Y225" s="85">
        <v>2.0</v>
      </c>
      <c r="Z225" s="74">
        <v>46101.0</v>
      </c>
      <c r="AA225" s="164">
        <f>DAY(Tabla1[F. INICIO])</f>
        <v>20</v>
      </c>
      <c r="AB225" s="75" t="str">
        <f>TEXT(' En tramite 23-26'!$Z225,"mmmm")</f>
        <v>marzo</v>
      </c>
      <c r="AC225" s="165">
        <f>YEAR(' En tramite 23-26'!$Z225)</f>
        <v>2026</v>
      </c>
      <c r="AD225" s="67" t="s">
        <v>84</v>
      </c>
      <c r="AE225" s="73">
        <v>2.0</v>
      </c>
      <c r="AF225" s="84">
        <v>46101.0</v>
      </c>
      <c r="AG225" s="67" t="s">
        <v>84</v>
      </c>
      <c r="AH225" s="73">
        <v>2.0</v>
      </c>
      <c r="AI225" s="84">
        <v>46101.0</v>
      </c>
      <c r="AJ225" s="67">
        <f>DAY(' En tramite 23-26'!$AI225)</f>
        <v>20</v>
      </c>
      <c r="AK225" s="67" t="str">
        <f>TEXT(' En tramite 23-26'!$AI225,"mmmm")</f>
        <v>marzo</v>
      </c>
      <c r="AL225" s="67">
        <f>YEAR(' En tramite 23-26'!$Z225)</f>
        <v>2026</v>
      </c>
      <c r="AM225" s="67" t="s">
        <v>84</v>
      </c>
      <c r="AN225" s="73">
        <v>2.0</v>
      </c>
      <c r="AO225" s="84">
        <v>46101.0</v>
      </c>
      <c r="AP225" s="67" t="s">
        <v>84</v>
      </c>
      <c r="AQ225" s="73">
        <v>2.0</v>
      </c>
      <c r="AR225" s="84">
        <v>46147.0</v>
      </c>
      <c r="AS225" s="73">
        <f>' En tramite 23-26'!$AI225+45</f>
        <v>46146</v>
      </c>
      <c r="AT225" s="67" t="s">
        <v>85</v>
      </c>
      <c r="AU225" s="67" t="s">
        <v>84</v>
      </c>
      <c r="AV225" s="67">
        <v>2.0</v>
      </c>
      <c r="AW225" s="73">
        <v>46192.0</v>
      </c>
      <c r="AX225" s="66" t="s">
        <v>86</v>
      </c>
      <c r="AY225" s="67" t="s">
        <v>84</v>
      </c>
      <c r="AZ225" s="67">
        <v>2.0</v>
      </c>
      <c r="BA225" s="84">
        <v>46192.0</v>
      </c>
      <c r="BB225" s="67" t="s">
        <v>84</v>
      </c>
      <c r="BC225" s="76">
        <v>2.0</v>
      </c>
      <c r="BD225" s="84">
        <v>46192.0</v>
      </c>
      <c r="BE225" s="67">
        <f>DAY(' En tramite 23-26'!$BD225)</f>
        <v>19</v>
      </c>
      <c r="BF225" s="73" t="str">
        <f>TEXT(' En tramite 23-26'!$BD225,"mmmm")</f>
        <v>junio</v>
      </c>
      <c r="BG225" s="67">
        <f>YEAR(' En tramite 23-26'!$BD225)</f>
        <v>2026</v>
      </c>
      <c r="BH225" s="77"/>
      <c r="BI225" s="66"/>
      <c r="BJ225" s="78" t="s">
        <v>274</v>
      </c>
      <c r="BK225" s="79" t="s">
        <v>275</v>
      </c>
      <c r="BL225" s="66"/>
      <c r="BM225" s="80"/>
    </row>
    <row r="226" ht="16.5" customHeight="1">
      <c r="A226" s="28" t="s">
        <v>1748</v>
      </c>
      <c r="B226" s="34"/>
      <c r="C226" s="13"/>
      <c r="D226" s="62" t="s">
        <v>1749</v>
      </c>
      <c r="E226" s="15" t="s">
        <v>1750</v>
      </c>
      <c r="F226" s="63" t="s">
        <v>1751</v>
      </c>
      <c r="G226" s="62">
        <v>4.428340608E9</v>
      </c>
      <c r="H226" s="70" t="s">
        <v>1752</v>
      </c>
      <c r="I226" s="62" t="s">
        <v>1735</v>
      </c>
      <c r="J226" s="62" t="s">
        <v>73</v>
      </c>
      <c r="K226" s="62" t="s">
        <v>74</v>
      </c>
      <c r="L226" s="136" t="s">
        <v>75</v>
      </c>
      <c r="M226" s="67" t="s">
        <v>142</v>
      </c>
      <c r="N226" s="62" t="s">
        <v>355</v>
      </c>
      <c r="O226" s="62" t="s">
        <v>97</v>
      </c>
      <c r="P226" s="67" t="s">
        <v>78</v>
      </c>
      <c r="Q226" s="67">
        <v>4.422045604E9</v>
      </c>
      <c r="R226" s="67" t="s">
        <v>1736</v>
      </c>
      <c r="S226" s="68" t="s">
        <v>1737</v>
      </c>
      <c r="T226" s="69" t="s">
        <v>81</v>
      </c>
      <c r="U226" s="70" t="s">
        <v>100</v>
      </c>
      <c r="V226" s="98">
        <v>1.0</v>
      </c>
      <c r="W226" s="67" t="s">
        <v>83</v>
      </c>
      <c r="X226" s="67" t="s">
        <v>84</v>
      </c>
      <c r="Y226" s="85">
        <v>2.0</v>
      </c>
      <c r="Z226" s="74">
        <v>46101.0</v>
      </c>
      <c r="AA226" s="164">
        <f>DAY(Tabla1[F. INICIO])</f>
        <v>20</v>
      </c>
      <c r="AB226" s="75" t="str">
        <f>TEXT(' En tramite 23-26'!$Z226,"mmmm")</f>
        <v>marzo</v>
      </c>
      <c r="AC226" s="165">
        <f>YEAR(' En tramite 23-26'!$Z226)</f>
        <v>2026</v>
      </c>
      <c r="AD226" s="67" t="s">
        <v>84</v>
      </c>
      <c r="AE226" s="73">
        <v>2.0</v>
      </c>
      <c r="AF226" s="84">
        <v>46101.0</v>
      </c>
      <c r="AG226" s="67" t="s">
        <v>84</v>
      </c>
      <c r="AH226" s="73">
        <v>2.0</v>
      </c>
      <c r="AI226" s="84">
        <v>46101.0</v>
      </c>
      <c r="AJ226" s="67">
        <f>DAY(' En tramite 23-26'!$AI226)</f>
        <v>20</v>
      </c>
      <c r="AK226" s="67" t="str">
        <f>TEXT(' En tramite 23-26'!$AI226,"mmmm")</f>
        <v>marzo</v>
      </c>
      <c r="AL226" s="67">
        <f>YEAR(' En tramite 23-26'!$Z226)</f>
        <v>2026</v>
      </c>
      <c r="AM226" s="67" t="s">
        <v>84</v>
      </c>
      <c r="AN226" s="73">
        <v>2.0</v>
      </c>
      <c r="AO226" s="84">
        <v>46101.0</v>
      </c>
      <c r="AP226" s="67" t="s">
        <v>84</v>
      </c>
      <c r="AQ226" s="73">
        <v>2.0</v>
      </c>
      <c r="AR226" s="84">
        <v>46147.0</v>
      </c>
      <c r="AS226" s="73">
        <f>' En tramite 23-26'!$AI226+45</f>
        <v>46146</v>
      </c>
      <c r="AT226" s="67" t="s">
        <v>85</v>
      </c>
      <c r="AU226" s="67" t="s">
        <v>84</v>
      </c>
      <c r="AV226" s="67">
        <v>2.0</v>
      </c>
      <c r="AW226" s="73">
        <v>46192.0</v>
      </c>
      <c r="AX226" s="66" t="s">
        <v>86</v>
      </c>
      <c r="AY226" s="67" t="s">
        <v>84</v>
      </c>
      <c r="AZ226" s="67">
        <v>2.0</v>
      </c>
      <c r="BA226" s="84">
        <v>46192.0</v>
      </c>
      <c r="BB226" s="67" t="s">
        <v>84</v>
      </c>
      <c r="BC226" s="76">
        <v>2.0</v>
      </c>
      <c r="BD226" s="84">
        <v>46192.0</v>
      </c>
      <c r="BE226" s="67">
        <f>DAY(' En tramite 23-26'!$BD226)</f>
        <v>19</v>
      </c>
      <c r="BF226" s="73" t="str">
        <f>TEXT(' En tramite 23-26'!$BD226,"mmmm")</f>
        <v>junio</v>
      </c>
      <c r="BG226" s="67">
        <f>YEAR(' En tramite 23-26'!$BD226)</f>
        <v>2026</v>
      </c>
      <c r="BH226" s="77"/>
      <c r="BI226" s="66"/>
      <c r="BJ226" s="78" t="s">
        <v>274</v>
      </c>
      <c r="BK226" s="79" t="s">
        <v>275</v>
      </c>
      <c r="BL226" s="66"/>
      <c r="BM226" s="80"/>
    </row>
    <row r="227" ht="16.5" customHeight="1">
      <c r="A227" s="28" t="s">
        <v>1753</v>
      </c>
      <c r="B227" s="34"/>
      <c r="C227" s="13"/>
      <c r="D227" s="62" t="s">
        <v>1754</v>
      </c>
      <c r="E227" s="15" t="s">
        <v>1755</v>
      </c>
      <c r="F227" s="63" t="s">
        <v>1756</v>
      </c>
      <c r="G227" s="62">
        <v>4.42152119E9</v>
      </c>
      <c r="H227" s="70" t="s">
        <v>1757</v>
      </c>
      <c r="I227" s="62" t="s">
        <v>1735</v>
      </c>
      <c r="J227" s="62" t="s">
        <v>73</v>
      </c>
      <c r="K227" s="62" t="s">
        <v>74</v>
      </c>
      <c r="L227" s="136" t="s">
        <v>75</v>
      </c>
      <c r="M227" s="67" t="s">
        <v>142</v>
      </c>
      <c r="N227" s="62" t="s">
        <v>355</v>
      </c>
      <c r="O227" s="62" t="s">
        <v>97</v>
      </c>
      <c r="P227" s="67" t="s">
        <v>78</v>
      </c>
      <c r="Q227" s="67">
        <v>4.422045604E9</v>
      </c>
      <c r="R227" s="67" t="s">
        <v>1736</v>
      </c>
      <c r="S227" s="68" t="s">
        <v>1737</v>
      </c>
      <c r="T227" s="69" t="s">
        <v>81</v>
      </c>
      <c r="U227" s="70" t="s">
        <v>100</v>
      </c>
      <c r="V227" s="98">
        <v>1.0</v>
      </c>
      <c r="W227" s="67" t="s">
        <v>83</v>
      </c>
      <c r="X227" s="67" t="s">
        <v>84</v>
      </c>
      <c r="Y227" s="85">
        <v>2.0</v>
      </c>
      <c r="Z227" s="74">
        <v>46101.0</v>
      </c>
      <c r="AA227" s="164">
        <f>DAY(Tabla1[F. INICIO])</f>
        <v>20</v>
      </c>
      <c r="AB227" s="75" t="str">
        <f>TEXT(' En tramite 23-26'!$Z227,"mmmm")</f>
        <v>marzo</v>
      </c>
      <c r="AC227" s="165">
        <f>YEAR(' En tramite 23-26'!$Z227)</f>
        <v>2026</v>
      </c>
      <c r="AD227" s="67" t="s">
        <v>84</v>
      </c>
      <c r="AE227" s="73">
        <v>2.0</v>
      </c>
      <c r="AF227" s="84">
        <v>46101.0</v>
      </c>
      <c r="AG227" s="67" t="s">
        <v>84</v>
      </c>
      <c r="AH227" s="73">
        <v>2.0</v>
      </c>
      <c r="AI227" s="84">
        <v>46101.0</v>
      </c>
      <c r="AJ227" s="67">
        <f>DAY(' En tramite 23-26'!$AI227)</f>
        <v>20</v>
      </c>
      <c r="AK227" s="67" t="str">
        <f>TEXT(' En tramite 23-26'!$AI227,"mmmm")</f>
        <v>marzo</v>
      </c>
      <c r="AL227" s="67">
        <f>YEAR(' En tramite 23-26'!$Z227)</f>
        <v>2026</v>
      </c>
      <c r="AM227" s="67" t="s">
        <v>84</v>
      </c>
      <c r="AN227" s="73">
        <v>2.0</v>
      </c>
      <c r="AO227" s="84">
        <v>46101.0</v>
      </c>
      <c r="AP227" s="67" t="s">
        <v>84</v>
      </c>
      <c r="AQ227" s="73">
        <v>2.0</v>
      </c>
      <c r="AR227" s="84">
        <v>46147.0</v>
      </c>
      <c r="AS227" s="73">
        <f>' En tramite 23-26'!$AI227+45</f>
        <v>46146</v>
      </c>
      <c r="AT227" s="67" t="s">
        <v>85</v>
      </c>
      <c r="AU227" s="67" t="s">
        <v>84</v>
      </c>
      <c r="AV227" s="67">
        <v>2.0</v>
      </c>
      <c r="AW227" s="73">
        <v>46192.0</v>
      </c>
      <c r="AX227" s="66" t="s">
        <v>86</v>
      </c>
      <c r="AY227" s="67"/>
      <c r="AZ227" s="67"/>
      <c r="BA227" s="84"/>
      <c r="BB227" s="67" t="s">
        <v>84</v>
      </c>
      <c r="BC227" s="76">
        <v>2.0</v>
      </c>
      <c r="BD227" s="84">
        <v>46192.0</v>
      </c>
      <c r="BE227" s="67">
        <f>DAY(' En tramite 23-26'!$BD227)</f>
        <v>19</v>
      </c>
      <c r="BF227" s="73" t="str">
        <f>TEXT(' En tramite 23-26'!$BD227,"mmmm")</f>
        <v>junio</v>
      </c>
      <c r="BG227" s="67">
        <f>YEAR(' En tramite 23-26'!$BD227)</f>
        <v>2026</v>
      </c>
      <c r="BH227" s="77"/>
      <c r="BI227" s="66"/>
      <c r="BJ227" s="78" t="s">
        <v>274</v>
      </c>
      <c r="BK227" s="79" t="s">
        <v>275</v>
      </c>
      <c r="BL227" s="66"/>
      <c r="BM227" s="80"/>
    </row>
    <row r="228" ht="16.5" customHeight="1">
      <c r="A228" s="28" t="s">
        <v>1758</v>
      </c>
      <c r="B228" s="34"/>
      <c r="C228" s="13"/>
      <c r="D228" s="62" t="s">
        <v>1110</v>
      </c>
      <c r="E228" s="15" t="s">
        <v>1111</v>
      </c>
      <c r="F228" s="63" t="s">
        <v>1112</v>
      </c>
      <c r="G228" s="62">
        <v>4.421301518E9</v>
      </c>
      <c r="H228" s="70" t="s">
        <v>1113</v>
      </c>
      <c r="I228" s="62" t="s">
        <v>1735</v>
      </c>
      <c r="J228" s="62" t="s">
        <v>73</v>
      </c>
      <c r="K228" s="62" t="s">
        <v>74</v>
      </c>
      <c r="L228" s="136" t="s">
        <v>75</v>
      </c>
      <c r="M228" s="67" t="s">
        <v>142</v>
      </c>
      <c r="N228" s="62" t="s">
        <v>355</v>
      </c>
      <c r="O228" s="62" t="s">
        <v>97</v>
      </c>
      <c r="P228" s="67" t="s">
        <v>78</v>
      </c>
      <c r="Q228" s="67">
        <v>4.422045604E9</v>
      </c>
      <c r="R228" s="67" t="s">
        <v>1736</v>
      </c>
      <c r="S228" s="68" t="s">
        <v>1737</v>
      </c>
      <c r="T228" s="69" t="s">
        <v>81</v>
      </c>
      <c r="U228" s="70" t="s">
        <v>100</v>
      </c>
      <c r="V228" s="98">
        <v>1.0</v>
      </c>
      <c r="W228" s="67" t="s">
        <v>83</v>
      </c>
      <c r="X228" s="67" t="s">
        <v>84</v>
      </c>
      <c r="Y228" s="85">
        <v>2.0</v>
      </c>
      <c r="Z228" s="74">
        <v>46101.0</v>
      </c>
      <c r="AA228" s="164">
        <f>DAY(Tabla1[F. INICIO])</f>
        <v>20</v>
      </c>
      <c r="AB228" s="75" t="str">
        <f>TEXT(' En tramite 23-26'!$Z228,"mmmm")</f>
        <v>marzo</v>
      </c>
      <c r="AC228" s="165">
        <f>YEAR(' En tramite 23-26'!$Z228)</f>
        <v>2026</v>
      </c>
      <c r="AD228" s="67" t="s">
        <v>84</v>
      </c>
      <c r="AE228" s="73">
        <v>2.0</v>
      </c>
      <c r="AF228" s="84">
        <v>46101.0</v>
      </c>
      <c r="AG228" s="67" t="s">
        <v>84</v>
      </c>
      <c r="AH228" s="73">
        <v>2.0</v>
      </c>
      <c r="AI228" s="84">
        <v>46101.0</v>
      </c>
      <c r="AJ228" s="67">
        <f>DAY(' En tramite 23-26'!$AI228)</f>
        <v>20</v>
      </c>
      <c r="AK228" s="67" t="str">
        <f>TEXT(' En tramite 23-26'!$AI228,"mmmm")</f>
        <v>marzo</v>
      </c>
      <c r="AL228" s="67">
        <f>YEAR(' En tramite 23-26'!$Z228)</f>
        <v>2026</v>
      </c>
      <c r="AM228" s="67" t="s">
        <v>84</v>
      </c>
      <c r="AN228" s="73">
        <v>2.0</v>
      </c>
      <c r="AO228" s="84">
        <v>46101.0</v>
      </c>
      <c r="AP228" s="67" t="s">
        <v>84</v>
      </c>
      <c r="AQ228" s="73">
        <v>2.0</v>
      </c>
      <c r="AR228" s="84">
        <v>46147.0</v>
      </c>
      <c r="AS228" s="73">
        <f>' En tramite 23-26'!$AI228+45</f>
        <v>46146</v>
      </c>
      <c r="AT228" s="67" t="s">
        <v>85</v>
      </c>
      <c r="AU228" s="67" t="s">
        <v>84</v>
      </c>
      <c r="AV228" s="67">
        <v>2.0</v>
      </c>
      <c r="AW228" s="73">
        <v>46192.0</v>
      </c>
      <c r="AX228" s="66" t="s">
        <v>86</v>
      </c>
      <c r="AY228" s="67" t="s">
        <v>84</v>
      </c>
      <c r="AZ228" s="67">
        <v>2.0</v>
      </c>
      <c r="BA228" s="84">
        <v>46192.0</v>
      </c>
      <c r="BB228" s="67" t="s">
        <v>84</v>
      </c>
      <c r="BC228" s="76">
        <v>2.0</v>
      </c>
      <c r="BD228" s="84">
        <v>46192.0</v>
      </c>
      <c r="BE228" s="67">
        <f>DAY(' En tramite 23-26'!$BD228)</f>
        <v>19</v>
      </c>
      <c r="BF228" s="73" t="str">
        <f>TEXT(' En tramite 23-26'!$BD228,"mmmm")</f>
        <v>junio</v>
      </c>
      <c r="BG228" s="67">
        <f>YEAR(' En tramite 23-26'!$BD228)</f>
        <v>2026</v>
      </c>
      <c r="BH228" s="77"/>
      <c r="BI228" s="66"/>
      <c r="BJ228" s="78" t="s">
        <v>274</v>
      </c>
      <c r="BK228" s="79" t="s">
        <v>275</v>
      </c>
      <c r="BL228" s="66"/>
      <c r="BM228" s="80"/>
    </row>
    <row r="229" ht="16.5" customHeight="1">
      <c r="A229" s="28" t="s">
        <v>1759</v>
      </c>
      <c r="B229" s="34"/>
      <c r="C229" s="13"/>
      <c r="D229" s="62" t="s">
        <v>938</v>
      </c>
      <c r="E229" s="15" t="s">
        <v>939</v>
      </c>
      <c r="F229" s="63" t="s">
        <v>940</v>
      </c>
      <c r="G229" s="62">
        <v>4.462383981E9</v>
      </c>
      <c r="H229" s="70" t="s">
        <v>941</v>
      </c>
      <c r="I229" s="62" t="s">
        <v>1735</v>
      </c>
      <c r="J229" s="62" t="s">
        <v>73</v>
      </c>
      <c r="K229" s="62" t="s">
        <v>74</v>
      </c>
      <c r="L229" s="136" t="s">
        <v>75</v>
      </c>
      <c r="M229" s="67" t="s">
        <v>142</v>
      </c>
      <c r="N229" s="62" t="s">
        <v>355</v>
      </c>
      <c r="O229" s="62" t="s">
        <v>97</v>
      </c>
      <c r="P229" s="67" t="s">
        <v>78</v>
      </c>
      <c r="Q229" s="67">
        <v>4.422045604E9</v>
      </c>
      <c r="R229" s="67" t="s">
        <v>1736</v>
      </c>
      <c r="S229" s="68" t="s">
        <v>1737</v>
      </c>
      <c r="T229" s="69" t="s">
        <v>81</v>
      </c>
      <c r="U229" s="70" t="s">
        <v>100</v>
      </c>
      <c r="V229" s="98">
        <v>1.0</v>
      </c>
      <c r="W229" s="67" t="s">
        <v>83</v>
      </c>
      <c r="X229" s="67" t="s">
        <v>84</v>
      </c>
      <c r="Y229" s="85">
        <v>2.0</v>
      </c>
      <c r="Z229" s="74">
        <v>46101.0</v>
      </c>
      <c r="AA229" s="164">
        <f>DAY(Tabla1[F. INICIO])</f>
        <v>20</v>
      </c>
      <c r="AB229" s="75" t="str">
        <f>TEXT(' En tramite 23-26'!$Z229,"mmmm")</f>
        <v>marzo</v>
      </c>
      <c r="AC229" s="165">
        <f>YEAR(' En tramite 23-26'!$Z229)</f>
        <v>2026</v>
      </c>
      <c r="AD229" s="67" t="s">
        <v>84</v>
      </c>
      <c r="AE229" s="73">
        <v>2.0</v>
      </c>
      <c r="AF229" s="84">
        <v>46101.0</v>
      </c>
      <c r="AG229" s="67" t="s">
        <v>84</v>
      </c>
      <c r="AH229" s="73">
        <v>2.0</v>
      </c>
      <c r="AI229" s="84">
        <v>46101.0</v>
      </c>
      <c r="AJ229" s="67">
        <f>DAY(' En tramite 23-26'!$AI229)</f>
        <v>20</v>
      </c>
      <c r="AK229" s="67" t="str">
        <f>TEXT(' En tramite 23-26'!$AI229,"mmmm")</f>
        <v>marzo</v>
      </c>
      <c r="AL229" s="67">
        <f>YEAR(' En tramite 23-26'!$Z229)</f>
        <v>2026</v>
      </c>
      <c r="AM229" s="67" t="s">
        <v>84</v>
      </c>
      <c r="AN229" s="73">
        <v>2.0</v>
      </c>
      <c r="AO229" s="84">
        <v>46101.0</v>
      </c>
      <c r="AP229" s="67" t="s">
        <v>84</v>
      </c>
      <c r="AQ229" s="73">
        <v>2.0</v>
      </c>
      <c r="AR229" s="84">
        <v>46147.0</v>
      </c>
      <c r="AS229" s="73">
        <f>' En tramite 23-26'!$AI229+45</f>
        <v>46146</v>
      </c>
      <c r="AT229" s="67" t="s">
        <v>85</v>
      </c>
      <c r="AU229" s="67" t="s">
        <v>84</v>
      </c>
      <c r="AV229" s="67">
        <v>2.0</v>
      </c>
      <c r="AW229" s="73">
        <v>46192.0</v>
      </c>
      <c r="AX229" s="66" t="s">
        <v>86</v>
      </c>
      <c r="AY229" s="67" t="s">
        <v>84</v>
      </c>
      <c r="AZ229" s="67">
        <v>2.0</v>
      </c>
      <c r="BA229" s="84">
        <v>46192.0</v>
      </c>
      <c r="BB229" s="67" t="s">
        <v>84</v>
      </c>
      <c r="BC229" s="76">
        <v>2.0</v>
      </c>
      <c r="BD229" s="84">
        <v>46192.0</v>
      </c>
      <c r="BE229" s="67">
        <f>DAY(' En tramite 23-26'!$BD229)</f>
        <v>19</v>
      </c>
      <c r="BF229" s="73" t="str">
        <f>TEXT(' En tramite 23-26'!$BD229,"mmmm")</f>
        <v>junio</v>
      </c>
      <c r="BG229" s="67">
        <f>YEAR(' En tramite 23-26'!$BD229)</f>
        <v>2026</v>
      </c>
      <c r="BH229" s="77"/>
      <c r="BI229" s="66"/>
      <c r="BJ229" s="78" t="s">
        <v>274</v>
      </c>
      <c r="BK229" s="79" t="s">
        <v>275</v>
      </c>
      <c r="BL229" s="66"/>
      <c r="BM229" s="80"/>
    </row>
    <row r="230" ht="16.5" customHeight="1">
      <c r="A230" s="28" t="s">
        <v>1760</v>
      </c>
      <c r="B230" s="34"/>
      <c r="C230" s="13"/>
      <c r="D230" s="62" t="s">
        <v>1761</v>
      </c>
      <c r="E230" s="15" t="s">
        <v>1762</v>
      </c>
      <c r="F230" s="63" t="s">
        <v>1763</v>
      </c>
      <c r="G230" s="62">
        <v>4.463139523E9</v>
      </c>
      <c r="H230" s="70" t="s">
        <v>1764</v>
      </c>
      <c r="I230" s="62" t="s">
        <v>1735</v>
      </c>
      <c r="J230" s="62" t="s">
        <v>73</v>
      </c>
      <c r="K230" s="62" t="s">
        <v>74</v>
      </c>
      <c r="L230" s="136" t="s">
        <v>75</v>
      </c>
      <c r="M230" s="67" t="s">
        <v>142</v>
      </c>
      <c r="N230" s="62" t="s">
        <v>355</v>
      </c>
      <c r="O230" s="62" t="s">
        <v>97</v>
      </c>
      <c r="P230" s="67" t="s">
        <v>78</v>
      </c>
      <c r="Q230" s="67">
        <v>4.422045604E9</v>
      </c>
      <c r="R230" s="67" t="s">
        <v>1736</v>
      </c>
      <c r="S230" s="68" t="s">
        <v>1737</v>
      </c>
      <c r="T230" s="69" t="s">
        <v>81</v>
      </c>
      <c r="U230" s="70" t="s">
        <v>100</v>
      </c>
      <c r="V230" s="98">
        <v>1.0</v>
      </c>
      <c r="W230" s="67" t="s">
        <v>83</v>
      </c>
      <c r="X230" s="67" t="s">
        <v>84</v>
      </c>
      <c r="Y230" s="85">
        <v>2.0</v>
      </c>
      <c r="Z230" s="74">
        <v>46101.0</v>
      </c>
      <c r="AA230" s="164">
        <f>DAY(Tabla1[F. INICIO])</f>
        <v>20</v>
      </c>
      <c r="AB230" s="75" t="str">
        <f>TEXT(' En tramite 23-26'!$Z230,"mmmm")</f>
        <v>marzo</v>
      </c>
      <c r="AC230" s="165">
        <f>YEAR(' En tramite 23-26'!$Z230)</f>
        <v>2026</v>
      </c>
      <c r="AD230" s="67" t="s">
        <v>84</v>
      </c>
      <c r="AE230" s="73">
        <v>2.0</v>
      </c>
      <c r="AF230" s="84">
        <v>46101.0</v>
      </c>
      <c r="AG230" s="67" t="s">
        <v>84</v>
      </c>
      <c r="AH230" s="73">
        <v>2.0</v>
      </c>
      <c r="AI230" s="84">
        <v>46101.0</v>
      </c>
      <c r="AJ230" s="67">
        <f>DAY(' En tramite 23-26'!$AI230)</f>
        <v>20</v>
      </c>
      <c r="AK230" s="67" t="str">
        <f>TEXT(' En tramite 23-26'!$AI230,"mmmm")</f>
        <v>marzo</v>
      </c>
      <c r="AL230" s="67">
        <f>YEAR(' En tramite 23-26'!$Z230)</f>
        <v>2026</v>
      </c>
      <c r="AM230" s="67" t="s">
        <v>84</v>
      </c>
      <c r="AN230" s="73">
        <v>2.0</v>
      </c>
      <c r="AO230" s="84">
        <v>46101.0</v>
      </c>
      <c r="AP230" s="67" t="s">
        <v>84</v>
      </c>
      <c r="AQ230" s="73">
        <v>2.0</v>
      </c>
      <c r="AR230" s="84">
        <v>46147.0</v>
      </c>
      <c r="AS230" s="73">
        <f>' En tramite 23-26'!$AI230+45</f>
        <v>46146</v>
      </c>
      <c r="AT230" s="67" t="s">
        <v>85</v>
      </c>
      <c r="AU230" s="67" t="s">
        <v>84</v>
      </c>
      <c r="AV230" s="67">
        <v>2.0</v>
      </c>
      <c r="AW230" s="73">
        <v>46191.0</v>
      </c>
      <c r="AX230" s="66" t="s">
        <v>86</v>
      </c>
      <c r="AY230" s="67" t="s">
        <v>84</v>
      </c>
      <c r="AZ230" s="67">
        <v>2.0</v>
      </c>
      <c r="BA230" s="84">
        <v>46192.0</v>
      </c>
      <c r="BB230" s="67" t="s">
        <v>84</v>
      </c>
      <c r="BC230" s="76">
        <v>2.0</v>
      </c>
      <c r="BD230" s="84">
        <v>46192.0</v>
      </c>
      <c r="BE230" s="67">
        <f>DAY(' En tramite 23-26'!$BD230)</f>
        <v>19</v>
      </c>
      <c r="BF230" s="73" t="str">
        <f>TEXT(' En tramite 23-26'!$BD230,"mmmm")</f>
        <v>junio</v>
      </c>
      <c r="BG230" s="67">
        <f>YEAR(' En tramite 23-26'!$BD230)</f>
        <v>2026</v>
      </c>
      <c r="BH230" s="77"/>
      <c r="BI230" s="66"/>
      <c r="BJ230" s="78" t="s">
        <v>274</v>
      </c>
      <c r="BK230" s="79" t="s">
        <v>275</v>
      </c>
      <c r="BL230" s="66"/>
      <c r="BM230" s="80"/>
    </row>
    <row r="231" ht="16.5" customHeight="1">
      <c r="A231" s="28" t="s">
        <v>1765</v>
      </c>
      <c r="B231" s="34"/>
      <c r="C231" s="13"/>
      <c r="D231" s="62" t="s">
        <v>1766</v>
      </c>
      <c r="E231" s="15" t="s">
        <v>1767</v>
      </c>
      <c r="F231" s="63" t="s">
        <v>1768</v>
      </c>
      <c r="G231" s="62">
        <v>2.851034455E9</v>
      </c>
      <c r="H231" s="70" t="s">
        <v>1769</v>
      </c>
      <c r="I231" s="62" t="s">
        <v>1735</v>
      </c>
      <c r="J231" s="62" t="s">
        <v>73</v>
      </c>
      <c r="K231" s="62" t="s">
        <v>74</v>
      </c>
      <c r="L231" s="136" t="s">
        <v>75</v>
      </c>
      <c r="M231" s="67" t="s">
        <v>142</v>
      </c>
      <c r="N231" s="62" t="s">
        <v>355</v>
      </c>
      <c r="O231" s="62" t="s">
        <v>97</v>
      </c>
      <c r="P231" s="67" t="s">
        <v>78</v>
      </c>
      <c r="Q231" s="67">
        <v>4.422045604E9</v>
      </c>
      <c r="R231" s="67" t="s">
        <v>1736</v>
      </c>
      <c r="S231" s="68" t="s">
        <v>1737</v>
      </c>
      <c r="T231" s="69" t="s">
        <v>81</v>
      </c>
      <c r="U231" s="70" t="s">
        <v>100</v>
      </c>
      <c r="V231" s="98">
        <v>1.0</v>
      </c>
      <c r="W231" s="67" t="s">
        <v>83</v>
      </c>
      <c r="X231" s="67" t="s">
        <v>84</v>
      </c>
      <c r="Y231" s="85">
        <v>2.0</v>
      </c>
      <c r="Z231" s="74">
        <v>46101.0</v>
      </c>
      <c r="AA231" s="164">
        <f>DAY(Tabla1[F. INICIO])</f>
        <v>20</v>
      </c>
      <c r="AB231" s="75" t="str">
        <f>TEXT(' En tramite 23-26'!$Z231,"mmmm")</f>
        <v>marzo</v>
      </c>
      <c r="AC231" s="165">
        <f>YEAR(' En tramite 23-26'!$Z231)</f>
        <v>2026</v>
      </c>
      <c r="AD231" s="67" t="s">
        <v>84</v>
      </c>
      <c r="AE231" s="73">
        <v>2.0</v>
      </c>
      <c r="AF231" s="84">
        <v>46101.0</v>
      </c>
      <c r="AG231" s="67" t="s">
        <v>84</v>
      </c>
      <c r="AH231" s="73">
        <v>2.0</v>
      </c>
      <c r="AI231" s="84">
        <v>46101.0</v>
      </c>
      <c r="AJ231" s="67">
        <f>DAY(' En tramite 23-26'!$AI231)</f>
        <v>20</v>
      </c>
      <c r="AK231" s="67" t="str">
        <f>TEXT(' En tramite 23-26'!$AI231,"mmmm")</f>
        <v>marzo</v>
      </c>
      <c r="AL231" s="67">
        <f>YEAR(' En tramite 23-26'!$Z231)</f>
        <v>2026</v>
      </c>
      <c r="AM231" s="67" t="s">
        <v>84</v>
      </c>
      <c r="AN231" s="73">
        <v>2.0</v>
      </c>
      <c r="AO231" s="84">
        <v>46101.0</v>
      </c>
      <c r="AP231" s="67" t="s">
        <v>84</v>
      </c>
      <c r="AQ231" s="73">
        <v>2.0</v>
      </c>
      <c r="AR231" s="84">
        <v>46147.0</v>
      </c>
      <c r="AS231" s="73">
        <f>' En tramite 23-26'!$AI231+45</f>
        <v>46146</v>
      </c>
      <c r="AT231" s="67" t="s">
        <v>85</v>
      </c>
      <c r="AU231" s="67" t="s">
        <v>84</v>
      </c>
      <c r="AV231" s="67">
        <v>2.0</v>
      </c>
      <c r="AW231" s="73">
        <v>46191.0</v>
      </c>
      <c r="AX231" s="66" t="s">
        <v>86</v>
      </c>
      <c r="AY231" s="67" t="s">
        <v>84</v>
      </c>
      <c r="AZ231" s="67">
        <v>2.0</v>
      </c>
      <c r="BA231" s="84">
        <v>46192.0</v>
      </c>
      <c r="BB231" s="67" t="s">
        <v>84</v>
      </c>
      <c r="BC231" s="76">
        <v>2.0</v>
      </c>
      <c r="BD231" s="84">
        <v>46192.0</v>
      </c>
      <c r="BE231" s="67">
        <f>DAY(' En tramite 23-26'!$BD231)</f>
        <v>19</v>
      </c>
      <c r="BF231" s="73" t="str">
        <f>TEXT(' En tramite 23-26'!$BD231,"mmmm")</f>
        <v>junio</v>
      </c>
      <c r="BG231" s="67">
        <f>YEAR(' En tramite 23-26'!$BD231)</f>
        <v>2026</v>
      </c>
      <c r="BH231" s="77"/>
      <c r="BI231" s="66"/>
      <c r="BJ231" s="78" t="s">
        <v>274</v>
      </c>
      <c r="BK231" s="79" t="s">
        <v>275</v>
      </c>
      <c r="BL231" s="66"/>
      <c r="BM231" s="80"/>
    </row>
    <row r="232" ht="16.5" customHeight="1">
      <c r="A232" s="28" t="s">
        <v>1770</v>
      </c>
      <c r="B232" s="34"/>
      <c r="C232" s="13"/>
      <c r="D232" s="167" t="s">
        <v>1771</v>
      </c>
      <c r="E232" s="168" t="s">
        <v>1772</v>
      </c>
      <c r="F232" s="169" t="s">
        <v>1773</v>
      </c>
      <c r="G232" s="167">
        <v>4.428231304E9</v>
      </c>
      <c r="H232" s="170" t="s">
        <v>1774</v>
      </c>
      <c r="I232" s="167" t="s">
        <v>1735</v>
      </c>
      <c r="J232" s="167" t="s">
        <v>73</v>
      </c>
      <c r="K232" s="167" t="s">
        <v>74</v>
      </c>
      <c r="L232" s="171" t="s">
        <v>75</v>
      </c>
      <c r="M232" s="106" t="s">
        <v>142</v>
      </c>
      <c r="N232" s="167" t="s">
        <v>355</v>
      </c>
      <c r="O232" s="167" t="s">
        <v>97</v>
      </c>
      <c r="P232" s="106" t="s">
        <v>78</v>
      </c>
      <c r="Q232" s="106">
        <v>4.422045604E9</v>
      </c>
      <c r="R232" s="106" t="s">
        <v>1736</v>
      </c>
      <c r="S232" s="172" t="s">
        <v>1737</v>
      </c>
      <c r="T232" s="173" t="s">
        <v>81</v>
      </c>
      <c r="U232" s="170" t="s">
        <v>100</v>
      </c>
      <c r="V232" s="174">
        <v>1.0</v>
      </c>
      <c r="W232" s="106" t="s">
        <v>83</v>
      </c>
      <c r="X232" s="106" t="s">
        <v>84</v>
      </c>
      <c r="Y232" s="175">
        <v>2.0</v>
      </c>
      <c r="Z232" s="74">
        <v>46101.0</v>
      </c>
      <c r="AA232" s="176">
        <f>DAY(Tabla1[F. INICIO])</f>
        <v>20</v>
      </c>
      <c r="AB232" s="75" t="str">
        <f>TEXT(' En tramite 23-26'!$Z232,"mmmm")</f>
        <v>marzo</v>
      </c>
      <c r="AC232" s="177">
        <f>YEAR(' En tramite 23-26'!$Z232)</f>
        <v>2026</v>
      </c>
      <c r="AD232" s="106" t="s">
        <v>84</v>
      </c>
      <c r="AE232" s="107">
        <v>2.0</v>
      </c>
      <c r="AF232" s="178">
        <v>46101.0</v>
      </c>
      <c r="AG232" s="106" t="s">
        <v>84</v>
      </c>
      <c r="AH232" s="107">
        <v>2.0</v>
      </c>
      <c r="AI232" s="178">
        <v>46101.0</v>
      </c>
      <c r="AJ232" s="106">
        <f>DAY(' En tramite 23-26'!$AI232)</f>
        <v>20</v>
      </c>
      <c r="AK232" s="106" t="str">
        <f>TEXT(' En tramite 23-26'!$AI232,"mmmm")</f>
        <v>marzo</v>
      </c>
      <c r="AL232" s="106">
        <f>YEAR(' En tramite 23-26'!$Z232)</f>
        <v>2026</v>
      </c>
      <c r="AM232" s="106" t="s">
        <v>84</v>
      </c>
      <c r="AN232" s="107">
        <v>2.0</v>
      </c>
      <c r="AO232" s="178">
        <v>46101.0</v>
      </c>
      <c r="AP232" s="106" t="s">
        <v>84</v>
      </c>
      <c r="AQ232" s="107">
        <v>2.0</v>
      </c>
      <c r="AR232" s="178">
        <v>46147.0</v>
      </c>
      <c r="AS232" s="107">
        <f>' En tramite 23-26'!$AI232+45</f>
        <v>46146</v>
      </c>
      <c r="AT232" s="106" t="s">
        <v>85</v>
      </c>
      <c r="AU232" s="106" t="s">
        <v>84</v>
      </c>
      <c r="AV232" s="106">
        <v>2.0</v>
      </c>
      <c r="AW232" s="107">
        <v>46191.0</v>
      </c>
      <c r="AX232" s="179" t="s">
        <v>86</v>
      </c>
      <c r="AY232" s="106" t="s">
        <v>84</v>
      </c>
      <c r="AZ232" s="106">
        <v>2.0</v>
      </c>
      <c r="BA232" s="178">
        <v>46192.0</v>
      </c>
      <c r="BB232" s="106" t="s">
        <v>84</v>
      </c>
      <c r="BC232" s="180">
        <v>2.0</v>
      </c>
      <c r="BD232" s="178">
        <v>46192.0</v>
      </c>
      <c r="BE232" s="106">
        <f>DAY(' En tramite 23-26'!$BD232)</f>
        <v>19</v>
      </c>
      <c r="BF232" s="107" t="str">
        <f>TEXT(' En tramite 23-26'!$BD232,"mmmm")</f>
        <v>junio</v>
      </c>
      <c r="BG232" s="106">
        <f>YEAR(' En tramite 23-26'!$BD232)</f>
        <v>2026</v>
      </c>
      <c r="BH232" s="181"/>
      <c r="BI232" s="179"/>
      <c r="BJ232" s="182" t="s">
        <v>274</v>
      </c>
      <c r="BK232" s="79" t="s">
        <v>275</v>
      </c>
      <c r="BL232" s="179"/>
      <c r="BM232" s="183"/>
    </row>
    <row r="233" ht="16.5" customHeight="1">
      <c r="A233" s="28" t="s">
        <v>1775</v>
      </c>
      <c r="B233" s="34"/>
      <c r="C233" s="13"/>
      <c r="D233" s="62" t="s">
        <v>1776</v>
      </c>
      <c r="E233" s="15" t="s">
        <v>1777</v>
      </c>
      <c r="F233" s="63" t="s">
        <v>1778</v>
      </c>
      <c r="G233" s="62">
        <v>4.461192881E9</v>
      </c>
      <c r="H233" s="70" t="s">
        <v>1779</v>
      </c>
      <c r="I233" s="167" t="s">
        <v>1735</v>
      </c>
      <c r="J233" s="167" t="s">
        <v>73</v>
      </c>
      <c r="K233" s="167" t="s">
        <v>74</v>
      </c>
      <c r="L233" s="171" t="s">
        <v>75</v>
      </c>
      <c r="M233" s="106" t="s">
        <v>142</v>
      </c>
      <c r="N233" s="167" t="s">
        <v>355</v>
      </c>
      <c r="O233" s="167" t="s">
        <v>97</v>
      </c>
      <c r="P233" s="106" t="s">
        <v>78</v>
      </c>
      <c r="Q233" s="106">
        <v>4.422045604E9</v>
      </c>
      <c r="R233" s="106" t="s">
        <v>1736</v>
      </c>
      <c r="S233" s="172" t="s">
        <v>1737</v>
      </c>
      <c r="T233" s="173" t="s">
        <v>81</v>
      </c>
      <c r="U233" s="170" t="s">
        <v>100</v>
      </c>
      <c r="V233" s="174">
        <v>1.0</v>
      </c>
      <c r="W233" s="106" t="s">
        <v>83</v>
      </c>
      <c r="X233" s="106" t="s">
        <v>84</v>
      </c>
      <c r="Y233" s="175">
        <v>2.0</v>
      </c>
      <c r="Z233" s="74">
        <v>46101.0</v>
      </c>
      <c r="AA233" s="176">
        <f>DAY(Tabla1[F. INICIO])</f>
        <v>20</v>
      </c>
      <c r="AB233" s="75" t="str">
        <f>TEXT(' En tramite 23-26'!$Z233,"mmmm")</f>
        <v>marzo</v>
      </c>
      <c r="AC233" s="177">
        <f>YEAR(' En tramite 23-26'!$Z233)</f>
        <v>2026</v>
      </c>
      <c r="AD233" s="106" t="s">
        <v>84</v>
      </c>
      <c r="AE233" s="107">
        <v>2.0</v>
      </c>
      <c r="AF233" s="178">
        <v>46101.0</v>
      </c>
      <c r="AG233" s="106" t="s">
        <v>84</v>
      </c>
      <c r="AH233" s="107">
        <v>2.0</v>
      </c>
      <c r="AI233" s="178">
        <v>46101.0</v>
      </c>
      <c r="AJ233" s="106">
        <f>DAY(' En tramite 23-26'!$AI233)</f>
        <v>20</v>
      </c>
      <c r="AK233" s="106" t="str">
        <f>TEXT(' En tramite 23-26'!$AI233,"mmmm")</f>
        <v>marzo</v>
      </c>
      <c r="AL233" s="106">
        <f>YEAR(' En tramite 23-26'!$Z233)</f>
        <v>2026</v>
      </c>
      <c r="AM233" s="106" t="s">
        <v>84</v>
      </c>
      <c r="AN233" s="107">
        <v>2.0</v>
      </c>
      <c r="AO233" s="178">
        <v>46101.0</v>
      </c>
      <c r="AP233" s="106" t="s">
        <v>84</v>
      </c>
      <c r="AQ233" s="107">
        <v>2.0</v>
      </c>
      <c r="AR233" s="178">
        <v>46147.0</v>
      </c>
      <c r="AS233" s="107">
        <f>' En tramite 23-26'!$AI233+45</f>
        <v>46146</v>
      </c>
      <c r="AT233" s="106" t="s">
        <v>85</v>
      </c>
      <c r="AU233" s="106" t="s">
        <v>84</v>
      </c>
      <c r="AV233" s="106">
        <v>2.0</v>
      </c>
      <c r="AW233" s="107">
        <v>46191.0</v>
      </c>
      <c r="AX233" s="179" t="s">
        <v>86</v>
      </c>
      <c r="AY233" s="106" t="s">
        <v>84</v>
      </c>
      <c r="AZ233" s="106">
        <v>2.0</v>
      </c>
      <c r="BA233" s="178">
        <v>46192.0</v>
      </c>
      <c r="BB233" s="106" t="s">
        <v>84</v>
      </c>
      <c r="BC233" s="180">
        <v>2.0</v>
      </c>
      <c r="BD233" s="178">
        <v>46192.0</v>
      </c>
      <c r="BE233" s="106">
        <f>DAY(' En tramite 23-26'!$BD233)</f>
        <v>19</v>
      </c>
      <c r="BF233" s="107" t="str">
        <f>TEXT(' En tramite 23-26'!$BD233,"mmmm")</f>
        <v>junio</v>
      </c>
      <c r="BG233" s="106">
        <f>YEAR(' En tramite 23-26'!$BD233)</f>
        <v>2026</v>
      </c>
      <c r="BH233" s="181"/>
      <c r="BI233" s="179"/>
      <c r="BJ233" s="182" t="s">
        <v>274</v>
      </c>
      <c r="BK233" s="79" t="s">
        <v>275</v>
      </c>
      <c r="BL233" s="179"/>
      <c r="BM233" s="183"/>
    </row>
    <row r="234" ht="16.5" customHeight="1">
      <c r="A234" s="28" t="s">
        <v>1780</v>
      </c>
      <c r="B234" s="34"/>
      <c r="C234" s="13"/>
      <c r="D234" s="62" t="s">
        <v>1781</v>
      </c>
      <c r="E234" s="15" t="s">
        <v>1782</v>
      </c>
      <c r="F234" s="63" t="s">
        <v>1783</v>
      </c>
      <c r="G234" s="62">
        <v>4.421121036E9</v>
      </c>
      <c r="H234" s="70" t="s">
        <v>1784</v>
      </c>
      <c r="I234" s="167" t="s">
        <v>1735</v>
      </c>
      <c r="J234" s="167" t="s">
        <v>73</v>
      </c>
      <c r="K234" s="167" t="s">
        <v>74</v>
      </c>
      <c r="L234" s="171" t="s">
        <v>75</v>
      </c>
      <c r="M234" s="106" t="s">
        <v>142</v>
      </c>
      <c r="N234" s="167" t="s">
        <v>355</v>
      </c>
      <c r="O234" s="167" t="s">
        <v>97</v>
      </c>
      <c r="P234" s="106" t="s">
        <v>78</v>
      </c>
      <c r="Q234" s="106">
        <v>4.422045604E9</v>
      </c>
      <c r="R234" s="106" t="s">
        <v>1736</v>
      </c>
      <c r="S234" s="172" t="s">
        <v>1737</v>
      </c>
      <c r="T234" s="173" t="s">
        <v>81</v>
      </c>
      <c r="U234" s="170" t="s">
        <v>100</v>
      </c>
      <c r="V234" s="174">
        <v>1.0</v>
      </c>
      <c r="W234" s="106" t="s">
        <v>83</v>
      </c>
      <c r="X234" s="106" t="s">
        <v>84</v>
      </c>
      <c r="Y234" s="175">
        <v>2.0</v>
      </c>
      <c r="Z234" s="74">
        <v>46101.0</v>
      </c>
      <c r="AA234" s="176">
        <f>DAY(Tabla1[F. INICIO])</f>
        <v>20</v>
      </c>
      <c r="AB234" s="75" t="str">
        <f>TEXT(' En tramite 23-26'!$Z234,"mmmm")</f>
        <v>marzo</v>
      </c>
      <c r="AC234" s="177">
        <f>YEAR(' En tramite 23-26'!$Z234)</f>
        <v>2026</v>
      </c>
      <c r="AD234" s="106" t="s">
        <v>84</v>
      </c>
      <c r="AE234" s="107">
        <v>2.0</v>
      </c>
      <c r="AF234" s="178">
        <v>46101.0</v>
      </c>
      <c r="AG234" s="106" t="s">
        <v>84</v>
      </c>
      <c r="AH234" s="107">
        <v>2.0</v>
      </c>
      <c r="AI234" s="178">
        <v>46101.0</v>
      </c>
      <c r="AJ234" s="106">
        <f>DAY(' En tramite 23-26'!$AI234)</f>
        <v>20</v>
      </c>
      <c r="AK234" s="106" t="str">
        <f>TEXT(' En tramite 23-26'!$AI234,"mmmm")</f>
        <v>marzo</v>
      </c>
      <c r="AL234" s="106">
        <f>YEAR(' En tramite 23-26'!$Z234)</f>
        <v>2026</v>
      </c>
      <c r="AM234" s="106" t="s">
        <v>84</v>
      </c>
      <c r="AN234" s="107">
        <v>2.0</v>
      </c>
      <c r="AO234" s="178">
        <v>46101.0</v>
      </c>
      <c r="AP234" s="106" t="s">
        <v>84</v>
      </c>
      <c r="AQ234" s="107">
        <v>2.0</v>
      </c>
      <c r="AR234" s="178">
        <v>46147.0</v>
      </c>
      <c r="AS234" s="107">
        <f>' En tramite 23-26'!$AI234+45</f>
        <v>46146</v>
      </c>
      <c r="AT234" s="106" t="s">
        <v>85</v>
      </c>
      <c r="AU234" s="106" t="s">
        <v>84</v>
      </c>
      <c r="AV234" s="106">
        <v>2.0</v>
      </c>
      <c r="AW234" s="107">
        <v>46191.0</v>
      </c>
      <c r="AX234" s="179" t="s">
        <v>86</v>
      </c>
      <c r="AY234" s="106" t="s">
        <v>84</v>
      </c>
      <c r="AZ234" s="106">
        <v>2.0</v>
      </c>
      <c r="BA234" s="178">
        <v>46192.0</v>
      </c>
      <c r="BB234" s="106" t="s">
        <v>84</v>
      </c>
      <c r="BC234" s="180">
        <v>2.0</v>
      </c>
      <c r="BD234" s="178">
        <v>46192.0</v>
      </c>
      <c r="BE234" s="106">
        <f>DAY(' En tramite 23-26'!$BD234)</f>
        <v>19</v>
      </c>
      <c r="BF234" s="107" t="str">
        <f>TEXT(' En tramite 23-26'!$BD234,"mmmm")</f>
        <v>junio</v>
      </c>
      <c r="BG234" s="106">
        <f>YEAR(' En tramite 23-26'!$BD234)</f>
        <v>2026</v>
      </c>
      <c r="BH234" s="181"/>
      <c r="BI234" s="179"/>
      <c r="BJ234" s="182" t="s">
        <v>274</v>
      </c>
      <c r="BK234" s="79" t="s">
        <v>275</v>
      </c>
      <c r="BL234" s="179"/>
      <c r="BM234" s="183"/>
    </row>
    <row r="235" ht="16.5" customHeight="1">
      <c r="A235" s="28" t="s">
        <v>1785</v>
      </c>
      <c r="B235" s="34"/>
      <c r="C235" s="13"/>
      <c r="D235" s="62" t="s">
        <v>1786</v>
      </c>
      <c r="E235" s="15" t="s">
        <v>1787</v>
      </c>
      <c r="F235" s="63" t="s">
        <v>1788</v>
      </c>
      <c r="G235" s="62">
        <v>4.424698798E9</v>
      </c>
      <c r="H235" s="70" t="s">
        <v>1789</v>
      </c>
      <c r="I235" s="167" t="s">
        <v>985</v>
      </c>
      <c r="J235" s="167" t="s">
        <v>73</v>
      </c>
      <c r="K235" s="167" t="s">
        <v>74</v>
      </c>
      <c r="L235" s="171" t="s">
        <v>75</v>
      </c>
      <c r="M235" s="106" t="s">
        <v>142</v>
      </c>
      <c r="N235" s="167" t="s">
        <v>355</v>
      </c>
      <c r="O235" s="167" t="s">
        <v>97</v>
      </c>
      <c r="P235" s="106" t="s">
        <v>78</v>
      </c>
      <c r="Q235" s="106">
        <v>4.422045604E9</v>
      </c>
      <c r="R235" s="106" t="s">
        <v>1736</v>
      </c>
      <c r="S235" s="172" t="s">
        <v>1737</v>
      </c>
      <c r="T235" s="173" t="s">
        <v>81</v>
      </c>
      <c r="U235" s="170" t="s">
        <v>100</v>
      </c>
      <c r="V235" s="174">
        <v>1.0</v>
      </c>
      <c r="W235" s="106" t="s">
        <v>83</v>
      </c>
      <c r="X235" s="106" t="s">
        <v>84</v>
      </c>
      <c r="Y235" s="175">
        <v>2.0</v>
      </c>
      <c r="Z235" s="74">
        <v>46101.0</v>
      </c>
      <c r="AA235" s="176">
        <f>DAY(Tabla1[F. INICIO])</f>
        <v>20</v>
      </c>
      <c r="AB235" s="75" t="str">
        <f>TEXT(' En tramite 23-26'!$Z235,"mmmm")</f>
        <v>marzo</v>
      </c>
      <c r="AC235" s="177">
        <f>YEAR(' En tramite 23-26'!$Z235)</f>
        <v>2026</v>
      </c>
      <c r="AD235" s="106" t="s">
        <v>84</v>
      </c>
      <c r="AE235" s="107">
        <v>2.0</v>
      </c>
      <c r="AF235" s="178">
        <v>46101.0</v>
      </c>
      <c r="AG235" s="106" t="s">
        <v>84</v>
      </c>
      <c r="AH235" s="107">
        <v>2.0</v>
      </c>
      <c r="AI235" s="178">
        <v>46101.0</v>
      </c>
      <c r="AJ235" s="106">
        <f>DAY(' En tramite 23-26'!$AI235)</f>
        <v>20</v>
      </c>
      <c r="AK235" s="106" t="str">
        <f>TEXT(' En tramite 23-26'!$AI235,"mmmm")</f>
        <v>marzo</v>
      </c>
      <c r="AL235" s="106">
        <f>YEAR(' En tramite 23-26'!$Z235)</f>
        <v>2026</v>
      </c>
      <c r="AM235" s="106" t="s">
        <v>84</v>
      </c>
      <c r="AN235" s="107">
        <v>2.0</v>
      </c>
      <c r="AO235" s="178">
        <v>46101.0</v>
      </c>
      <c r="AP235" s="106" t="s">
        <v>84</v>
      </c>
      <c r="AQ235" s="107">
        <v>2.0</v>
      </c>
      <c r="AR235" s="178">
        <v>46147.0</v>
      </c>
      <c r="AS235" s="107">
        <f>' En tramite 23-26'!$AI235+45</f>
        <v>46146</v>
      </c>
      <c r="AT235" s="106" t="s">
        <v>85</v>
      </c>
      <c r="AU235" s="106" t="s">
        <v>84</v>
      </c>
      <c r="AV235" s="106">
        <v>2.0</v>
      </c>
      <c r="AW235" s="107">
        <v>46192.0</v>
      </c>
      <c r="AX235" s="179" t="s">
        <v>86</v>
      </c>
      <c r="AY235" s="106" t="s">
        <v>84</v>
      </c>
      <c r="AZ235" s="106">
        <v>2.0</v>
      </c>
      <c r="BA235" s="178">
        <v>46192.0</v>
      </c>
      <c r="BB235" s="106" t="s">
        <v>84</v>
      </c>
      <c r="BC235" s="180">
        <v>2.0</v>
      </c>
      <c r="BD235" s="178">
        <v>46192.0</v>
      </c>
      <c r="BE235" s="106">
        <f>DAY(' En tramite 23-26'!$BD235)</f>
        <v>19</v>
      </c>
      <c r="BF235" s="107" t="str">
        <f>TEXT(' En tramite 23-26'!$BD235,"mmmm")</f>
        <v>junio</v>
      </c>
      <c r="BG235" s="106">
        <f>YEAR(' En tramite 23-26'!$BD235)</f>
        <v>2026</v>
      </c>
      <c r="BH235" s="181"/>
      <c r="BI235" s="179"/>
      <c r="BJ235" s="182" t="s">
        <v>274</v>
      </c>
      <c r="BK235" s="79" t="s">
        <v>275</v>
      </c>
      <c r="BL235" s="179"/>
      <c r="BM235" s="183"/>
    </row>
    <row r="236" ht="16.5" customHeight="1">
      <c r="A236" s="28" t="s">
        <v>1790</v>
      </c>
      <c r="B236" s="34"/>
      <c r="C236" s="13"/>
      <c r="D236" s="41" t="s">
        <v>1791</v>
      </c>
      <c r="E236" s="184" t="s">
        <v>1792</v>
      </c>
      <c r="F236" s="42" t="s">
        <v>1793</v>
      </c>
      <c r="G236" s="41">
        <v>4.424651355E9</v>
      </c>
      <c r="H236" s="47" t="s">
        <v>1794</v>
      </c>
      <c r="I236" s="41" t="s">
        <v>985</v>
      </c>
      <c r="J236" s="41" t="s">
        <v>73</v>
      </c>
      <c r="K236" s="41" t="s">
        <v>74</v>
      </c>
      <c r="L236" s="44" t="s">
        <v>200</v>
      </c>
      <c r="M236" s="44" t="s">
        <v>14</v>
      </c>
      <c r="N236" s="41" t="s">
        <v>1705</v>
      </c>
      <c r="O236" s="41" t="s">
        <v>77</v>
      </c>
      <c r="P236" s="44" t="s">
        <v>78</v>
      </c>
      <c r="Q236" s="44">
        <v>4.421366529E9</v>
      </c>
      <c r="R236" s="44" t="s">
        <v>1706</v>
      </c>
      <c r="S236" s="45" t="s">
        <v>1707</v>
      </c>
      <c r="T236" s="46" t="s">
        <v>81</v>
      </c>
      <c r="U236" s="47" t="s">
        <v>100</v>
      </c>
      <c r="V236" s="95">
        <v>0.0</v>
      </c>
      <c r="W236" s="44"/>
      <c r="X236" s="44" t="s">
        <v>84</v>
      </c>
      <c r="Y236" s="56">
        <v>2.0</v>
      </c>
      <c r="Z236" s="50">
        <v>46168.0</v>
      </c>
      <c r="AA236" s="163">
        <f>DAY(Tabla1[F. INICIO])</f>
        <v>26</v>
      </c>
      <c r="AB236" s="51" t="str">
        <f>TEXT(' En tramite 23-26'!$Z236,"mmmm")</f>
        <v>mayo</v>
      </c>
      <c r="AC236" s="166">
        <f>YEAR(' En tramite 23-26'!$Z236)</f>
        <v>2026</v>
      </c>
      <c r="AD236" s="44" t="s">
        <v>84</v>
      </c>
      <c r="AE236" s="49">
        <v>2.0</v>
      </c>
      <c r="AF236" s="55">
        <v>46168.0</v>
      </c>
      <c r="AG236" s="44" t="s">
        <v>84</v>
      </c>
      <c r="AH236" s="49">
        <v>2.0</v>
      </c>
      <c r="AI236" s="55">
        <v>46168.0</v>
      </c>
      <c r="AJ236" s="44">
        <f>DAY(' En tramite 23-26'!$AI236)</f>
        <v>26</v>
      </c>
      <c r="AK236" s="44" t="str">
        <f>TEXT(' En tramite 23-26'!$AI236,"mmmm")</f>
        <v>mayo</v>
      </c>
      <c r="AL236" s="44">
        <f>YEAR(' En tramite 23-26'!$Z236)</f>
        <v>2026</v>
      </c>
      <c r="AM236" s="44" t="s">
        <v>84</v>
      </c>
      <c r="AN236" s="49">
        <v>2.0</v>
      </c>
      <c r="AO236" s="55">
        <v>46168.0</v>
      </c>
      <c r="AP236" s="44"/>
      <c r="AQ236" s="49"/>
      <c r="AR236" s="55"/>
      <c r="AS236" s="57">
        <f>' En tramite 23-26'!$AI236+45</f>
        <v>46213</v>
      </c>
      <c r="AT236" s="44"/>
      <c r="AU236" s="44"/>
      <c r="AV236" s="44"/>
      <c r="AW236" s="49">
        <f>' En tramite 23-26'!$AS236+45</f>
        <v>46258</v>
      </c>
      <c r="AX236" s="13"/>
      <c r="AY236" s="44"/>
      <c r="AZ236" s="44"/>
      <c r="BA236" s="55"/>
      <c r="BB236" s="44"/>
      <c r="BC236" s="12"/>
      <c r="BD236" s="55"/>
      <c r="BE236" s="44">
        <f>DAY(' En tramite 23-26'!$BD236)</f>
        <v>30</v>
      </c>
      <c r="BF236" s="49" t="str">
        <f>TEXT(' En tramite 23-26'!$BD236,"mmmm")</f>
        <v>diciembre</v>
      </c>
      <c r="BG236" s="44">
        <f>YEAR(' En tramite 23-26'!$BD236)</f>
        <v>1899</v>
      </c>
      <c r="BH236" s="53"/>
      <c r="BI236" s="13"/>
      <c r="BJ236" s="34"/>
      <c r="BK236" s="54"/>
      <c r="BL236" s="13"/>
      <c r="BM236" s="58"/>
    </row>
    <row r="237" ht="16.5" customHeight="1">
      <c r="A237" s="28" t="s">
        <v>1795</v>
      </c>
      <c r="B237" s="34"/>
      <c r="C237" s="13"/>
      <c r="D237" s="41" t="s">
        <v>1796</v>
      </c>
      <c r="E237" s="184" t="s">
        <v>1797</v>
      </c>
      <c r="F237" s="42" t="s">
        <v>1798</v>
      </c>
      <c r="G237" s="41" t="s">
        <v>1194</v>
      </c>
      <c r="H237" s="47" t="s">
        <v>1799</v>
      </c>
      <c r="I237" s="41" t="s">
        <v>867</v>
      </c>
      <c r="J237" s="41" t="s">
        <v>73</v>
      </c>
      <c r="K237" s="41" t="s">
        <v>141</v>
      </c>
      <c r="L237" s="44" t="s">
        <v>200</v>
      </c>
      <c r="M237" s="44" t="s">
        <v>14</v>
      </c>
      <c r="N237" s="41" t="s">
        <v>1800</v>
      </c>
      <c r="O237" s="41" t="s">
        <v>211</v>
      </c>
      <c r="P237" s="44" t="s">
        <v>78</v>
      </c>
      <c r="Q237" s="44">
        <v>4.423348525E9</v>
      </c>
      <c r="R237" s="44" t="s">
        <v>1801</v>
      </c>
      <c r="S237" s="45" t="s">
        <v>1802</v>
      </c>
      <c r="T237" s="46" t="s">
        <v>81</v>
      </c>
      <c r="U237" s="47" t="s">
        <v>82</v>
      </c>
      <c r="V237" s="95">
        <v>1.0</v>
      </c>
      <c r="W237" s="44" t="s">
        <v>83</v>
      </c>
      <c r="X237" s="44" t="s">
        <v>84</v>
      </c>
      <c r="Y237" s="56">
        <v>2.0</v>
      </c>
      <c r="Z237" s="50">
        <v>46205.0</v>
      </c>
      <c r="AA237" s="163">
        <f>DAY(Tabla1[F. INICIO])</f>
        <v>2</v>
      </c>
      <c r="AB237" s="51" t="str">
        <f>TEXT(' En tramite 23-26'!$Z237,"mmmm")</f>
        <v>julio</v>
      </c>
      <c r="AC237" s="166">
        <f>YEAR(' En tramite 23-26'!$Z237)</f>
        <v>2026</v>
      </c>
      <c r="AD237" s="44" t="s">
        <v>84</v>
      </c>
      <c r="AE237" s="49">
        <v>2.0</v>
      </c>
      <c r="AF237" s="55">
        <v>46205.0</v>
      </c>
      <c r="AG237" s="44" t="s">
        <v>84</v>
      </c>
      <c r="AH237" s="49">
        <v>2.0</v>
      </c>
      <c r="AI237" s="55">
        <v>46206.0</v>
      </c>
      <c r="AJ237" s="44">
        <f>DAY(' En tramite 23-26'!$AI237)</f>
        <v>3</v>
      </c>
      <c r="AK237" s="44" t="str">
        <f>TEXT(' En tramite 23-26'!$AI237,"mmmm")</f>
        <v>julio</v>
      </c>
      <c r="AL237" s="44">
        <f>YEAR(' En tramite 23-26'!$Z237)</f>
        <v>2026</v>
      </c>
      <c r="AM237" s="44" t="s">
        <v>84</v>
      </c>
      <c r="AN237" s="49">
        <v>2.0</v>
      </c>
      <c r="AO237" s="55">
        <v>46206.0</v>
      </c>
      <c r="AP237" s="44"/>
      <c r="AQ237" s="49"/>
      <c r="AR237" s="55"/>
      <c r="AS237" s="57">
        <f>' En tramite 23-26'!$AI237+45</f>
        <v>46251</v>
      </c>
      <c r="AT237" s="44"/>
      <c r="AU237" s="44"/>
      <c r="AV237" s="44"/>
      <c r="AW237" s="49">
        <f>' En tramite 23-26'!$AS237+45</f>
        <v>46296</v>
      </c>
      <c r="AX237" s="13"/>
      <c r="AY237" s="44"/>
      <c r="AZ237" s="44"/>
      <c r="BA237" s="55"/>
      <c r="BB237" s="44"/>
      <c r="BC237" s="12"/>
      <c r="BD237" s="55"/>
      <c r="BE237" s="44">
        <f>DAY(' En tramite 23-26'!$BD237)</f>
        <v>30</v>
      </c>
      <c r="BF237" s="49" t="str">
        <f>TEXT(' En tramite 23-26'!$BD237,"mmmm")</f>
        <v>diciembre</v>
      </c>
      <c r="BG237" s="44">
        <f>YEAR(' En tramite 23-26'!$BD237)</f>
        <v>1899</v>
      </c>
      <c r="BH237" s="53"/>
      <c r="BI237" s="13"/>
      <c r="BJ237" s="34"/>
      <c r="BK237" s="54"/>
      <c r="BL237" s="13"/>
      <c r="BM237" s="58"/>
    </row>
    <row r="238" ht="16.5" customHeight="1">
      <c r="A238" s="28" t="s">
        <v>1803</v>
      </c>
      <c r="B238" s="34"/>
      <c r="C238" s="13"/>
      <c r="D238" s="41" t="s">
        <v>1804</v>
      </c>
      <c r="E238" s="184" t="s">
        <v>1805</v>
      </c>
      <c r="F238" s="42" t="s">
        <v>1806</v>
      </c>
      <c r="G238" s="41">
        <v>4.428202658E9</v>
      </c>
      <c r="H238" s="47" t="s">
        <v>1807</v>
      </c>
      <c r="I238" s="41" t="s">
        <v>867</v>
      </c>
      <c r="J238" s="41" t="s">
        <v>73</v>
      </c>
      <c r="K238" s="41" t="s">
        <v>141</v>
      </c>
      <c r="L238" s="44" t="s">
        <v>200</v>
      </c>
      <c r="M238" s="44" t="s">
        <v>14</v>
      </c>
      <c r="N238" s="41" t="s">
        <v>1800</v>
      </c>
      <c r="O238" s="41" t="s">
        <v>211</v>
      </c>
      <c r="P238" s="44" t="s">
        <v>78</v>
      </c>
      <c r="Q238" s="44">
        <v>4.423348525E9</v>
      </c>
      <c r="R238" s="44" t="s">
        <v>1801</v>
      </c>
      <c r="S238" s="45" t="s">
        <v>1802</v>
      </c>
      <c r="T238" s="46" t="s">
        <v>81</v>
      </c>
      <c r="U238" s="47" t="s">
        <v>82</v>
      </c>
      <c r="V238" s="95">
        <v>1.0</v>
      </c>
      <c r="W238" s="44" t="s">
        <v>83</v>
      </c>
      <c r="X238" s="44" t="s">
        <v>84</v>
      </c>
      <c r="Y238" s="56">
        <v>2.0</v>
      </c>
      <c r="Z238" s="50">
        <v>46205.0</v>
      </c>
      <c r="AA238" s="163">
        <f>DAY(Tabla1[F. INICIO])</f>
        <v>2</v>
      </c>
      <c r="AB238" s="51" t="str">
        <f>TEXT(' En tramite 23-26'!$Z238,"mmmm")</f>
        <v>julio</v>
      </c>
      <c r="AC238" s="166">
        <f>YEAR(' En tramite 23-26'!$Z238)</f>
        <v>2026</v>
      </c>
      <c r="AD238" s="44" t="s">
        <v>84</v>
      </c>
      <c r="AE238" s="49">
        <v>2.0</v>
      </c>
      <c r="AF238" s="55">
        <v>46205.0</v>
      </c>
      <c r="AG238" s="44" t="s">
        <v>84</v>
      </c>
      <c r="AH238" s="49">
        <v>2.0</v>
      </c>
      <c r="AI238" s="55">
        <v>46206.0</v>
      </c>
      <c r="AJ238" s="44">
        <f>DAY(' En tramite 23-26'!$AI238)</f>
        <v>3</v>
      </c>
      <c r="AK238" s="44" t="str">
        <f>TEXT(' En tramite 23-26'!$AI238,"mmmm")</f>
        <v>julio</v>
      </c>
      <c r="AL238" s="44">
        <f>YEAR(' En tramite 23-26'!$Z238)</f>
        <v>2026</v>
      </c>
      <c r="AM238" s="44" t="s">
        <v>84</v>
      </c>
      <c r="AN238" s="49">
        <v>2.0</v>
      </c>
      <c r="AO238" s="55">
        <v>46206.0</v>
      </c>
      <c r="AP238" s="44"/>
      <c r="AQ238" s="49"/>
      <c r="AR238" s="55"/>
      <c r="AS238" s="57">
        <f>' En tramite 23-26'!$AI238+45</f>
        <v>46251</v>
      </c>
      <c r="AT238" s="44"/>
      <c r="AU238" s="44"/>
      <c r="AV238" s="44"/>
      <c r="AW238" s="49">
        <f>' En tramite 23-26'!$AS238+45</f>
        <v>46296</v>
      </c>
      <c r="AX238" s="13"/>
      <c r="AY238" s="44"/>
      <c r="AZ238" s="44"/>
      <c r="BA238" s="55"/>
      <c r="BB238" s="44"/>
      <c r="BC238" s="12"/>
      <c r="BD238" s="55"/>
      <c r="BE238" s="44">
        <f>DAY(' En tramite 23-26'!$BD238)</f>
        <v>30</v>
      </c>
      <c r="BF238" s="49" t="str">
        <f>TEXT(' En tramite 23-26'!$BD238,"mmmm")</f>
        <v>diciembre</v>
      </c>
      <c r="BG238" s="44">
        <f>YEAR(' En tramite 23-26'!$BD238)</f>
        <v>1899</v>
      </c>
      <c r="BH238" s="53"/>
      <c r="BI238" s="13"/>
      <c r="BJ238" s="34"/>
      <c r="BK238" s="54"/>
      <c r="BL238" s="13"/>
      <c r="BM238" s="58"/>
    </row>
    <row r="239" ht="16.5" customHeight="1">
      <c r="A239" s="28" t="s">
        <v>1808</v>
      </c>
      <c r="B239" s="34"/>
      <c r="C239" s="13"/>
      <c r="D239" s="41" t="s">
        <v>1809</v>
      </c>
      <c r="E239" s="184" t="s">
        <v>1810</v>
      </c>
      <c r="F239" s="42" t="s">
        <v>1811</v>
      </c>
      <c r="G239" s="41">
        <v>4.211173826E9</v>
      </c>
      <c r="H239" s="47" t="s">
        <v>1812</v>
      </c>
      <c r="I239" s="41" t="s">
        <v>867</v>
      </c>
      <c r="J239" s="41" t="s">
        <v>73</v>
      </c>
      <c r="K239" s="41" t="s">
        <v>141</v>
      </c>
      <c r="L239" s="44" t="s">
        <v>200</v>
      </c>
      <c r="M239" s="44" t="s">
        <v>14</v>
      </c>
      <c r="N239" s="41" t="s">
        <v>1800</v>
      </c>
      <c r="O239" s="41" t="s">
        <v>211</v>
      </c>
      <c r="P239" s="44" t="s">
        <v>78</v>
      </c>
      <c r="Q239" s="44">
        <v>4.423348525E9</v>
      </c>
      <c r="R239" s="44" t="s">
        <v>1801</v>
      </c>
      <c r="S239" s="45" t="s">
        <v>1802</v>
      </c>
      <c r="T239" s="46" t="s">
        <v>81</v>
      </c>
      <c r="U239" s="47" t="s">
        <v>82</v>
      </c>
      <c r="V239" s="95">
        <v>0.0</v>
      </c>
      <c r="W239" s="44"/>
      <c r="X239" s="44" t="s">
        <v>84</v>
      </c>
      <c r="Y239" s="56">
        <v>2.0</v>
      </c>
      <c r="Z239" s="50">
        <v>46209.0</v>
      </c>
      <c r="AA239" s="163">
        <f>DAY(Tabla1[F. INICIO])</f>
        <v>6</v>
      </c>
      <c r="AB239" s="51" t="str">
        <f>TEXT(' En tramite 23-26'!$Z239,"mmmm")</f>
        <v>julio</v>
      </c>
      <c r="AC239" s="166">
        <f>YEAR(' En tramite 23-26'!$Z239)</f>
        <v>2026</v>
      </c>
      <c r="AD239" s="44" t="s">
        <v>84</v>
      </c>
      <c r="AE239" s="49">
        <v>2.0</v>
      </c>
      <c r="AF239" s="55">
        <v>46209.0</v>
      </c>
      <c r="AG239" s="44"/>
      <c r="AH239" s="49"/>
      <c r="AI239" s="55"/>
      <c r="AJ239" s="44">
        <f>DAY(' En tramite 23-26'!$AI239)</f>
        <v>30</v>
      </c>
      <c r="AK239" s="44" t="str">
        <f>TEXT(' En tramite 23-26'!$AI239,"mmmm")</f>
        <v>diciembre</v>
      </c>
      <c r="AL239" s="44">
        <f>YEAR(' En tramite 23-26'!$Z239)</f>
        <v>2026</v>
      </c>
      <c r="AM239" s="44"/>
      <c r="AN239" s="49"/>
      <c r="AO239" s="55"/>
      <c r="AP239" s="44"/>
      <c r="AQ239" s="49"/>
      <c r="AR239" s="55"/>
      <c r="AS239" s="57">
        <f>' En tramite 23-26'!$AI239+45</f>
        <v>45</v>
      </c>
      <c r="AT239" s="44"/>
      <c r="AU239" s="44"/>
      <c r="AV239" s="44"/>
      <c r="AW239" s="49">
        <f>' En tramite 23-26'!$AS239+45</f>
        <v>90</v>
      </c>
      <c r="AX239" s="13"/>
      <c r="AY239" s="44"/>
      <c r="AZ239" s="44"/>
      <c r="BA239" s="55"/>
      <c r="BB239" s="44"/>
      <c r="BC239" s="12"/>
      <c r="BD239" s="55"/>
      <c r="BE239" s="44">
        <f>DAY(' En tramite 23-26'!$BD239)</f>
        <v>30</v>
      </c>
      <c r="BF239" s="49" t="str">
        <f>TEXT(' En tramite 23-26'!$BD239,"mmmm")</f>
        <v>diciembre</v>
      </c>
      <c r="BG239" s="44">
        <f>YEAR(' En tramite 23-26'!$BD239)</f>
        <v>1899</v>
      </c>
      <c r="BH239" s="53"/>
      <c r="BI239" s="13"/>
      <c r="BJ239" s="34"/>
      <c r="BK239" s="54"/>
      <c r="BL239" s="13"/>
      <c r="BM239" s="58"/>
    </row>
    <row r="240" ht="16.5" customHeight="1">
      <c r="A240" s="28" t="s">
        <v>1813</v>
      </c>
      <c r="B240" s="34"/>
      <c r="C240" s="13"/>
      <c r="D240" s="62" t="s">
        <v>1814</v>
      </c>
      <c r="E240" s="158" t="s">
        <v>1815</v>
      </c>
      <c r="F240" s="63" t="s">
        <v>1816</v>
      </c>
      <c r="G240" s="62">
        <v>4.461157453E9</v>
      </c>
      <c r="H240" s="70" t="s">
        <v>1817</v>
      </c>
      <c r="I240" s="62" t="s">
        <v>839</v>
      </c>
      <c r="J240" s="62" t="s">
        <v>109</v>
      </c>
      <c r="K240" s="62" t="s">
        <v>129</v>
      </c>
      <c r="L240" s="136" t="s">
        <v>75</v>
      </c>
      <c r="M240" s="67" t="s">
        <v>14</v>
      </c>
      <c r="N240" s="62" t="s">
        <v>1818</v>
      </c>
      <c r="O240" s="62" t="s">
        <v>211</v>
      </c>
      <c r="P240" s="67" t="s">
        <v>78</v>
      </c>
      <c r="Q240" s="67">
        <v>4.427249134E9</v>
      </c>
      <c r="R240" s="67" t="s">
        <v>1819</v>
      </c>
      <c r="S240" s="185" t="s">
        <v>1820</v>
      </c>
      <c r="T240" s="69" t="s">
        <v>81</v>
      </c>
      <c r="U240" s="70" t="s">
        <v>100</v>
      </c>
      <c r="V240" s="98">
        <v>0.0</v>
      </c>
      <c r="W240" s="67"/>
      <c r="X240" s="67" t="s">
        <v>84</v>
      </c>
      <c r="Y240" s="85">
        <v>2.0</v>
      </c>
      <c r="Z240" s="74">
        <v>46086.0</v>
      </c>
      <c r="AA240" s="164">
        <f>DAY(Tabla1[F. INICIO])</f>
        <v>5</v>
      </c>
      <c r="AB240" s="75" t="str">
        <f>TEXT(' En tramite 23-26'!$Z240,"mmmm")</f>
        <v>marzo</v>
      </c>
      <c r="AC240" s="165">
        <f>YEAR(' En tramite 23-26'!$Z240)</f>
        <v>2026</v>
      </c>
      <c r="AD240" s="67" t="s">
        <v>84</v>
      </c>
      <c r="AE240" s="73">
        <v>2.0</v>
      </c>
      <c r="AF240" s="84">
        <v>46086.0</v>
      </c>
      <c r="AG240" s="67" t="s">
        <v>84</v>
      </c>
      <c r="AH240" s="73">
        <v>2.0</v>
      </c>
      <c r="AI240" s="84">
        <v>46090.0</v>
      </c>
      <c r="AJ240" s="67">
        <f>DAY(' En tramite 23-26'!$AI240)</f>
        <v>9</v>
      </c>
      <c r="AK240" s="67" t="str">
        <f>TEXT(' En tramite 23-26'!$AI240,"mmmm")</f>
        <v>marzo</v>
      </c>
      <c r="AL240" s="67">
        <f>YEAR(' En tramite 23-26'!$Z240)</f>
        <v>2026</v>
      </c>
      <c r="AM240" s="67" t="s">
        <v>84</v>
      </c>
      <c r="AN240" s="73">
        <v>2.0</v>
      </c>
      <c r="AO240" s="84">
        <v>46090.0</v>
      </c>
      <c r="AP240" s="67" t="s">
        <v>220</v>
      </c>
      <c r="AQ240" s="73">
        <v>0.0</v>
      </c>
      <c r="AR240" s="84"/>
      <c r="AS240" s="73">
        <f>' En tramite 23-26'!$AI240+45</f>
        <v>46135</v>
      </c>
      <c r="AT240" s="67"/>
      <c r="AU240" s="67" t="s">
        <v>84</v>
      </c>
      <c r="AV240" s="67">
        <v>2.0</v>
      </c>
      <c r="AW240" s="73">
        <v>46188.0</v>
      </c>
      <c r="AX240" s="66" t="s">
        <v>86</v>
      </c>
      <c r="AY240" s="67" t="s">
        <v>84</v>
      </c>
      <c r="AZ240" s="67">
        <v>2.0</v>
      </c>
      <c r="BA240" s="84">
        <v>46188.0</v>
      </c>
      <c r="BB240" s="67" t="s">
        <v>84</v>
      </c>
      <c r="BC240" s="76">
        <v>2.0</v>
      </c>
      <c r="BD240" s="84">
        <v>46188.0</v>
      </c>
      <c r="BE240" s="67">
        <f>DAY(' En tramite 23-26'!$BD240)</f>
        <v>15</v>
      </c>
      <c r="BF240" s="73" t="str">
        <f>TEXT(' En tramite 23-26'!$BD240,"mmmm")</f>
        <v>junio</v>
      </c>
      <c r="BG240" s="67">
        <f>YEAR(' En tramite 23-26'!$BD240)</f>
        <v>2026</v>
      </c>
      <c r="BH240" s="77"/>
      <c r="BI240" s="66"/>
      <c r="BJ240" s="78" t="s">
        <v>274</v>
      </c>
      <c r="BK240" s="79" t="s">
        <v>275</v>
      </c>
      <c r="BL240" s="66"/>
      <c r="BM240" s="80"/>
    </row>
    <row r="241" ht="16.5" customHeight="1">
      <c r="A241" s="28" t="s">
        <v>1821</v>
      </c>
      <c r="B241" s="34"/>
      <c r="C241" s="13"/>
      <c r="D241" s="41" t="s">
        <v>1822</v>
      </c>
      <c r="E241" s="184" t="s">
        <v>1823</v>
      </c>
      <c r="F241" s="42" t="s">
        <v>1824</v>
      </c>
      <c r="G241" s="41">
        <v>7.295722889E9</v>
      </c>
      <c r="H241" s="186" t="s">
        <v>1825</v>
      </c>
      <c r="I241" s="41" t="s">
        <v>839</v>
      </c>
      <c r="J241" s="41" t="s">
        <v>109</v>
      </c>
      <c r="K241" s="41" t="s">
        <v>129</v>
      </c>
      <c r="L241" s="44" t="s">
        <v>75</v>
      </c>
      <c r="M241" s="44" t="s">
        <v>14</v>
      </c>
      <c r="N241" s="41" t="s">
        <v>1826</v>
      </c>
      <c r="O241" s="41" t="s">
        <v>211</v>
      </c>
      <c r="P241" s="44" t="s">
        <v>78</v>
      </c>
      <c r="Q241" s="44">
        <v>4.4222827E9</v>
      </c>
      <c r="R241" s="44" t="s">
        <v>1827</v>
      </c>
      <c r="S241" s="94" t="s">
        <v>1828</v>
      </c>
      <c r="T241" s="69" t="s">
        <v>81</v>
      </c>
      <c r="U241" s="70" t="s">
        <v>100</v>
      </c>
      <c r="V241" s="95">
        <v>0.0</v>
      </c>
      <c r="W241" s="44"/>
      <c r="X241" s="44" t="s">
        <v>84</v>
      </c>
      <c r="Y241" s="56">
        <v>2.0</v>
      </c>
      <c r="Z241" s="50">
        <v>46118.0</v>
      </c>
      <c r="AA241" s="163">
        <f>DAY(Tabla1[F. INICIO])</f>
        <v>6</v>
      </c>
      <c r="AB241" s="51" t="str">
        <f>TEXT(' En tramite 23-26'!$Z241,"mmmm")</f>
        <v>abril</v>
      </c>
      <c r="AC241" s="166">
        <f>YEAR(' En tramite 23-26'!$Z241)</f>
        <v>2026</v>
      </c>
      <c r="AD241" s="44" t="s">
        <v>84</v>
      </c>
      <c r="AE241" s="49">
        <v>2.0</v>
      </c>
      <c r="AF241" s="55">
        <v>46118.0</v>
      </c>
      <c r="AG241" s="44" t="s">
        <v>84</v>
      </c>
      <c r="AH241" s="49">
        <v>2.0</v>
      </c>
      <c r="AI241" s="55">
        <v>46118.0</v>
      </c>
      <c r="AJ241" s="44">
        <f>DAY(' En tramite 23-26'!$AI241)</f>
        <v>6</v>
      </c>
      <c r="AK241" s="44" t="str">
        <f>TEXT(' En tramite 23-26'!$AI241,"mmmm")</f>
        <v>abril</v>
      </c>
      <c r="AL241" s="44">
        <f>YEAR(' En tramite 23-26'!$Z241)</f>
        <v>2026</v>
      </c>
      <c r="AM241" s="44" t="s">
        <v>84</v>
      </c>
      <c r="AN241" s="49">
        <v>2.0</v>
      </c>
      <c r="AO241" s="55">
        <v>46134.0</v>
      </c>
      <c r="AP241" s="44" t="s">
        <v>84</v>
      </c>
      <c r="AQ241" s="49">
        <v>2.0</v>
      </c>
      <c r="AR241" s="55">
        <v>46148.0</v>
      </c>
      <c r="AS241" s="57">
        <f>' En tramite 23-26'!$AI241+45</f>
        <v>46163</v>
      </c>
      <c r="AT241" s="44" t="s">
        <v>85</v>
      </c>
      <c r="AU241" s="44" t="s">
        <v>84</v>
      </c>
      <c r="AV241" s="44">
        <v>2.0</v>
      </c>
      <c r="AW241" s="49">
        <f>' En tramite 23-26'!$AS241+45</f>
        <v>46208</v>
      </c>
      <c r="AX241" s="13"/>
      <c r="AY241" s="44"/>
      <c r="AZ241" s="44"/>
      <c r="BA241" s="55"/>
      <c r="BB241" s="44"/>
      <c r="BC241" s="12"/>
      <c r="BD241" s="55"/>
      <c r="BE241" s="44">
        <f>DAY(' En tramite 23-26'!$BD241)</f>
        <v>30</v>
      </c>
      <c r="BF241" s="49" t="str">
        <f>TEXT(' En tramite 23-26'!$BD241,"mmmm")</f>
        <v>diciembre</v>
      </c>
      <c r="BG241" s="44">
        <f>YEAR(' En tramite 23-26'!$BD241)</f>
        <v>1899</v>
      </c>
      <c r="BH241" s="53"/>
      <c r="BI241" s="13"/>
      <c r="BJ241" s="34"/>
      <c r="BK241" s="54"/>
      <c r="BL241" s="13"/>
      <c r="BM241" s="58"/>
    </row>
    <row r="242" ht="16.5" customHeight="1">
      <c r="A242" s="28" t="s">
        <v>1829</v>
      </c>
      <c r="B242" s="34"/>
      <c r="C242" s="13"/>
      <c r="D242" s="41" t="s">
        <v>1830</v>
      </c>
      <c r="E242" s="184" t="s">
        <v>1831</v>
      </c>
      <c r="F242" s="42" t="s">
        <v>1832</v>
      </c>
      <c r="G242" s="41">
        <v>4.425741944E9</v>
      </c>
      <c r="H242" s="186" t="s">
        <v>1833</v>
      </c>
      <c r="I242" s="41" t="s">
        <v>839</v>
      </c>
      <c r="J242" s="41" t="s">
        <v>109</v>
      </c>
      <c r="K242" s="41" t="s">
        <v>129</v>
      </c>
      <c r="L242" s="44" t="s">
        <v>200</v>
      </c>
      <c r="M242" s="44" t="s">
        <v>14</v>
      </c>
      <c r="N242" s="41" t="s">
        <v>1834</v>
      </c>
      <c r="O242" s="41" t="s">
        <v>77</v>
      </c>
      <c r="P242" s="44" t="s">
        <v>78</v>
      </c>
      <c r="Q242" s="44">
        <v>4.421702476E9</v>
      </c>
      <c r="R242" s="44" t="s">
        <v>1835</v>
      </c>
      <c r="S242" s="94" t="s">
        <v>1836</v>
      </c>
      <c r="T242" s="69" t="s">
        <v>81</v>
      </c>
      <c r="U242" s="70" t="s">
        <v>100</v>
      </c>
      <c r="V242" s="95">
        <v>0.0</v>
      </c>
      <c r="W242" s="44"/>
      <c r="X242" s="44" t="s">
        <v>84</v>
      </c>
      <c r="Y242" s="56">
        <v>2.0</v>
      </c>
      <c r="Z242" s="50">
        <v>46213.0</v>
      </c>
      <c r="AA242" s="163">
        <f>DAY(Tabla1[F. INICIO])</f>
        <v>10</v>
      </c>
      <c r="AB242" s="51" t="str">
        <f>TEXT(' En tramite 23-26'!$Z242,"mmmm")</f>
        <v>julio</v>
      </c>
      <c r="AC242" s="166">
        <f>YEAR(' En tramite 23-26'!$Z242)</f>
        <v>2026</v>
      </c>
      <c r="AD242" s="44" t="s">
        <v>84</v>
      </c>
      <c r="AE242" s="49">
        <v>2.0</v>
      </c>
      <c r="AF242" s="55">
        <v>46213.0</v>
      </c>
      <c r="AG242" s="44"/>
      <c r="AH242" s="49"/>
      <c r="AI242" s="55"/>
      <c r="AJ242" s="44">
        <f>DAY(' En tramite 23-26'!$AI242)</f>
        <v>30</v>
      </c>
      <c r="AK242" s="44" t="str">
        <f>TEXT(' En tramite 23-26'!$AI242,"mmmm")</f>
        <v>diciembre</v>
      </c>
      <c r="AL242" s="44">
        <f>YEAR(' En tramite 23-26'!$Z242)</f>
        <v>2026</v>
      </c>
      <c r="AM242" s="44"/>
      <c r="AN242" s="49"/>
      <c r="AO242" s="55"/>
      <c r="AP242" s="44"/>
      <c r="AQ242" s="49"/>
      <c r="AR242" s="55"/>
      <c r="AS242" s="57">
        <f>' En tramite 23-26'!$AI242+45</f>
        <v>45</v>
      </c>
      <c r="AT242" s="44"/>
      <c r="AU242" s="44"/>
      <c r="AV242" s="44"/>
      <c r="AW242" s="49">
        <f>' En tramite 23-26'!$AS242+45</f>
        <v>90</v>
      </c>
      <c r="AX242" s="13"/>
      <c r="AY242" s="44"/>
      <c r="AZ242" s="44"/>
      <c r="BA242" s="55"/>
      <c r="BB242" s="44"/>
      <c r="BC242" s="12"/>
      <c r="BD242" s="55"/>
      <c r="BE242" s="44">
        <f>DAY(' En tramite 23-26'!$BD242)</f>
        <v>30</v>
      </c>
      <c r="BF242" s="49" t="str">
        <f>TEXT(' En tramite 23-26'!$BD242,"mmmm")</f>
        <v>diciembre</v>
      </c>
      <c r="BG242" s="44">
        <f>YEAR(' En tramite 23-26'!$BD242)</f>
        <v>1899</v>
      </c>
      <c r="BH242" s="53"/>
      <c r="BI242" s="13"/>
      <c r="BJ242" s="34"/>
      <c r="BK242" s="54"/>
      <c r="BL242" s="13"/>
      <c r="BM242" s="58"/>
    </row>
    <row r="243" ht="16.5" customHeight="1">
      <c r="A243" s="28" t="s">
        <v>1837</v>
      </c>
      <c r="B243" s="34"/>
      <c r="C243" s="13"/>
      <c r="D243" s="41" t="s">
        <v>1838</v>
      </c>
      <c r="E243" s="184" t="s">
        <v>1839</v>
      </c>
      <c r="F243" s="42" t="s">
        <v>1840</v>
      </c>
      <c r="G243" s="41">
        <v>4.428195263E9</v>
      </c>
      <c r="H243" s="186" t="s">
        <v>1841</v>
      </c>
      <c r="I243" s="41" t="s">
        <v>839</v>
      </c>
      <c r="J243" s="41" t="s">
        <v>109</v>
      </c>
      <c r="K243" s="41" t="s">
        <v>129</v>
      </c>
      <c r="L243" s="44" t="s">
        <v>200</v>
      </c>
      <c r="M243" s="44" t="s">
        <v>14</v>
      </c>
      <c r="N243" s="41" t="s">
        <v>1834</v>
      </c>
      <c r="O243" s="41" t="s">
        <v>77</v>
      </c>
      <c r="P243" s="44" t="s">
        <v>78</v>
      </c>
      <c r="Q243" s="44">
        <v>4.421702476E9</v>
      </c>
      <c r="R243" s="44" t="s">
        <v>1835</v>
      </c>
      <c r="S243" s="94" t="s">
        <v>1836</v>
      </c>
      <c r="T243" s="69" t="s">
        <v>81</v>
      </c>
      <c r="U243" s="70" t="s">
        <v>100</v>
      </c>
      <c r="V243" s="95">
        <v>0.0</v>
      </c>
      <c r="W243" s="44"/>
      <c r="X243" s="44" t="s">
        <v>84</v>
      </c>
      <c r="Y243" s="56">
        <v>2.0</v>
      </c>
      <c r="Z243" s="50">
        <v>46213.0</v>
      </c>
      <c r="AA243" s="163">
        <f>DAY(Tabla1[F. INICIO])</f>
        <v>10</v>
      </c>
      <c r="AB243" s="51" t="str">
        <f>TEXT(' En tramite 23-26'!$Z243,"mmmm")</f>
        <v>julio</v>
      </c>
      <c r="AC243" s="166">
        <f>YEAR(' En tramite 23-26'!$Z243)</f>
        <v>2026</v>
      </c>
      <c r="AD243" s="44" t="s">
        <v>84</v>
      </c>
      <c r="AE243" s="49">
        <v>2.0</v>
      </c>
      <c r="AF243" s="55">
        <v>46213.0</v>
      </c>
      <c r="AG243" s="44"/>
      <c r="AH243" s="49"/>
      <c r="AI243" s="55"/>
      <c r="AJ243" s="44">
        <f>DAY(' En tramite 23-26'!$AI243)</f>
        <v>30</v>
      </c>
      <c r="AK243" s="44" t="str">
        <f>TEXT(' En tramite 23-26'!$AI243,"mmmm")</f>
        <v>diciembre</v>
      </c>
      <c r="AL243" s="44">
        <f>YEAR(' En tramite 23-26'!$Z243)</f>
        <v>2026</v>
      </c>
      <c r="AM243" s="44"/>
      <c r="AN243" s="49"/>
      <c r="AO243" s="55"/>
      <c r="AP243" s="44"/>
      <c r="AQ243" s="49"/>
      <c r="AR243" s="55"/>
      <c r="AS243" s="57">
        <f>' En tramite 23-26'!$AI243+45</f>
        <v>45</v>
      </c>
      <c r="AT243" s="44"/>
      <c r="AU243" s="44"/>
      <c r="AV243" s="44"/>
      <c r="AW243" s="49">
        <f>' En tramite 23-26'!$AS243+45</f>
        <v>90</v>
      </c>
      <c r="AX243" s="13"/>
      <c r="AY243" s="44"/>
      <c r="AZ243" s="44"/>
      <c r="BA243" s="55"/>
      <c r="BB243" s="44"/>
      <c r="BC243" s="12"/>
      <c r="BD243" s="55"/>
      <c r="BE243" s="44">
        <f>DAY(' En tramite 23-26'!$BD243)</f>
        <v>30</v>
      </c>
      <c r="BF243" s="49" t="str">
        <f>TEXT(' En tramite 23-26'!$BD243,"mmmm")</f>
        <v>diciembre</v>
      </c>
      <c r="BG243" s="44">
        <f>YEAR(' En tramite 23-26'!$BD243)</f>
        <v>1899</v>
      </c>
      <c r="BH243" s="53"/>
      <c r="BI243" s="13"/>
      <c r="BJ243" s="34"/>
      <c r="BK243" s="54"/>
      <c r="BL243" s="13"/>
      <c r="BM243" s="58"/>
    </row>
    <row r="244" ht="16.5" customHeight="1">
      <c r="A244" s="28" t="s">
        <v>1842</v>
      </c>
      <c r="B244" s="34"/>
      <c r="C244" s="13"/>
      <c r="D244" s="41"/>
      <c r="E244" s="13" t="s">
        <v>1843</v>
      </c>
      <c r="F244" s="42">
        <v>2.342207006E10</v>
      </c>
      <c r="G244" s="41"/>
      <c r="H244" s="47"/>
      <c r="I244" s="41"/>
      <c r="J244" s="41"/>
      <c r="K244" s="41"/>
      <c r="L244" s="44"/>
      <c r="M244" s="44"/>
      <c r="N244" s="41"/>
      <c r="O244" s="41"/>
      <c r="P244" s="44" t="s">
        <v>78</v>
      </c>
      <c r="Q244" s="44"/>
      <c r="R244" s="44"/>
      <c r="S244" s="45"/>
      <c r="T244" s="45"/>
      <c r="U244" s="45"/>
      <c r="V244" s="95"/>
      <c r="W244" s="44"/>
      <c r="X244" s="44"/>
      <c r="Y244" s="56"/>
      <c r="Z244" s="50"/>
      <c r="AA244" s="163">
        <f>DAY(Tabla1[F. INICIO])</f>
        <v>30</v>
      </c>
      <c r="AB244" s="51" t="str">
        <f>TEXT(' En tramite 23-26'!$Z244,"mmmm")</f>
        <v>diciembre</v>
      </c>
      <c r="AC244" s="166">
        <f>YEAR(' En tramite 23-26'!$Z244)</f>
        <v>1899</v>
      </c>
      <c r="AD244" s="44"/>
      <c r="AE244" s="49"/>
      <c r="AF244" s="55"/>
      <c r="AG244" s="44"/>
      <c r="AH244" s="49"/>
      <c r="AI244" s="55"/>
      <c r="AJ244" s="44">
        <f>DAY(' En tramite 23-26'!$AI244)</f>
        <v>30</v>
      </c>
      <c r="AK244" s="44" t="str">
        <f>TEXT(' En tramite 23-26'!$AI244,"mmmm")</f>
        <v>diciembre</v>
      </c>
      <c r="AL244" s="44">
        <f>YEAR(' En tramite 23-26'!$Z244)</f>
        <v>1899</v>
      </c>
      <c r="AM244" s="44"/>
      <c r="AN244" s="49"/>
      <c r="AO244" s="55"/>
      <c r="AP244" s="44"/>
      <c r="AQ244" s="49"/>
      <c r="AR244" s="55"/>
      <c r="AS244" s="57">
        <f>' En tramite 23-26'!$AI244+45</f>
        <v>45</v>
      </c>
      <c r="AT244" s="44"/>
      <c r="AU244" s="44"/>
      <c r="AV244" s="44"/>
      <c r="AW244" s="49">
        <f>' En tramite 23-26'!$AS244+45</f>
        <v>90</v>
      </c>
      <c r="AX244" s="13"/>
      <c r="AY244" s="44"/>
      <c r="AZ244" s="44"/>
      <c r="BA244" s="55"/>
      <c r="BB244" s="44"/>
      <c r="BC244" s="12"/>
      <c r="BD244" s="55"/>
      <c r="BE244" s="44">
        <f>DAY(' En tramite 23-26'!$BD244)</f>
        <v>30</v>
      </c>
      <c r="BF244" s="49" t="str">
        <f>TEXT(' En tramite 23-26'!$BD244,"mmmm")</f>
        <v>diciembre</v>
      </c>
      <c r="BG244" s="44">
        <f>YEAR(' En tramite 23-26'!$BD244)</f>
        <v>1899</v>
      </c>
      <c r="BH244" s="53"/>
      <c r="BI244" s="13"/>
      <c r="BJ244" s="34"/>
      <c r="BK244" s="54"/>
      <c r="BL244" s="13"/>
      <c r="BM244" s="58"/>
    </row>
    <row r="245">
      <c r="C245" s="87" t="s">
        <v>1844</v>
      </c>
      <c r="D245" s="187" t="s">
        <v>1845</v>
      </c>
      <c r="BG245" s="87" t="s">
        <v>88</v>
      </c>
      <c r="BH245" s="87">
        <v>104.0</v>
      </c>
    </row>
    <row r="246">
      <c r="D246" s="187"/>
      <c r="BG246" s="87" t="s">
        <v>274</v>
      </c>
      <c r="BH246" s="87">
        <v>57.0</v>
      </c>
    </row>
    <row r="247">
      <c r="C247" s="87" t="s">
        <v>108</v>
      </c>
      <c r="D247" s="188">
        <v>147.9</v>
      </c>
      <c r="F247" s="187"/>
      <c r="BG247" s="87" t="s">
        <v>1846</v>
      </c>
    </row>
    <row r="248">
      <c r="C248" s="87" t="s">
        <v>1847</v>
      </c>
      <c r="D248" s="187"/>
      <c r="F248" s="187"/>
      <c r="S248" s="87" t="s">
        <v>1848</v>
      </c>
      <c r="BH248" s="87">
        <f>SUBTOTAL(9,BH245:BH247)</f>
        <v>161</v>
      </c>
      <c r="BI248" s="87">
        <f>F251-BH248</f>
        <v>-16.7</v>
      </c>
      <c r="BN248" s="189"/>
      <c r="BO248" s="189"/>
    </row>
    <row r="249">
      <c r="C249" s="87" t="s">
        <v>128</v>
      </c>
      <c r="D249" s="187" t="s">
        <v>1849</v>
      </c>
      <c r="F249" s="187"/>
    </row>
    <row r="250">
      <c r="C250" s="87" t="s">
        <v>630</v>
      </c>
      <c r="BG250" s="87" t="s">
        <v>1850</v>
      </c>
      <c r="BH250" s="87">
        <v>238.0</v>
      </c>
    </row>
    <row r="251">
      <c r="C251" s="87" t="s">
        <v>140</v>
      </c>
      <c r="D251" s="87">
        <v>481.0</v>
      </c>
      <c r="F251" s="3">
        <v>144.3</v>
      </c>
      <c r="BG251" s="87" t="s">
        <v>1851</v>
      </c>
      <c r="BH251" s="87">
        <v>92.0</v>
      </c>
      <c r="BI251" s="190"/>
    </row>
    <row r="252">
      <c r="C252" s="87" t="s">
        <v>209</v>
      </c>
      <c r="BH252" s="87">
        <f>SUBTOTAL(9,BH245:BH247)</f>
        <v>161</v>
      </c>
    </row>
    <row r="253">
      <c r="C253" s="87" t="s">
        <v>154</v>
      </c>
    </row>
    <row r="254">
      <c r="A254" s="189"/>
      <c r="B254" s="189"/>
      <c r="C254" s="189" t="s">
        <v>319</v>
      </c>
      <c r="D254" s="189"/>
      <c r="E254" s="189"/>
      <c r="F254" s="189"/>
      <c r="G254" s="189"/>
      <c r="H254" s="189"/>
      <c r="I254" s="189"/>
      <c r="J254" s="189"/>
      <c r="K254" s="189"/>
      <c r="L254" s="189"/>
      <c r="M254" s="189"/>
      <c r="N254" s="189"/>
      <c r="O254" s="189"/>
      <c r="P254" s="189"/>
      <c r="Q254" s="189"/>
      <c r="R254" s="189"/>
      <c r="S254" s="189"/>
      <c r="T254" s="189"/>
      <c r="U254" s="189"/>
      <c r="V254" s="189"/>
      <c r="W254" s="189"/>
      <c r="X254" s="189"/>
      <c r="Y254" s="189"/>
      <c r="Z254" s="189"/>
      <c r="AA254" s="189"/>
      <c r="AC254" s="189"/>
      <c r="AD254" s="189"/>
      <c r="AE254" s="189"/>
      <c r="AF254" s="189"/>
      <c r="AG254" s="189"/>
      <c r="AH254" s="189"/>
      <c r="AI254" s="189"/>
      <c r="AJ254" s="189"/>
      <c r="AK254" s="189"/>
      <c r="AL254" s="189"/>
      <c r="AM254" s="189"/>
      <c r="AN254" s="189"/>
      <c r="AO254" s="189"/>
      <c r="AP254" s="189"/>
      <c r="AQ254" s="189"/>
      <c r="AR254" s="189"/>
      <c r="AS254" s="189"/>
      <c r="AT254" s="189"/>
      <c r="AU254" s="189"/>
      <c r="AV254" s="189"/>
      <c r="AW254" s="189"/>
      <c r="AX254" s="189"/>
      <c r="AY254" s="189"/>
      <c r="AZ254" s="189"/>
      <c r="BA254" s="189"/>
      <c r="BB254" s="189"/>
      <c r="BC254" s="189"/>
      <c r="BD254" s="189"/>
      <c r="BE254" s="189"/>
      <c r="BF254" s="189"/>
      <c r="BG254" s="189"/>
      <c r="BH254" s="189"/>
      <c r="BI254" s="189"/>
      <c r="BJ254" s="189"/>
      <c r="BK254" s="189"/>
      <c r="BL254" s="189"/>
      <c r="BM254" s="189"/>
    </row>
    <row r="255">
      <c r="C255" s="87" t="s">
        <v>407</v>
      </c>
    </row>
    <row r="256">
      <c r="C256" s="87" t="s">
        <v>72</v>
      </c>
    </row>
    <row r="257">
      <c r="C257" s="87" t="s">
        <v>345</v>
      </c>
      <c r="M257" s="87"/>
    </row>
    <row r="258">
      <c r="C258" s="87" t="s">
        <v>1852</v>
      </c>
    </row>
    <row r="259"/>
    <row r="260"/>
    <row r="261">
      <c r="C261" s="87" t="s">
        <v>74</v>
      </c>
    </row>
    <row r="262">
      <c r="C262" s="87" t="s">
        <v>110</v>
      </c>
    </row>
    <row r="263">
      <c r="C263" s="87" t="s">
        <v>129</v>
      </c>
    </row>
    <row r="264">
      <c r="C264" s="87" t="s">
        <v>141</v>
      </c>
    </row>
    <row r="265"/>
    <row r="266"/>
    <row r="267">
      <c r="C267" s="87" t="s">
        <v>200</v>
      </c>
    </row>
    <row r="268">
      <c r="C268" s="87" t="s">
        <v>1384</v>
      </c>
    </row>
    <row r="269"/>
    <row r="270"/>
    <row r="271">
      <c r="C271" s="87" t="s">
        <v>111</v>
      </c>
    </row>
    <row r="272">
      <c r="C272" s="87" t="s">
        <v>95</v>
      </c>
    </row>
    <row r="273">
      <c r="C273" s="87" t="s">
        <v>1853</v>
      </c>
    </row>
    <row r="274">
      <c r="C274" s="87" t="s">
        <v>142</v>
      </c>
    </row>
    <row r="275">
      <c r="C275" s="87" t="s">
        <v>100</v>
      </c>
    </row>
    <row r="276">
      <c r="C276" s="87" t="s">
        <v>82</v>
      </c>
    </row>
    <row r="277"/>
    <row r="278"/>
    <row r="279">
      <c r="C279" s="87" t="s">
        <v>220</v>
      </c>
    </row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customSheetViews>
    <customSheetView guid="{DE148FF4-07CC-4082-B244-F1254485F3AC}" filter="1" showAutoFilter="1">
      <autoFilter ref="$A$3:$BM$244">
        <filterColumn colId="61">
          <filters>
            <filter val="BLOQUE 1"/>
          </filters>
        </filterColumn>
      </autoFilter>
    </customSheetView>
  </customSheetViews>
  <conditionalFormatting sqref="AT4 AT7:AT9 AT11:AT30 AT32:AT44 AT83:AT95">
    <cfRule type="containsText" dxfId="5" priority="1" operator="containsText" text="VENCIDO">
      <formula>NOT(ISERROR(SEARCH(("VENCIDO"),(AT4))))</formula>
    </cfRule>
  </conditionalFormatting>
  <conditionalFormatting sqref="AT59:AT60 AT62:AT63 AT66 AT69:AT81 AT96:AT97 AT100:AT105 AT107:AT110 AT113:AT159 AT161:AT168">
    <cfRule type="containsText" dxfId="5" priority="2" operator="containsText" text="VENCIDO">
      <formula>NOT(ISERROR(SEARCH(("VENCIDO"),(AT59))))</formula>
    </cfRule>
  </conditionalFormatting>
  <conditionalFormatting sqref="AT46">
    <cfRule type="containsText" dxfId="5" priority="3" operator="containsText" text="VENCIDO">
      <formula>NOT(ISERROR(SEARCH(("VENCIDO"),(AT46))))</formula>
    </cfRule>
  </conditionalFormatting>
  <conditionalFormatting sqref="AX8:AX9 AX14:AX23 AX25:AX26 AX28 AX32 AX38 AX40 AX46 AX55:AX63">
    <cfRule type="containsText" dxfId="5" priority="4" operator="containsText" text="VENCIDO">
      <formula>NOT(ISERROR(SEARCH(("VENCIDO"),(AX8))))</formula>
    </cfRule>
  </conditionalFormatting>
  <conditionalFormatting sqref="AT52">
    <cfRule type="containsText" dxfId="5" priority="5" operator="containsText" text="VENCIDO">
      <formula>NOT(ISERROR(SEARCH(("VENCIDO"),(AT52))))</formula>
    </cfRule>
  </conditionalFormatting>
  <conditionalFormatting sqref="AT50">
    <cfRule type="containsText" dxfId="5" priority="6" operator="containsText" text="VENCIDO">
      <formula>NOT(ISERROR(SEARCH(("VENCIDO"),(AT50))))</formula>
    </cfRule>
  </conditionalFormatting>
  <conditionalFormatting sqref="AT51">
    <cfRule type="containsText" dxfId="5" priority="7" operator="containsText" text="VENCIDO">
      <formula>NOT(ISERROR(SEARCH(("VENCIDO"),(AT51))))</formula>
    </cfRule>
  </conditionalFormatting>
  <conditionalFormatting sqref="AT47:AT48">
    <cfRule type="containsText" dxfId="5" priority="8" operator="containsText" text="VENCIDO">
      <formula>NOT(ISERROR(SEARCH(("VENCIDO"),(AT47))))</formula>
    </cfRule>
  </conditionalFormatting>
  <conditionalFormatting sqref="AT49">
    <cfRule type="containsText" dxfId="5" priority="9" operator="containsText" text="VENCIDO">
      <formula>NOT(ISERROR(SEARCH(("VENCIDO"),(AT49))))</formula>
    </cfRule>
  </conditionalFormatting>
  <conditionalFormatting sqref="AT53">
    <cfRule type="containsText" dxfId="5" priority="10" operator="containsText" text="VENCIDO">
      <formula>NOT(ISERROR(SEARCH(("VENCIDO"),(AT53))))</formula>
    </cfRule>
  </conditionalFormatting>
  <conditionalFormatting sqref="AX68">
    <cfRule type="containsText" dxfId="5" priority="11" operator="containsText" text="VENCIDO">
      <formula>NOT(ISERROR(SEARCH(("VENCIDO"),(AX68))))</formula>
    </cfRule>
  </conditionalFormatting>
  <conditionalFormatting sqref="AT54">
    <cfRule type="containsText" dxfId="5" priority="12" operator="containsText" text="VENCIDO">
      <formula>NOT(ISERROR(SEARCH(("VENCIDO"),(AT54))))</formula>
    </cfRule>
  </conditionalFormatting>
  <conditionalFormatting sqref="AT68">
    <cfRule type="containsText" dxfId="5" priority="13" operator="containsText" text="VENCIDO">
      <formula>NOT(ISERROR(SEARCH(("VENCIDO"),(AT68))))</formula>
    </cfRule>
  </conditionalFormatting>
  <conditionalFormatting sqref="AT67">
    <cfRule type="containsText" dxfId="5" priority="14" operator="containsText" text="VENCIDO">
      <formula>NOT(ISERROR(SEARCH(("VENCIDO"),(AT67))))</formula>
    </cfRule>
  </conditionalFormatting>
  <conditionalFormatting sqref="AT65">
    <cfRule type="containsText" dxfId="5" priority="15" operator="containsText" text="VENCIDO">
      <formula>NOT(ISERROR(SEARCH(("VENCIDO"),(AT65))))</formula>
    </cfRule>
  </conditionalFormatting>
  <conditionalFormatting sqref="AT98">
    <cfRule type="containsText" dxfId="5" priority="16" operator="containsText" text="VENCIDO">
      <formula>NOT(ISERROR(SEARCH(("VENCIDO"),(AT98))))</formula>
    </cfRule>
  </conditionalFormatting>
  <conditionalFormatting sqref="AT55:AT57">
    <cfRule type="containsText" dxfId="5" priority="17" operator="containsText" text="VENCIDO">
      <formula>NOT(ISERROR(SEARCH(("VENCIDO"),(AT55))))</formula>
    </cfRule>
  </conditionalFormatting>
  <conditionalFormatting sqref="AT82">
    <cfRule type="containsText" dxfId="5" priority="18" operator="containsText" text="VENCIDO">
      <formula>NOT(ISERROR(SEARCH(("VENCIDO"),(AT82))))</formula>
    </cfRule>
  </conditionalFormatting>
  <conditionalFormatting sqref="AT58">
    <cfRule type="containsText" dxfId="5" priority="19" operator="containsText" text="VENCIDO">
      <formula>NOT(ISERROR(SEARCH(("VENCIDO"),(AT58))))</formula>
    </cfRule>
  </conditionalFormatting>
  <conditionalFormatting sqref="AT61">
    <cfRule type="containsText" dxfId="5" priority="20" operator="containsText" text="VENCIDO">
      <formula>NOT(ISERROR(SEARCH(("VENCIDO"),(AT61))))</formula>
    </cfRule>
  </conditionalFormatting>
  <conditionalFormatting sqref="AT64">
    <cfRule type="containsText" dxfId="5" priority="21" operator="containsText" text="VENCIDO">
      <formula>NOT(ISERROR(SEARCH(("VENCIDO"),(AT64))))</formula>
    </cfRule>
  </conditionalFormatting>
  <conditionalFormatting sqref="AX64">
    <cfRule type="containsText" dxfId="5" priority="22" operator="containsText" text="VENCIDO">
      <formula>NOT(ISERROR(SEARCH(("VENCIDO"),(AX64))))</formula>
    </cfRule>
  </conditionalFormatting>
  <conditionalFormatting sqref="AT106">
    <cfRule type="containsText" dxfId="5" priority="23" operator="containsText" text="VENCIDO">
      <formula>NOT(ISERROR(SEARCH(("VENCIDO"),(AT106))))</formula>
    </cfRule>
  </conditionalFormatting>
  <conditionalFormatting sqref="AT99">
    <cfRule type="containsText" dxfId="5" priority="24" operator="containsText" text="VENCIDO">
      <formula>NOT(ISERROR(SEARCH(("VENCIDO"),(AT99))))</formula>
    </cfRule>
  </conditionalFormatting>
  <conditionalFormatting sqref="AT111:AT112">
    <cfRule type="containsText" dxfId="5" priority="25" operator="containsText" text="VENCIDO">
      <formula>NOT(ISERROR(SEARCH(("VENCIDO"),(AT111))))</formula>
    </cfRule>
  </conditionalFormatting>
  <conditionalFormatting sqref="AT160">
    <cfRule type="containsText" dxfId="5" priority="26" operator="containsText" text="VENCIDO">
      <formula>NOT(ISERROR(SEARCH(("VENCIDO"),(AT160))))</formula>
    </cfRule>
  </conditionalFormatting>
  <conditionalFormatting sqref="AX43 AX47:AX52">
    <cfRule type="containsText" dxfId="5" priority="27" operator="containsText" text="VENCIDO">
      <formula>NOT(ISERROR(SEARCH(("VENCIDO"),(AX43))))</formula>
    </cfRule>
  </conditionalFormatting>
  <conditionalFormatting sqref="AX12">
    <cfRule type="containsText" dxfId="5" priority="28" operator="containsText" text="VENCIDO">
      <formula>NOT(ISERROR(SEARCH(("VENCIDO"),(AX12))))</formula>
    </cfRule>
  </conditionalFormatting>
  <conditionalFormatting sqref="AX13">
    <cfRule type="containsText" dxfId="5" priority="29" operator="containsText" text="VENCIDO">
      <formula>NOT(ISERROR(SEARCH(("VENCIDO"),(AX13))))</formula>
    </cfRule>
  </conditionalFormatting>
  <conditionalFormatting sqref="AX31 AX35:AX37 AX41:AX42">
    <cfRule type="containsText" dxfId="5" priority="30" operator="containsText" text="VENCIDO">
      <formula>NOT(ISERROR(SEARCH(("VENCIDO"),(AX31))))</formula>
    </cfRule>
  </conditionalFormatting>
  <conditionalFormatting sqref="AT31">
    <cfRule type="containsText" dxfId="5" priority="31" operator="containsText" text="VENCIDO">
      <formula>NOT(ISERROR(SEARCH(("VENCIDO"),(AT31))))</formula>
    </cfRule>
  </conditionalFormatting>
  <conditionalFormatting sqref="AX5:AX7">
    <cfRule type="containsText" dxfId="5" priority="32" operator="containsText" text="VENCIDO">
      <formula>NOT(ISERROR(SEARCH(("VENCIDO"),(AX5))))</formula>
    </cfRule>
  </conditionalFormatting>
  <conditionalFormatting sqref="AX54">
    <cfRule type="containsText" dxfId="5" priority="33" operator="containsText" text="VENCIDO">
      <formula>NOT(ISERROR(SEARCH(("VENCIDO"),(AX54))))</formula>
    </cfRule>
  </conditionalFormatting>
  <conditionalFormatting sqref="AX53">
    <cfRule type="containsText" dxfId="5" priority="34" operator="containsText" text="VENCIDO">
      <formula>NOT(ISERROR(SEARCH(("VENCIDO"),(AX53))))</formula>
    </cfRule>
  </conditionalFormatting>
  <conditionalFormatting sqref="AX27">
    <cfRule type="containsText" dxfId="5" priority="35" operator="containsText" text="VENCIDO">
      <formula>NOT(ISERROR(SEARCH(("VENCIDO"),(AX27))))</formula>
    </cfRule>
  </conditionalFormatting>
  <conditionalFormatting sqref="AT10">
    <cfRule type="containsText" dxfId="5" priority="36" operator="containsText" text="VENCIDO">
      <formula>NOT(ISERROR(SEARCH(("VENCIDO"),(AT10))))</formula>
    </cfRule>
  </conditionalFormatting>
  <conditionalFormatting sqref="AX10:AX11">
    <cfRule type="containsText" dxfId="5" priority="37" operator="containsText" text="VENCIDO">
      <formula>NOT(ISERROR(SEARCH(("VENCIDO"),(AX10))))</formula>
    </cfRule>
  </conditionalFormatting>
  <conditionalFormatting sqref="AX30">
    <cfRule type="containsText" dxfId="5" priority="38" operator="containsText" text="VENCIDO">
      <formula>NOT(ISERROR(SEARCH(("VENCIDO"),(AX30))))</formula>
    </cfRule>
  </conditionalFormatting>
  <conditionalFormatting sqref="AX33">
    <cfRule type="containsText" dxfId="5" priority="39" operator="containsText" text="VENCIDO">
      <formula>NOT(ISERROR(SEARCH(("VENCIDO"),(AX33))))</formula>
    </cfRule>
  </conditionalFormatting>
  <conditionalFormatting sqref="AX65">
    <cfRule type="containsText" dxfId="5" priority="40" operator="containsText" text="VENCIDO">
      <formula>NOT(ISERROR(SEARCH(("VENCIDO"),(AX65))))</formula>
    </cfRule>
  </conditionalFormatting>
  <conditionalFormatting sqref="AX34">
    <cfRule type="containsText" dxfId="5" priority="41" operator="containsText" text="VENCIDO">
      <formula>NOT(ISERROR(SEARCH(("VENCIDO"),(AX34))))</formula>
    </cfRule>
  </conditionalFormatting>
  <conditionalFormatting sqref="AX24">
    <cfRule type="containsText" dxfId="5" priority="42" operator="containsText" text="VENCIDO">
      <formula>NOT(ISERROR(SEARCH(("VENCIDO"),(AX24))))</formula>
    </cfRule>
  </conditionalFormatting>
  <conditionalFormatting sqref="AX29">
    <cfRule type="containsText" dxfId="5" priority="43" operator="containsText" text="VENCIDO">
      <formula>NOT(ISERROR(SEARCH(("VENCIDO"),(AX29))))</formula>
    </cfRule>
  </conditionalFormatting>
  <conditionalFormatting sqref="AX39">
    <cfRule type="containsText" dxfId="5" priority="44" operator="containsText" text="VENCIDO">
      <formula>NOT(ISERROR(SEARCH(("VENCIDO"),(AX39))))</formula>
    </cfRule>
  </conditionalFormatting>
  <conditionalFormatting sqref="AT45">
    <cfRule type="containsText" dxfId="5" priority="45" operator="containsText" text="VENCIDO">
      <formula>NOT(ISERROR(SEARCH(("VENCIDO"),(AT45))))</formula>
    </cfRule>
  </conditionalFormatting>
  <dataValidations>
    <dataValidation type="list" allowBlank="1" showErrorMessage="1" sqref="O4:O244">
      <formula1>Hoja3!$A$4:$A$10</formula1>
    </dataValidation>
    <dataValidation type="list" allowBlank="1" showErrorMessage="1" sqref="X4:X244 AD4:AD244 AG4:AG244 AM4:AM244 AP4:AP244 AU4:AU244 AY4:AY244 BB4:BB244">
      <formula1>Hoja3!$A$13:$A$15</formula1>
    </dataValidation>
    <dataValidation type="list" allowBlank="1" showErrorMessage="1" sqref="AT4:AT244">
      <formula1>Hoja3!$A$17:$A$18</formula1>
    </dataValidation>
    <dataValidation type="list" allowBlank="1" showErrorMessage="1" sqref="U4:U244">
      <formula1>$C$275:$C$276</formula1>
    </dataValidation>
    <dataValidation type="list" allowBlank="1" showErrorMessage="1" sqref="J4:J244">
      <formula1>"MATUTINO,VESPERTINO"</formula1>
    </dataValidation>
    <dataValidation type="list" allowBlank="1" showErrorMessage="1" sqref="I96:I244">
      <formula1>Hoja3!$A$20:$A$31</formula1>
    </dataValidation>
    <dataValidation type="list" allowBlank="1" showErrorMessage="1" sqref="M257">
      <formula1>$S$257:$S$261</formula1>
    </dataValidation>
    <dataValidation type="list" allowBlank="1" showErrorMessage="1" sqref="K4:K244">
      <formula1>$C$260:$C$264</formula1>
    </dataValidation>
    <dataValidation type="list" allowBlank="1" showErrorMessage="1" sqref="L4">
      <formula1>$C$266:$C$268</formula1>
    </dataValidation>
    <dataValidation type="list" allowBlank="1" showErrorMessage="1" sqref="I4:I95">
      <formula1>$C$247:$C$258</formula1>
    </dataValidation>
    <dataValidation type="list" allowBlank="1" showErrorMessage="1" sqref="M4:M244">
      <formula1>Hoja3!$A$34:$A$38</formula1>
    </dataValidation>
    <dataValidation type="list" allowBlank="1" showErrorMessage="1" sqref="L5:L244">
      <formula1>"CONCLUIDO,EN TRAMITE"</formula1>
    </dataValidation>
  </dataValidations>
  <hyperlinks>
    <hyperlink r:id="rId2" ref="H4"/>
    <hyperlink r:id="rId3" ref="S4"/>
    <hyperlink r:id="rId4" ref="H5"/>
    <hyperlink r:id="rId5" ref="S5"/>
    <hyperlink r:id="rId6" ref="H6"/>
    <hyperlink r:id="rId7" ref="S6"/>
    <hyperlink r:id="rId8" ref="H7"/>
    <hyperlink r:id="rId9" ref="S7"/>
    <hyperlink r:id="rId10" ref="H8"/>
    <hyperlink r:id="rId11" ref="S8"/>
    <hyperlink r:id="rId12" ref="H9"/>
    <hyperlink r:id="rId13" ref="S9"/>
    <hyperlink r:id="rId14" ref="H10"/>
    <hyperlink r:id="rId15" ref="S10"/>
    <hyperlink r:id="rId16" ref="H11"/>
    <hyperlink r:id="rId17" ref="S11"/>
    <hyperlink r:id="rId18" ref="H12"/>
    <hyperlink r:id="rId19" ref="S12"/>
    <hyperlink r:id="rId20" ref="H13"/>
    <hyperlink r:id="rId21" ref="S13"/>
    <hyperlink r:id="rId22" ref="H14"/>
    <hyperlink r:id="rId23" ref="S14"/>
    <hyperlink r:id="rId24" ref="H15"/>
    <hyperlink r:id="rId25" ref="S15"/>
    <hyperlink r:id="rId26" ref="H16"/>
    <hyperlink r:id="rId27" ref="S16"/>
    <hyperlink r:id="rId28" ref="H17"/>
    <hyperlink r:id="rId29" ref="S17"/>
    <hyperlink r:id="rId30" ref="H18"/>
    <hyperlink r:id="rId31" ref="S18"/>
    <hyperlink r:id="rId32" ref="H19"/>
    <hyperlink r:id="rId33" ref="S19"/>
    <hyperlink r:id="rId34" ref="H20"/>
    <hyperlink r:id="rId35" ref="S20"/>
    <hyperlink r:id="rId36" ref="H21"/>
    <hyperlink r:id="rId37" ref="S21"/>
    <hyperlink r:id="rId38" ref="H22"/>
    <hyperlink r:id="rId39" ref="S22"/>
    <hyperlink r:id="rId40" ref="H23"/>
    <hyperlink r:id="rId41" ref="S23"/>
    <hyperlink r:id="rId42" ref="H24"/>
    <hyperlink r:id="rId43" ref="S24"/>
    <hyperlink r:id="rId44" ref="H25"/>
    <hyperlink r:id="rId45" ref="S25"/>
    <hyperlink r:id="rId46" ref="H26"/>
    <hyperlink r:id="rId47" ref="S26"/>
    <hyperlink r:id="rId48" ref="H27"/>
    <hyperlink r:id="rId49" ref="S27"/>
    <hyperlink r:id="rId50" ref="H28"/>
    <hyperlink r:id="rId51" ref="S28"/>
    <hyperlink r:id="rId52" ref="H29"/>
    <hyperlink r:id="rId53" ref="S29"/>
    <hyperlink r:id="rId54" ref="H30"/>
    <hyperlink r:id="rId55" ref="S30"/>
    <hyperlink r:id="rId56" ref="H31"/>
    <hyperlink r:id="rId57" ref="S31"/>
    <hyperlink r:id="rId58" ref="H32"/>
    <hyperlink r:id="rId59" ref="S32"/>
    <hyperlink r:id="rId60" ref="H33"/>
    <hyperlink r:id="rId61" ref="S33"/>
    <hyperlink r:id="rId62" ref="H34"/>
    <hyperlink r:id="rId63" ref="S34"/>
    <hyperlink r:id="rId64" ref="H35"/>
    <hyperlink r:id="rId65" ref="S35"/>
    <hyperlink r:id="rId66" ref="H36"/>
    <hyperlink r:id="rId67" ref="S36"/>
    <hyperlink r:id="rId68" ref="H37"/>
    <hyperlink r:id="rId69" ref="S37"/>
    <hyperlink r:id="rId70" ref="H38"/>
    <hyperlink r:id="rId71" ref="S38"/>
    <hyperlink r:id="rId72" ref="H39"/>
    <hyperlink r:id="rId73" ref="S39"/>
    <hyperlink r:id="rId74" ref="H40"/>
    <hyperlink r:id="rId75" ref="S40"/>
    <hyperlink r:id="rId76" ref="H41"/>
    <hyperlink r:id="rId77" ref="S41"/>
    <hyperlink r:id="rId78" ref="H42"/>
    <hyperlink r:id="rId79" ref="S42"/>
    <hyperlink r:id="rId80" ref="H43"/>
    <hyperlink r:id="rId81" ref="S43"/>
    <hyperlink r:id="rId82" ref="H44"/>
    <hyperlink r:id="rId83" ref="S44"/>
    <hyperlink r:id="rId84" ref="H45"/>
    <hyperlink r:id="rId85" ref="S45"/>
    <hyperlink r:id="rId86" ref="H46"/>
    <hyperlink r:id="rId87" ref="S46"/>
    <hyperlink r:id="rId88" ref="H47"/>
    <hyperlink r:id="rId89" ref="S47"/>
    <hyperlink r:id="rId90" ref="H48"/>
    <hyperlink r:id="rId91" ref="S48"/>
    <hyperlink r:id="rId92" ref="H49"/>
    <hyperlink r:id="rId93" ref="S49"/>
    <hyperlink r:id="rId94" ref="H50"/>
    <hyperlink r:id="rId95" ref="S50"/>
    <hyperlink r:id="rId96" ref="H51"/>
    <hyperlink r:id="rId97" ref="S51"/>
    <hyperlink r:id="rId98" ref="H52"/>
    <hyperlink r:id="rId99" ref="S52"/>
    <hyperlink r:id="rId100" ref="H53"/>
    <hyperlink r:id="rId101" ref="S53"/>
    <hyperlink r:id="rId102" ref="H54"/>
    <hyperlink r:id="rId103" ref="S54"/>
    <hyperlink r:id="rId104" ref="H55"/>
    <hyperlink r:id="rId105" ref="H56"/>
    <hyperlink r:id="rId106" ref="H57"/>
    <hyperlink r:id="rId107" ref="S57"/>
    <hyperlink r:id="rId108" ref="H58"/>
    <hyperlink r:id="rId109" ref="S58"/>
    <hyperlink r:id="rId110" ref="H59"/>
    <hyperlink r:id="rId111" ref="S59"/>
    <hyperlink r:id="rId112" ref="H60"/>
    <hyperlink r:id="rId113" ref="H61"/>
    <hyperlink r:id="rId114" ref="S61"/>
    <hyperlink r:id="rId115" ref="H62"/>
    <hyperlink r:id="rId116" ref="S62"/>
    <hyperlink r:id="rId117" ref="H63"/>
    <hyperlink r:id="rId118" ref="S63"/>
    <hyperlink r:id="rId119" ref="H64"/>
    <hyperlink r:id="rId120" ref="S64"/>
    <hyperlink r:id="rId121" ref="H65"/>
    <hyperlink r:id="rId122" ref="S65"/>
    <hyperlink r:id="rId123" ref="H66"/>
    <hyperlink r:id="rId124" ref="S66"/>
    <hyperlink r:id="rId125" ref="H67"/>
    <hyperlink r:id="rId126" ref="S67"/>
    <hyperlink r:id="rId127" ref="S68"/>
    <hyperlink r:id="rId128" ref="H69"/>
    <hyperlink r:id="rId129" ref="S69"/>
    <hyperlink r:id="rId130" ref="H70"/>
    <hyperlink r:id="rId131" ref="S70"/>
    <hyperlink r:id="rId132" ref="H71"/>
    <hyperlink r:id="rId133" ref="S71"/>
    <hyperlink r:id="rId134" ref="H72"/>
    <hyperlink r:id="rId135" ref="S72"/>
    <hyperlink r:id="rId136" ref="H73"/>
    <hyperlink r:id="rId137" ref="S73"/>
    <hyperlink r:id="rId138" ref="H74"/>
    <hyperlink r:id="rId139" ref="S74"/>
    <hyperlink r:id="rId140" ref="H75"/>
    <hyperlink r:id="rId141" ref="S75"/>
    <hyperlink r:id="rId142" ref="H76"/>
    <hyperlink r:id="rId143" ref="S76"/>
    <hyperlink r:id="rId144" ref="H77"/>
    <hyperlink r:id="rId145" ref="S77"/>
    <hyperlink r:id="rId146" ref="H78"/>
    <hyperlink r:id="rId147" ref="S78"/>
    <hyperlink r:id="rId148" ref="H79"/>
    <hyperlink r:id="rId149" ref="S79"/>
    <hyperlink r:id="rId150" ref="H80"/>
    <hyperlink r:id="rId151" ref="S80"/>
    <hyperlink r:id="rId152" ref="H81"/>
    <hyperlink r:id="rId153" ref="S81"/>
    <hyperlink r:id="rId154" ref="H82"/>
    <hyperlink r:id="rId155" ref="H83"/>
    <hyperlink r:id="rId156" ref="S83"/>
    <hyperlink r:id="rId157" ref="H84"/>
    <hyperlink r:id="rId158" ref="S84"/>
    <hyperlink r:id="rId159" ref="H85"/>
    <hyperlink r:id="rId160" ref="S85"/>
    <hyperlink r:id="rId161" ref="H86"/>
    <hyperlink r:id="rId162" ref="S86"/>
    <hyperlink r:id="rId163" ref="H87"/>
    <hyperlink r:id="rId164" ref="S87"/>
    <hyperlink r:id="rId165" ref="H88"/>
    <hyperlink r:id="rId166" ref="S88"/>
    <hyperlink r:id="rId167" ref="H89"/>
    <hyperlink r:id="rId168" ref="S89"/>
    <hyperlink r:id="rId169" ref="H90"/>
    <hyperlink r:id="rId170" ref="S90"/>
    <hyperlink r:id="rId171" ref="H91"/>
    <hyperlink r:id="rId172" ref="S91"/>
    <hyperlink r:id="rId173" ref="H92"/>
    <hyperlink r:id="rId174" ref="S92"/>
    <hyperlink r:id="rId175" ref="H93"/>
    <hyperlink r:id="rId176" ref="S93"/>
    <hyperlink r:id="rId177" ref="H94"/>
    <hyperlink r:id="rId178" ref="S94"/>
    <hyperlink r:id="rId179" ref="H95"/>
    <hyperlink r:id="rId180" ref="S95"/>
    <hyperlink r:id="rId181" ref="H96"/>
    <hyperlink r:id="rId182" ref="S96"/>
    <hyperlink r:id="rId183" ref="H97"/>
    <hyperlink r:id="rId184" ref="S97"/>
    <hyperlink r:id="rId185" ref="H98"/>
    <hyperlink r:id="rId186" ref="S98"/>
    <hyperlink r:id="rId187" ref="H99"/>
    <hyperlink r:id="rId188" ref="S99"/>
    <hyperlink r:id="rId189" ref="H100"/>
    <hyperlink r:id="rId190" ref="S100"/>
    <hyperlink r:id="rId191" ref="H101"/>
    <hyperlink r:id="rId192" ref="S101"/>
    <hyperlink r:id="rId193" ref="H102"/>
    <hyperlink r:id="rId194" ref="S102"/>
    <hyperlink r:id="rId195" ref="H103"/>
    <hyperlink r:id="rId196" ref="H105"/>
    <hyperlink r:id="rId197" ref="S105"/>
    <hyperlink r:id="rId198" ref="H106"/>
    <hyperlink r:id="rId199" ref="H107"/>
    <hyperlink r:id="rId200" ref="S107"/>
    <hyperlink r:id="rId201" ref="H108"/>
    <hyperlink r:id="rId202" ref="S108"/>
    <hyperlink r:id="rId203" ref="H109"/>
    <hyperlink r:id="rId204" ref="S109"/>
    <hyperlink r:id="rId205" ref="H110"/>
    <hyperlink r:id="rId206" ref="S110"/>
    <hyperlink r:id="rId207" ref="H111"/>
    <hyperlink r:id="rId208" ref="S111"/>
    <hyperlink r:id="rId209" ref="H112"/>
    <hyperlink r:id="rId210" ref="S112"/>
    <hyperlink r:id="rId211" ref="H113"/>
    <hyperlink r:id="rId212" ref="S113"/>
    <hyperlink r:id="rId213" ref="H114"/>
    <hyperlink r:id="rId214" ref="S114"/>
    <hyperlink r:id="rId215" ref="H115"/>
    <hyperlink r:id="rId216" ref="S115"/>
    <hyperlink r:id="rId217" ref="H116"/>
    <hyperlink r:id="rId218" ref="S116"/>
    <hyperlink r:id="rId219" ref="H117"/>
    <hyperlink r:id="rId220" ref="S117"/>
    <hyperlink r:id="rId221" ref="H118"/>
    <hyperlink r:id="rId222" ref="S118"/>
    <hyperlink r:id="rId223" ref="H119"/>
    <hyperlink r:id="rId224" ref="S119"/>
    <hyperlink r:id="rId225" ref="H120"/>
    <hyperlink r:id="rId226" ref="S120"/>
    <hyperlink r:id="rId227" ref="H121"/>
    <hyperlink r:id="rId228" ref="S121"/>
    <hyperlink r:id="rId229" ref="H122"/>
    <hyperlink r:id="rId230" ref="S122"/>
    <hyperlink r:id="rId231" ref="H123"/>
    <hyperlink r:id="rId232" ref="S123"/>
    <hyperlink r:id="rId233" ref="H124"/>
    <hyperlink r:id="rId234" ref="S124"/>
    <hyperlink r:id="rId235" ref="H126"/>
    <hyperlink r:id="rId236" ref="S126"/>
    <hyperlink r:id="rId237" ref="H127"/>
    <hyperlink r:id="rId238" ref="S127"/>
    <hyperlink r:id="rId239" ref="H128"/>
    <hyperlink r:id="rId240" ref="S128"/>
    <hyperlink r:id="rId241" ref="H129"/>
    <hyperlink r:id="rId242" ref="S129"/>
    <hyperlink r:id="rId243" ref="H130"/>
    <hyperlink r:id="rId244" ref="S130"/>
    <hyperlink r:id="rId245" ref="H131"/>
    <hyperlink r:id="rId246" ref="S131"/>
    <hyperlink r:id="rId247" ref="H132"/>
    <hyperlink r:id="rId248" ref="S132"/>
    <hyperlink r:id="rId249" ref="H133"/>
    <hyperlink r:id="rId250" ref="S133"/>
    <hyperlink r:id="rId251" ref="H134"/>
    <hyperlink r:id="rId252" ref="S134"/>
    <hyperlink r:id="rId253" ref="H135"/>
    <hyperlink r:id="rId254" ref="S135"/>
    <hyperlink r:id="rId255" ref="H136"/>
    <hyperlink r:id="rId256" ref="S136"/>
    <hyperlink r:id="rId257" ref="H137"/>
    <hyperlink r:id="rId258" ref="S137"/>
    <hyperlink r:id="rId259" ref="H138"/>
    <hyperlink r:id="rId260" ref="S138"/>
    <hyperlink r:id="rId261" ref="H139"/>
    <hyperlink r:id="rId262" ref="S139"/>
    <hyperlink r:id="rId263" ref="H140"/>
    <hyperlink r:id="rId264" ref="H141"/>
    <hyperlink r:id="rId265" ref="H142"/>
    <hyperlink r:id="rId266" ref="S142"/>
    <hyperlink r:id="rId267" ref="H143"/>
    <hyperlink r:id="rId268" ref="H144"/>
    <hyperlink r:id="rId269" ref="S144"/>
    <hyperlink r:id="rId270" ref="H145"/>
    <hyperlink r:id="rId271" ref="H146"/>
    <hyperlink r:id="rId272" ref="S147"/>
    <hyperlink r:id="rId273" ref="H148"/>
    <hyperlink r:id="rId274" ref="H149"/>
    <hyperlink r:id="rId275" ref="H150"/>
    <hyperlink r:id="rId276" ref="H151"/>
    <hyperlink r:id="rId277" ref="S151"/>
    <hyperlink r:id="rId278" ref="H152"/>
    <hyperlink r:id="rId279" ref="S152"/>
    <hyperlink r:id="rId280" ref="S153"/>
    <hyperlink r:id="rId281" ref="H154"/>
    <hyperlink r:id="rId282" ref="H155"/>
    <hyperlink r:id="rId283" ref="S155"/>
    <hyperlink r:id="rId284" ref="S156"/>
    <hyperlink r:id="rId285" ref="H157"/>
    <hyperlink r:id="rId286" ref="S157"/>
    <hyperlink r:id="rId287" ref="H158"/>
    <hyperlink r:id="rId288" ref="H159"/>
    <hyperlink r:id="rId289" ref="S159"/>
    <hyperlink r:id="rId290" ref="H160"/>
    <hyperlink r:id="rId291" ref="S160"/>
    <hyperlink r:id="rId292" ref="H161"/>
    <hyperlink r:id="rId293" ref="S161"/>
    <hyperlink r:id="rId294" ref="S162"/>
    <hyperlink r:id="rId295" ref="H163"/>
    <hyperlink r:id="rId296" ref="S163"/>
    <hyperlink r:id="rId297" ref="H164"/>
    <hyperlink r:id="rId298" ref="S164"/>
    <hyperlink r:id="rId299" ref="G165"/>
    <hyperlink r:id="rId300" ref="H165"/>
    <hyperlink r:id="rId301" ref="S165"/>
    <hyperlink r:id="rId302" ref="H166"/>
    <hyperlink r:id="rId303" ref="H167"/>
    <hyperlink r:id="rId304" ref="S167"/>
    <hyperlink r:id="rId305" ref="H168"/>
    <hyperlink r:id="rId306" ref="S168"/>
    <hyperlink r:id="rId307" ref="H169"/>
    <hyperlink r:id="rId308" ref="S169"/>
    <hyperlink r:id="rId309" ref="H170"/>
    <hyperlink r:id="rId310" ref="S170"/>
    <hyperlink r:id="rId311" ref="H171"/>
    <hyperlink r:id="rId312" ref="H172"/>
    <hyperlink r:id="rId313" ref="H173"/>
    <hyperlink r:id="rId314" ref="S173"/>
    <hyperlink r:id="rId315" ref="H174"/>
    <hyperlink r:id="rId316" ref="S174"/>
    <hyperlink r:id="rId317" ref="H175"/>
    <hyperlink r:id="rId318" ref="S175"/>
    <hyperlink r:id="rId319" ref="H176"/>
    <hyperlink r:id="rId320" ref="S176"/>
    <hyperlink r:id="rId321" ref="H177"/>
    <hyperlink r:id="rId322" ref="S177"/>
    <hyperlink r:id="rId323" ref="H178"/>
    <hyperlink r:id="rId324" ref="S178"/>
    <hyperlink r:id="rId325" ref="S179"/>
    <hyperlink r:id="rId326" ref="H180"/>
    <hyperlink r:id="rId327" ref="S180"/>
    <hyperlink r:id="rId328" ref="H181"/>
    <hyperlink r:id="rId329" ref="S181"/>
    <hyperlink r:id="rId330" ref="H182"/>
    <hyperlink r:id="rId331" ref="S182"/>
    <hyperlink r:id="rId332" ref="H183"/>
    <hyperlink r:id="rId333" ref="S183"/>
    <hyperlink r:id="rId334" ref="H184"/>
    <hyperlink r:id="rId335" ref="S184"/>
    <hyperlink r:id="rId336" ref="H185"/>
    <hyperlink r:id="rId337" ref="S185"/>
    <hyperlink r:id="rId338" ref="H186"/>
    <hyperlink r:id="rId339" ref="H187"/>
    <hyperlink r:id="rId340" ref="S187"/>
    <hyperlink r:id="rId341" ref="H188"/>
    <hyperlink r:id="rId342" ref="S188"/>
    <hyperlink r:id="rId343" ref="H189"/>
    <hyperlink r:id="rId344" ref="S189"/>
    <hyperlink r:id="rId345" ref="H190"/>
    <hyperlink r:id="rId346" ref="S190"/>
    <hyperlink r:id="rId347" ref="H191"/>
    <hyperlink r:id="rId348" ref="S191"/>
    <hyperlink r:id="rId349" ref="H192"/>
    <hyperlink r:id="rId350" ref="S192"/>
    <hyperlink r:id="rId351" ref="H193"/>
    <hyperlink r:id="rId352" ref="S193"/>
    <hyperlink r:id="rId353" ref="H194"/>
    <hyperlink r:id="rId354" ref="S194"/>
    <hyperlink r:id="rId355" ref="H195"/>
    <hyperlink r:id="rId356" ref="S195"/>
    <hyperlink r:id="rId357" ref="H196"/>
    <hyperlink r:id="rId358" ref="S196"/>
    <hyperlink r:id="rId359" ref="H197"/>
    <hyperlink r:id="rId360" ref="S197"/>
    <hyperlink r:id="rId361" ref="H198"/>
    <hyperlink r:id="rId362" ref="S198"/>
    <hyperlink r:id="rId363" ref="H199"/>
    <hyperlink r:id="rId364" ref="S199"/>
    <hyperlink r:id="rId365" ref="H200"/>
    <hyperlink r:id="rId366" ref="S200"/>
    <hyperlink r:id="rId367" ref="H201"/>
    <hyperlink r:id="rId368" ref="S201"/>
    <hyperlink r:id="rId369" ref="H202"/>
    <hyperlink r:id="rId370" ref="S202"/>
    <hyperlink r:id="rId371" ref="H203"/>
    <hyperlink r:id="rId372" ref="S203"/>
    <hyperlink r:id="rId373" ref="H204"/>
    <hyperlink r:id="rId374" ref="S204"/>
    <hyperlink r:id="rId375" ref="H205"/>
    <hyperlink r:id="rId376" ref="S205"/>
    <hyperlink r:id="rId377" ref="H206"/>
    <hyperlink r:id="rId378" ref="S206"/>
    <hyperlink r:id="rId379" ref="H207"/>
    <hyperlink r:id="rId380" ref="S207"/>
    <hyperlink r:id="rId381" ref="H208"/>
    <hyperlink r:id="rId382" ref="S208"/>
    <hyperlink r:id="rId383" ref="H209"/>
    <hyperlink r:id="rId384" ref="S209"/>
    <hyperlink r:id="rId385" ref="H210"/>
    <hyperlink r:id="rId386" ref="S210"/>
    <hyperlink r:id="rId387" ref="H211"/>
    <hyperlink r:id="rId388" ref="S211"/>
    <hyperlink r:id="rId389" ref="H212"/>
    <hyperlink r:id="rId390" ref="S212"/>
    <hyperlink r:id="rId391" ref="H213"/>
    <hyperlink r:id="rId392" ref="S213"/>
    <hyperlink r:id="rId393" ref="S214"/>
    <hyperlink r:id="rId394" ref="H215"/>
    <hyperlink r:id="rId395" ref="S215"/>
    <hyperlink r:id="rId396" ref="H216"/>
    <hyperlink r:id="rId397" ref="S216"/>
    <hyperlink r:id="rId398" ref="H217"/>
    <hyperlink r:id="rId399" ref="S217"/>
    <hyperlink r:id="rId400" ref="H218"/>
    <hyperlink r:id="rId401" ref="S218"/>
    <hyperlink r:id="rId402" ref="H219"/>
    <hyperlink r:id="rId403" ref="S219"/>
    <hyperlink r:id="rId404" ref="H220"/>
    <hyperlink r:id="rId405" ref="S220"/>
    <hyperlink r:id="rId406" ref="H221"/>
    <hyperlink r:id="rId407" ref="S221"/>
    <hyperlink r:id="rId408" ref="H222"/>
    <hyperlink r:id="rId409" ref="S222"/>
    <hyperlink r:id="rId410" ref="H223"/>
    <hyperlink r:id="rId411" ref="S223"/>
    <hyperlink r:id="rId412" ref="H224"/>
    <hyperlink r:id="rId413" ref="S224"/>
    <hyperlink r:id="rId414" ref="H225"/>
    <hyperlink r:id="rId415" ref="S225"/>
    <hyperlink r:id="rId416" ref="H226"/>
    <hyperlink r:id="rId417" ref="S226"/>
    <hyperlink r:id="rId418" ref="H227"/>
    <hyperlink r:id="rId419" ref="S227"/>
    <hyperlink r:id="rId420" ref="H228"/>
    <hyperlink r:id="rId421" ref="S228"/>
    <hyperlink r:id="rId422" ref="H229"/>
    <hyperlink r:id="rId423" ref="S229"/>
    <hyperlink r:id="rId424" ref="H230"/>
    <hyperlink r:id="rId425" ref="S230"/>
    <hyperlink r:id="rId426" ref="H231"/>
    <hyperlink r:id="rId427" ref="S231"/>
    <hyperlink r:id="rId428" ref="H232"/>
    <hyperlink r:id="rId429" ref="S232"/>
    <hyperlink r:id="rId430" ref="H233"/>
    <hyperlink r:id="rId431" ref="S233"/>
    <hyperlink r:id="rId432" ref="H234"/>
    <hyperlink r:id="rId433" ref="S234"/>
    <hyperlink r:id="rId434" ref="H235"/>
    <hyperlink r:id="rId435" ref="S235"/>
    <hyperlink r:id="rId436" ref="H236"/>
    <hyperlink r:id="rId437" ref="S236"/>
    <hyperlink r:id="rId438" ref="H237"/>
    <hyperlink r:id="rId439" ref="S237"/>
    <hyperlink r:id="rId440" ref="H238"/>
    <hyperlink r:id="rId441" ref="S238"/>
    <hyperlink r:id="rId442" ref="H239"/>
    <hyperlink r:id="rId443" ref="S239"/>
    <hyperlink r:id="rId444" ref="H240"/>
    <hyperlink r:id="rId445" ref="S240"/>
    <hyperlink r:id="rId446" ref="H241"/>
    <hyperlink r:id="rId447" ref="S241"/>
    <hyperlink r:id="rId448" ref="H242"/>
    <hyperlink r:id="rId449" ref="S242"/>
    <hyperlink r:id="rId450" ref="H243"/>
    <hyperlink r:id="rId451" ref="S243"/>
  </hyperlinks>
  <printOptions/>
  <pageMargins bottom="0.75" footer="0.0" header="0.0" left="0.7" right="0.7" top="0.75"/>
  <pageSetup orientation="portrait"/>
  <drawing r:id="rId452"/>
  <legacyDrawing r:id="rId453"/>
  <tableParts count="1">
    <tablePart r:id="rId455"/>
  </tableParts>
</worksheet>
</file>